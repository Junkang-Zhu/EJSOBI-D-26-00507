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R代码\Relative composition\"/>
    </mc:Choice>
  </mc:AlternateContent>
  <xr:revisionPtr revIDLastSave="0" documentId="13_ncr:1_{55DFE274-BC12-4467-B7D3-7F5CAFD0214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Morphological identification" sheetId="1" r:id="rId1"/>
    <sheet name="Mass proportion" sheetId="2" r:id="rId2"/>
    <sheet name="eDNA metabarcoding" sheetId="3" r:id="rId3"/>
    <sheet name="Nematode-extracted D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4" l="1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7" i="1"/>
  <c r="G18" i="1"/>
  <c r="G19" i="1"/>
  <c r="G20" i="1"/>
  <c r="G21" i="1"/>
  <c r="G22" i="1"/>
  <c r="G23" i="1"/>
  <c r="G24" i="1"/>
  <c r="G25" i="1"/>
  <c r="G26" i="1"/>
  <c r="G27" i="1"/>
  <c r="G16" i="1"/>
  <c r="F17" i="1"/>
  <c r="F18" i="1"/>
  <c r="F19" i="1"/>
  <c r="F20" i="1"/>
  <c r="F21" i="1"/>
  <c r="F22" i="1"/>
  <c r="F23" i="1"/>
  <c r="F24" i="1"/>
  <c r="F25" i="1"/>
  <c r="F26" i="1"/>
  <c r="F27" i="1"/>
  <c r="F16" i="1"/>
  <c r="E17" i="1"/>
  <c r="E18" i="1"/>
  <c r="E19" i="1"/>
  <c r="E20" i="1"/>
  <c r="E21" i="1"/>
  <c r="E22" i="1"/>
  <c r="E23" i="1"/>
  <c r="E24" i="1"/>
  <c r="E25" i="1"/>
  <c r="E26" i="1"/>
  <c r="E27" i="1"/>
  <c r="E16" i="1"/>
  <c r="D17" i="1"/>
  <c r="D18" i="1"/>
  <c r="D19" i="1"/>
  <c r="D20" i="1"/>
  <c r="D21" i="1"/>
  <c r="D22" i="1"/>
  <c r="D23" i="1"/>
  <c r="D24" i="1"/>
  <c r="D25" i="1"/>
  <c r="D26" i="1"/>
  <c r="D27" i="1"/>
  <c r="D16" i="1"/>
  <c r="C17" i="1"/>
  <c r="C18" i="1"/>
  <c r="C19" i="1"/>
  <c r="C20" i="1"/>
  <c r="C21" i="1"/>
  <c r="C22" i="1"/>
  <c r="C23" i="1"/>
  <c r="C24" i="1"/>
  <c r="C25" i="1"/>
  <c r="C26" i="1"/>
  <c r="C27" i="1"/>
  <c r="C16" i="1"/>
  <c r="B17" i="1"/>
  <c r="B18" i="1"/>
  <c r="B19" i="1"/>
  <c r="B20" i="1"/>
  <c r="B21" i="1"/>
  <c r="B22" i="1"/>
  <c r="B23" i="1"/>
  <c r="B24" i="1"/>
  <c r="B25" i="1"/>
  <c r="B26" i="1"/>
  <c r="B27" i="1"/>
  <c r="B16" i="1"/>
</calcChain>
</file>

<file path=xl/sharedStrings.xml><?xml version="1.0" encoding="utf-8"?>
<sst xmlns="http://schemas.openxmlformats.org/spreadsheetml/2006/main" count="192" uniqueCount="37">
  <si>
    <t>PN-1</t>
  </si>
  <si>
    <t>PN-2</t>
  </si>
  <si>
    <t>PN-3</t>
  </si>
  <si>
    <t>PNV-1</t>
  </si>
  <si>
    <t>PNV-2</t>
  </si>
  <si>
    <t>PNV-3</t>
  </si>
  <si>
    <t>PS-1</t>
  </si>
  <si>
    <t>PS-2</t>
  </si>
  <si>
    <t>PS-3</t>
  </si>
  <si>
    <t>SP-1</t>
  </si>
  <si>
    <t>SP-2</t>
  </si>
  <si>
    <t>SP-3</t>
  </si>
  <si>
    <t>SPV-1</t>
  </si>
  <si>
    <t>SPV-2</t>
  </si>
  <si>
    <t>SPV-3</t>
  </si>
  <si>
    <t>FA-1</t>
  </si>
  <si>
    <t>FA-2</t>
  </si>
  <si>
    <t>FA-3</t>
  </si>
  <si>
    <t>Cephalobidae</t>
  </si>
  <si>
    <t>Heteroderidae</t>
  </si>
  <si>
    <t>Dorylaimidae</t>
  </si>
  <si>
    <t>Others</t>
  </si>
  <si>
    <t>Aphelenchoididae</t>
  </si>
  <si>
    <t>Tylenchidae</t>
  </si>
  <si>
    <t>Rhabditidae</t>
  </si>
  <si>
    <t>Panagrolaimidae</t>
  </si>
  <si>
    <t>Monhysteridae</t>
  </si>
  <si>
    <t>Aphelenchidae</t>
  </si>
  <si>
    <t>Mononchidae</t>
  </si>
  <si>
    <t>Unclassified</t>
  </si>
  <si>
    <t>Unclassified</t>
    <phoneticPr fontId="1" type="noConversion"/>
  </si>
  <si>
    <t>PN</t>
  </si>
  <si>
    <t>PNV</t>
  </si>
  <si>
    <t>PS</t>
  </si>
  <si>
    <t>SP</t>
  </si>
  <si>
    <t>SPV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</si>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</sst>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selection activeCell="K21" sqref="K21"/>
    </sheetView>
  </sheetViews>
  <sheetFormatPr defaultRowHeight="14.25" x14ac:dyDescent="0.2"/>
  <cols>
    <col min="1" max="1" width="18.2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21</v>
      </c>
      <c r="B2">
        <v>3.205128205128227E-2</v>
      </c>
      <c r="C2">
        <v>0.12738853503184655</v>
      </c>
      <c r="D2">
        <v>0.13475177304964669</v>
      </c>
      <c r="E2">
        <v>7.9999999999999849E-2</v>
      </c>
      <c r="F2">
        <v>5.7377049180327488E-2</v>
      </c>
      <c r="G2">
        <v>7.2000000000000064E-2</v>
      </c>
      <c r="H2">
        <v>0.2702702702702704</v>
      </c>
      <c r="I2">
        <v>0.13698630136986345</v>
      </c>
      <c r="J2">
        <v>3.9999999999999925E-2</v>
      </c>
      <c r="K2">
        <v>3.1999999999999917E-2</v>
      </c>
      <c r="L2">
        <v>4.3999999999999817E-2</v>
      </c>
      <c r="M2">
        <v>3.3149171270717925E-2</v>
      </c>
      <c r="N2">
        <v>5.1999999999999935E-2</v>
      </c>
      <c r="O2">
        <v>7.9999999999999849E-2</v>
      </c>
      <c r="P2">
        <v>4.3999999999999928E-2</v>
      </c>
      <c r="Q2">
        <v>0.17021276595744683</v>
      </c>
      <c r="R2">
        <v>0.1132075471698113</v>
      </c>
      <c r="S2">
        <v>0.25641025641025661</v>
      </c>
    </row>
    <row r="3" spans="1:19" x14ac:dyDescent="0.2">
      <c r="A3" t="s">
        <v>27</v>
      </c>
      <c r="B3">
        <v>5.7692307692307702E-2</v>
      </c>
      <c r="C3">
        <v>2.54777070063694E-2</v>
      </c>
      <c r="D3">
        <v>2.1276595744680899E-2</v>
      </c>
      <c r="E3">
        <v>6.4000000000000001E-2</v>
      </c>
      <c r="F3">
        <v>2.4590163934426201E-2</v>
      </c>
      <c r="G3">
        <v>2.4E-2</v>
      </c>
      <c r="H3">
        <v>0</v>
      </c>
      <c r="I3">
        <v>0</v>
      </c>
      <c r="J3">
        <v>8.0000000000000002E-3</v>
      </c>
      <c r="K3">
        <v>0.02</v>
      </c>
      <c r="L3">
        <v>1.2E-2</v>
      </c>
      <c r="M3">
        <v>2.2099447513812199E-2</v>
      </c>
      <c r="N3">
        <v>5.1999999999999998E-2</v>
      </c>
      <c r="O3">
        <v>8.0000000000000002E-3</v>
      </c>
      <c r="P3">
        <v>1.6E-2</v>
      </c>
      <c r="Q3">
        <v>6.3829787234042507E-2</v>
      </c>
      <c r="R3">
        <v>8.4905660377358499E-2</v>
      </c>
      <c r="S3">
        <v>1.2820512820512799E-2</v>
      </c>
    </row>
    <row r="4" spans="1:19" x14ac:dyDescent="0.2">
      <c r="A4" t="s">
        <v>22</v>
      </c>
      <c r="B4">
        <v>8.9743589743589702E-2</v>
      </c>
      <c r="C4">
        <v>0.17197452229299401</v>
      </c>
      <c r="D4">
        <v>0.10638297872340401</v>
      </c>
      <c r="E4">
        <v>8.7999999999999995E-2</v>
      </c>
      <c r="F4">
        <v>7.7868852459016397E-2</v>
      </c>
      <c r="G4">
        <v>7.5999999999999998E-2</v>
      </c>
      <c r="H4">
        <v>2.7027027027027001E-2</v>
      </c>
      <c r="I4">
        <v>2.0547945205479499E-2</v>
      </c>
      <c r="J4">
        <v>0.17199999999999999</v>
      </c>
      <c r="K4">
        <v>8.4000000000000005E-2</v>
      </c>
      <c r="L4">
        <v>0.04</v>
      </c>
      <c r="M4">
        <v>0.12707182320442001</v>
      </c>
      <c r="N4">
        <v>4.3999999999999997E-2</v>
      </c>
      <c r="O4">
        <v>7.1999999999999995E-2</v>
      </c>
      <c r="P4">
        <v>8.4000000000000005E-2</v>
      </c>
      <c r="Q4">
        <v>7.09219858156028E-2</v>
      </c>
      <c r="R4">
        <v>5.6603773584905703E-2</v>
      </c>
      <c r="S4">
        <v>3.8461538461538498E-2</v>
      </c>
    </row>
    <row r="5" spans="1:19" x14ac:dyDescent="0.2">
      <c r="A5" t="s">
        <v>18</v>
      </c>
      <c r="B5">
        <v>0.51923076923076905</v>
      </c>
      <c r="C5">
        <v>0.26751592356687898</v>
      </c>
      <c r="D5">
        <v>0.36170212765957399</v>
      </c>
      <c r="E5">
        <v>0.628</v>
      </c>
      <c r="F5">
        <v>0.43442622950819698</v>
      </c>
      <c r="G5">
        <v>0.32</v>
      </c>
      <c r="H5">
        <v>9.45945945945946E-2</v>
      </c>
      <c r="I5">
        <v>0.22602739726027399</v>
      </c>
      <c r="J5">
        <v>0.22</v>
      </c>
      <c r="K5">
        <v>0.17199999999999999</v>
      </c>
      <c r="L5">
        <v>0.14000000000000001</v>
      </c>
      <c r="M5">
        <v>0.18232044198895</v>
      </c>
      <c r="N5">
        <v>0.32400000000000001</v>
      </c>
      <c r="O5">
        <v>0.22800000000000001</v>
      </c>
      <c r="P5">
        <v>0.52800000000000002</v>
      </c>
      <c r="Q5">
        <v>0.120567375886525</v>
      </c>
      <c r="R5">
        <v>0.330188679245283</v>
      </c>
      <c r="S5">
        <v>0.102564102564103</v>
      </c>
    </row>
    <row r="6" spans="1:19" x14ac:dyDescent="0.2">
      <c r="A6" t="s">
        <v>20</v>
      </c>
      <c r="B6">
        <v>3.2051282051282E-2</v>
      </c>
      <c r="C6">
        <v>0.14012738853503201</v>
      </c>
      <c r="D6">
        <v>5.6737588652482303E-2</v>
      </c>
      <c r="E6">
        <v>3.5999999999999997E-2</v>
      </c>
      <c r="F6">
        <v>6.14754098360656E-2</v>
      </c>
      <c r="G6">
        <v>0.21199999999999999</v>
      </c>
      <c r="H6">
        <v>0.22972972972972999</v>
      </c>
      <c r="I6">
        <v>0.13013698630136999</v>
      </c>
      <c r="J6">
        <v>8.7999999999999995E-2</v>
      </c>
      <c r="K6">
        <v>7.1999999999999995E-2</v>
      </c>
      <c r="L6">
        <v>0.12</v>
      </c>
      <c r="M6">
        <v>0.26519337016574601</v>
      </c>
      <c r="N6">
        <v>3.5999999999999997E-2</v>
      </c>
      <c r="O6">
        <v>0.17599999999999999</v>
      </c>
      <c r="P6">
        <v>7.5999999999999998E-2</v>
      </c>
      <c r="Q6">
        <v>5.6737588652482303E-2</v>
      </c>
      <c r="R6">
        <v>1.88679245283019E-2</v>
      </c>
      <c r="S6">
        <v>8.9743589743589702E-2</v>
      </c>
    </row>
    <row r="7" spans="1:19" x14ac:dyDescent="0.2">
      <c r="A7" t="s">
        <v>19</v>
      </c>
      <c r="B7">
        <v>6.4102564102564097E-2</v>
      </c>
      <c r="C7">
        <v>6.3694267515923596E-3</v>
      </c>
      <c r="D7">
        <v>1.41843971631206E-2</v>
      </c>
      <c r="E7">
        <v>0</v>
      </c>
      <c r="F7">
        <v>1.2295081967213101E-2</v>
      </c>
      <c r="G7">
        <v>4.0000000000000001E-3</v>
      </c>
      <c r="H7">
        <v>1.35135135135135E-2</v>
      </c>
      <c r="I7">
        <v>0.19178082191780799</v>
      </c>
      <c r="J7">
        <v>0.376</v>
      </c>
      <c r="K7">
        <v>0.46400000000000002</v>
      </c>
      <c r="L7">
        <v>0.51600000000000001</v>
      </c>
      <c r="M7">
        <v>3.3149171270718203E-2</v>
      </c>
      <c r="N7">
        <v>0.33200000000000002</v>
      </c>
      <c r="O7">
        <v>0.29599999999999999</v>
      </c>
      <c r="P7">
        <v>0.14399999999999999</v>
      </c>
      <c r="Q7">
        <v>0.22695035460992899</v>
      </c>
      <c r="R7">
        <v>9.4339622641509399E-2</v>
      </c>
      <c r="S7">
        <v>1.2820512820512799E-2</v>
      </c>
    </row>
    <row r="8" spans="1:19" x14ac:dyDescent="0.2">
      <c r="A8" t="s">
        <v>26</v>
      </c>
      <c r="B8">
        <v>6.41025641025641E-3</v>
      </c>
      <c r="C8">
        <v>1.9108280254777101E-2</v>
      </c>
      <c r="D8">
        <v>1.41843971631206E-2</v>
      </c>
      <c r="E8">
        <v>8.0000000000000002E-3</v>
      </c>
      <c r="F8">
        <v>1.63934426229508E-2</v>
      </c>
      <c r="G8">
        <v>0</v>
      </c>
      <c r="H8">
        <v>8.1081081081081099E-2</v>
      </c>
      <c r="I8">
        <v>0.10958904109589</v>
      </c>
      <c r="J8">
        <v>1.6E-2</v>
      </c>
      <c r="K8">
        <v>4.0000000000000001E-3</v>
      </c>
      <c r="L8">
        <v>3.2000000000000001E-2</v>
      </c>
      <c r="M8">
        <v>4.4198895027624301E-2</v>
      </c>
      <c r="N8">
        <v>8.0000000000000002E-3</v>
      </c>
      <c r="O8">
        <v>0</v>
      </c>
      <c r="P8">
        <v>8.0000000000000002E-3</v>
      </c>
      <c r="Q8">
        <v>6.3829787234042507E-2</v>
      </c>
      <c r="R8">
        <v>2.83018867924528E-2</v>
      </c>
      <c r="S8">
        <v>0.256410256410256</v>
      </c>
    </row>
    <row r="9" spans="1:19" x14ac:dyDescent="0.2">
      <c r="A9" t="s">
        <v>28</v>
      </c>
      <c r="B9">
        <v>1.9230769230769201E-2</v>
      </c>
      <c r="C9">
        <v>6.3694267515923596E-3</v>
      </c>
      <c r="D9">
        <v>0</v>
      </c>
      <c r="E9">
        <v>0</v>
      </c>
      <c r="F9">
        <v>8.1967213114754103E-3</v>
      </c>
      <c r="G9">
        <v>0.104</v>
      </c>
      <c r="H9">
        <v>1.35135135135135E-2</v>
      </c>
      <c r="I9">
        <v>1.3698630136986301E-2</v>
      </c>
      <c r="J9">
        <v>0</v>
      </c>
      <c r="K9">
        <v>0</v>
      </c>
      <c r="L9">
        <v>0</v>
      </c>
      <c r="M9">
        <v>0</v>
      </c>
      <c r="N9">
        <v>4.0000000000000001E-3</v>
      </c>
      <c r="O9">
        <v>2.4E-2</v>
      </c>
      <c r="P9">
        <v>0</v>
      </c>
      <c r="Q9">
        <v>0</v>
      </c>
      <c r="R9">
        <v>0</v>
      </c>
      <c r="S9">
        <v>1.2820512820512799E-2</v>
      </c>
    </row>
    <row r="10" spans="1:19" x14ac:dyDescent="0.2">
      <c r="A10" t="s">
        <v>25</v>
      </c>
      <c r="B10">
        <v>0</v>
      </c>
      <c r="C10">
        <v>1.27388535031847E-2</v>
      </c>
      <c r="D10">
        <v>0</v>
      </c>
      <c r="E10">
        <v>2.4E-2</v>
      </c>
      <c r="F10">
        <v>0.18442622950819701</v>
      </c>
      <c r="G10">
        <v>1.6E-2</v>
      </c>
      <c r="H10">
        <v>2.7027027027027001E-2</v>
      </c>
      <c r="I10">
        <v>1.3698630136986301E-2</v>
      </c>
      <c r="J10">
        <v>2.8000000000000001E-2</v>
      </c>
      <c r="K10">
        <v>0.12</v>
      </c>
      <c r="L10">
        <v>5.6000000000000001E-2</v>
      </c>
      <c r="M10">
        <v>6.0773480662983402E-2</v>
      </c>
      <c r="N10">
        <v>0.11600000000000001</v>
      </c>
      <c r="O10">
        <v>5.1999999999999998E-2</v>
      </c>
      <c r="P10">
        <v>5.6000000000000001E-2</v>
      </c>
      <c r="Q10">
        <v>6.3829787234042507E-2</v>
      </c>
      <c r="R10">
        <v>0</v>
      </c>
      <c r="S10">
        <v>3.8461538461538498E-2</v>
      </c>
    </row>
    <row r="11" spans="1:19" x14ac:dyDescent="0.2">
      <c r="A11" t="s">
        <v>24</v>
      </c>
      <c r="B11">
        <v>0.15384615384615399</v>
      </c>
      <c r="C11">
        <v>6.3694267515923594E-2</v>
      </c>
      <c r="D11">
        <v>0.10638297872340401</v>
      </c>
      <c r="E11">
        <v>3.5999999999999997E-2</v>
      </c>
      <c r="F11">
        <v>9.4262295081967207E-2</v>
      </c>
      <c r="G11">
        <v>9.1999999999999998E-2</v>
      </c>
      <c r="H11">
        <v>2.7027027027027001E-2</v>
      </c>
      <c r="I11">
        <v>7.5342465753424695E-2</v>
      </c>
      <c r="J11">
        <v>3.5999999999999997E-2</v>
      </c>
      <c r="K11">
        <v>4.0000000000000001E-3</v>
      </c>
      <c r="L11">
        <v>1.2E-2</v>
      </c>
      <c r="M11">
        <v>1.6574585635359101E-2</v>
      </c>
      <c r="N11">
        <v>1.6E-2</v>
      </c>
      <c r="O11">
        <v>0.06</v>
      </c>
      <c r="P11">
        <v>3.2000000000000001E-2</v>
      </c>
      <c r="Q11">
        <v>7.09219858156028E-2</v>
      </c>
      <c r="R11">
        <v>0.179245283018868</v>
      </c>
      <c r="S11">
        <v>5.1282051282051301E-2</v>
      </c>
    </row>
    <row r="12" spans="1:19" x14ac:dyDescent="0.2">
      <c r="A12" t="s">
        <v>23</v>
      </c>
      <c r="B12">
        <v>2.5641025641025599E-2</v>
      </c>
      <c r="C12">
        <v>0.15923566878980899</v>
      </c>
      <c r="D12">
        <v>0.184397163120567</v>
      </c>
      <c r="E12">
        <v>3.5999999999999997E-2</v>
      </c>
      <c r="F12">
        <v>2.86885245901639E-2</v>
      </c>
      <c r="G12">
        <v>0.08</v>
      </c>
      <c r="H12">
        <v>0.21621621621621601</v>
      </c>
      <c r="I12">
        <v>8.2191780821917804E-2</v>
      </c>
      <c r="J12">
        <v>1.6E-2</v>
      </c>
      <c r="K12">
        <v>2.8000000000000001E-2</v>
      </c>
      <c r="L12">
        <v>2.8000000000000001E-2</v>
      </c>
      <c r="M12">
        <v>0.21546961325966901</v>
      </c>
      <c r="N12">
        <v>1.6E-2</v>
      </c>
      <c r="O12">
        <v>4.0000000000000001E-3</v>
      </c>
      <c r="P12">
        <v>1.2E-2</v>
      </c>
      <c r="Q12">
        <v>9.2198581560283696E-2</v>
      </c>
      <c r="R12">
        <v>9.4339622641509399E-2</v>
      </c>
      <c r="S12">
        <v>0.128205128205128</v>
      </c>
    </row>
    <row r="13" spans="1:19" x14ac:dyDescent="0.2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5" spans="1:19" x14ac:dyDescent="0.2">
      <c r="B15" t="s">
        <v>31</v>
      </c>
      <c r="C15" t="s">
        <v>32</v>
      </c>
      <c r="D15" t="s">
        <v>34</v>
      </c>
      <c r="E15" t="s">
        <v>35</v>
      </c>
      <c r="F15" t="s">
        <v>33</v>
      </c>
      <c r="G15" t="s">
        <v>36</v>
      </c>
    </row>
    <row r="16" spans="1:19" x14ac:dyDescent="0.2">
      <c r="A16" t="s">
        <v>21</v>
      </c>
      <c r="B16">
        <f>AVERAGE(B2:D2)</f>
        <v>9.8063863377591834E-2</v>
      </c>
      <c r="C16">
        <f>AVERAGE(E2:G2)</f>
        <v>6.9792349726775796E-2</v>
      </c>
      <c r="D16">
        <f>AVERAGE(K2:M2)</f>
        <v>3.6383057090239222E-2</v>
      </c>
      <c r="E16">
        <f>AVERAGE(N2:P2)</f>
        <v>5.8666666666666568E-2</v>
      </c>
      <c r="F16">
        <f>AVERAGE(H2:J2)</f>
        <v>0.14908552388004459</v>
      </c>
      <c r="G16">
        <f>AVERAGE(Q2:S2)</f>
        <v>0.17994352317917159</v>
      </c>
    </row>
    <row r="17" spans="1:7" x14ac:dyDescent="0.2">
      <c r="A17" t="s">
        <v>27</v>
      </c>
      <c r="B17">
        <f t="shared" ref="B17:B27" si="0">AVERAGE(B3:D3)</f>
        <v>3.4815536814452666E-2</v>
      </c>
      <c r="C17">
        <f t="shared" ref="C17:C27" si="1">AVERAGE(E3:G3)</f>
        <v>3.7530054644808734E-2</v>
      </c>
      <c r="D17">
        <f t="shared" ref="D17:D27" si="2">AVERAGE(K3:M3)</f>
        <v>1.8033149171270732E-2</v>
      </c>
      <c r="E17">
        <f t="shared" ref="E17:E27" si="3">AVERAGE(N3:P3)</f>
        <v>2.5333333333333333E-2</v>
      </c>
      <c r="F17">
        <f t="shared" ref="F17:F27" si="4">AVERAGE(H3:J3)</f>
        <v>2.6666666666666666E-3</v>
      </c>
      <c r="G17">
        <f t="shared" ref="G17:G27" si="5">AVERAGE(Q3:S3)</f>
        <v>5.3851986810637936E-2</v>
      </c>
    </row>
    <row r="18" spans="1:7" x14ac:dyDescent="0.2">
      <c r="A18" t="s">
        <v>22</v>
      </c>
      <c r="B18">
        <f t="shared" si="0"/>
        <v>0.12270036358666257</v>
      </c>
      <c r="C18">
        <f t="shared" si="1"/>
        <v>8.0622950819672135E-2</v>
      </c>
      <c r="D18">
        <f t="shared" si="2"/>
        <v>8.3690607734806674E-2</v>
      </c>
      <c r="E18">
        <f t="shared" si="3"/>
        <v>6.6666666666666666E-2</v>
      </c>
      <c r="F18">
        <f t="shared" si="4"/>
        <v>7.3191657410835498E-2</v>
      </c>
      <c r="G18">
        <f t="shared" si="5"/>
        <v>5.5329099287348998E-2</v>
      </c>
    </row>
    <row r="19" spans="1:7" x14ac:dyDescent="0.2">
      <c r="A19" t="s">
        <v>18</v>
      </c>
      <c r="B19">
        <f t="shared" si="0"/>
        <v>0.38281627348574071</v>
      </c>
      <c r="C19">
        <f t="shared" si="1"/>
        <v>0.46080874316939902</v>
      </c>
      <c r="D19">
        <f t="shared" si="2"/>
        <v>0.16477348066298333</v>
      </c>
      <c r="E19">
        <f t="shared" si="3"/>
        <v>0.36000000000000004</v>
      </c>
      <c r="F19">
        <f t="shared" si="4"/>
        <v>0.18020733061828953</v>
      </c>
      <c r="G19">
        <f t="shared" si="5"/>
        <v>0.18444005256530369</v>
      </c>
    </row>
    <row r="20" spans="1:7" x14ac:dyDescent="0.2">
      <c r="A20" t="s">
        <v>20</v>
      </c>
      <c r="B20">
        <f t="shared" si="0"/>
        <v>7.6305419746265438E-2</v>
      </c>
      <c r="C20">
        <f t="shared" si="1"/>
        <v>0.1031584699453552</v>
      </c>
      <c r="D20">
        <f t="shared" si="2"/>
        <v>0.15239779005524867</v>
      </c>
      <c r="E20">
        <f t="shared" si="3"/>
        <v>9.5999999999999988E-2</v>
      </c>
      <c r="F20">
        <f t="shared" si="4"/>
        <v>0.14928890534369998</v>
      </c>
      <c r="G20">
        <f t="shared" si="5"/>
        <v>5.511636764145797E-2</v>
      </c>
    </row>
    <row r="21" spans="1:7" x14ac:dyDescent="0.2">
      <c r="A21" t="s">
        <v>19</v>
      </c>
      <c r="B21">
        <f t="shared" si="0"/>
        <v>2.8218796005759019E-2</v>
      </c>
      <c r="C21">
        <f t="shared" si="1"/>
        <v>5.4316939890710339E-3</v>
      </c>
      <c r="D21">
        <f t="shared" si="2"/>
        <v>0.33771639042357271</v>
      </c>
      <c r="E21">
        <f t="shared" si="3"/>
        <v>0.25733333333333336</v>
      </c>
      <c r="F21">
        <f t="shared" si="4"/>
        <v>0.19376477847710716</v>
      </c>
      <c r="G21">
        <f t="shared" si="5"/>
        <v>0.11137016335731705</v>
      </c>
    </row>
    <row r="22" spans="1:7" x14ac:dyDescent="0.2">
      <c r="A22" t="s">
        <v>26</v>
      </c>
      <c r="B22">
        <f t="shared" si="0"/>
        <v>1.323431127605137E-2</v>
      </c>
      <c r="C22">
        <f t="shared" si="1"/>
        <v>8.1311475409836E-3</v>
      </c>
      <c r="D22">
        <f t="shared" si="2"/>
        <v>2.6732965009208104E-2</v>
      </c>
      <c r="E22">
        <f t="shared" si="3"/>
        <v>5.3333333333333332E-3</v>
      </c>
      <c r="F22">
        <f t="shared" si="4"/>
        <v>6.8890040725657034E-2</v>
      </c>
      <c r="G22">
        <f t="shared" si="5"/>
        <v>0.1161806434789171</v>
      </c>
    </row>
    <row r="23" spans="1:7" x14ac:dyDescent="0.2">
      <c r="A23" t="s">
        <v>28</v>
      </c>
      <c r="B23">
        <f t="shared" si="0"/>
        <v>8.5333986607871865E-3</v>
      </c>
      <c r="C23">
        <f t="shared" si="1"/>
        <v>3.7398907103825131E-2</v>
      </c>
      <c r="D23">
        <f t="shared" si="2"/>
        <v>0</v>
      </c>
      <c r="E23">
        <f t="shared" si="3"/>
        <v>9.3333333333333341E-3</v>
      </c>
      <c r="F23">
        <f t="shared" si="4"/>
        <v>9.0707145501666003E-3</v>
      </c>
      <c r="G23">
        <f t="shared" si="5"/>
        <v>4.2735042735042661E-3</v>
      </c>
    </row>
    <row r="24" spans="1:7" x14ac:dyDescent="0.2">
      <c r="A24" t="s">
        <v>25</v>
      </c>
      <c r="B24">
        <f t="shared" si="0"/>
        <v>4.2462845010615667E-3</v>
      </c>
      <c r="C24">
        <f t="shared" si="1"/>
        <v>7.4808743169399006E-2</v>
      </c>
      <c r="D24">
        <f t="shared" si="2"/>
        <v>7.8924493554327804E-2</v>
      </c>
      <c r="E24">
        <f t="shared" si="3"/>
        <v>7.4666666666666673E-2</v>
      </c>
      <c r="F24">
        <f t="shared" si="4"/>
        <v>2.2908552388004433E-2</v>
      </c>
      <c r="G24">
        <f t="shared" si="5"/>
        <v>3.4097108565193664E-2</v>
      </c>
    </row>
    <row r="25" spans="1:7" x14ac:dyDescent="0.2">
      <c r="A25" t="s">
        <v>24</v>
      </c>
      <c r="B25">
        <f t="shared" si="0"/>
        <v>0.10797446669516053</v>
      </c>
      <c r="C25">
        <f t="shared" si="1"/>
        <v>7.408743169398907E-2</v>
      </c>
      <c r="D25">
        <f t="shared" si="2"/>
        <v>1.0858195211786367E-2</v>
      </c>
      <c r="E25">
        <f t="shared" si="3"/>
        <v>3.5999999999999997E-2</v>
      </c>
      <c r="F25">
        <f t="shared" si="4"/>
        <v>4.6123164260150562E-2</v>
      </c>
      <c r="G25">
        <f t="shared" si="5"/>
        <v>0.10048310670550738</v>
      </c>
    </row>
    <row r="26" spans="1:7" x14ac:dyDescent="0.2">
      <c r="A26" t="s">
        <v>23</v>
      </c>
      <c r="B26">
        <f t="shared" si="0"/>
        <v>0.12309128585046721</v>
      </c>
      <c r="C26">
        <f t="shared" si="1"/>
        <v>4.8229508196721303E-2</v>
      </c>
      <c r="D26">
        <f t="shared" si="2"/>
        <v>9.0489871086556331E-2</v>
      </c>
      <c r="E26">
        <f t="shared" si="3"/>
        <v>1.0666666666666666E-2</v>
      </c>
      <c r="F26">
        <f t="shared" si="4"/>
        <v>0.10480266567937795</v>
      </c>
      <c r="G26">
        <f t="shared" si="5"/>
        <v>0.10491444413564037</v>
      </c>
    </row>
    <row r="27" spans="1:7" x14ac:dyDescent="0.2">
      <c r="A27" t="s">
        <v>29</v>
      </c>
      <c r="B27">
        <f t="shared" si="0"/>
        <v>0</v>
      </c>
      <c r="C27">
        <f t="shared" si="1"/>
        <v>0</v>
      </c>
      <c r="D27">
        <f t="shared" si="2"/>
        <v>0</v>
      </c>
      <c r="E27">
        <f t="shared" si="3"/>
        <v>0</v>
      </c>
      <c r="F27">
        <f t="shared" si="4"/>
        <v>0</v>
      </c>
      <c r="G27">
        <f t="shared" si="5"/>
        <v>0</v>
      </c>
    </row>
  </sheetData>
  <sortState xmlns:xlrd2="http://schemas.microsoft.com/office/spreadsheetml/2017/richdata2" ref="A3:S12">
    <sortCondition ref="A1:A1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3383-538C-428F-9494-E224823D91E8}">
  <dimension ref="A1:S27"/>
  <sheetViews>
    <sheetView tabSelected="1" workbookViewId="0">
      <selection activeCell="M20" sqref="M20"/>
    </sheetView>
  </sheetViews>
  <sheetFormatPr defaultRowHeight="14.25" x14ac:dyDescent="0.2"/>
  <cols>
    <col min="1" max="1" width="18.2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21</v>
      </c>
      <c r="B2">
        <v>0.13269248890800345</v>
      </c>
      <c r="C2">
        <v>0.25649384833457023</v>
      </c>
      <c r="D2">
        <v>0.29293301918825543</v>
      </c>
      <c r="E2">
        <v>0.4546813740348411</v>
      </c>
      <c r="F2">
        <v>0.10307482474792173</v>
      </c>
      <c r="G2">
        <v>0.13105885765711101</v>
      </c>
      <c r="H2">
        <v>0.61992832897341754</v>
      </c>
      <c r="I2">
        <v>0.39683304430682709</v>
      </c>
      <c r="J2">
        <v>0.16090338663918413</v>
      </c>
      <c r="K2">
        <v>1.9908113733575483E-2</v>
      </c>
      <c r="L2">
        <v>2.1334409786073483E-2</v>
      </c>
      <c r="M2">
        <v>0.24316497671284187</v>
      </c>
      <c r="N2">
        <v>0.343763614012771</v>
      </c>
      <c r="O2">
        <v>0.25068240214531146</v>
      </c>
      <c r="P2">
        <v>0.37719631894124295</v>
      </c>
      <c r="Q2">
        <v>0.43818577283659543</v>
      </c>
      <c r="R2">
        <v>0.24195423834617813</v>
      </c>
      <c r="S2">
        <v>0.5518206750962048</v>
      </c>
    </row>
    <row r="3" spans="1:19" x14ac:dyDescent="0.2">
      <c r="A3" t="s">
        <v>27</v>
      </c>
      <c r="B3">
        <v>2.5936077191033202E-2</v>
      </c>
      <c r="C3">
        <v>9.2556998799583796E-3</v>
      </c>
      <c r="D3">
        <v>1.1084820306022499E-2</v>
      </c>
      <c r="E3">
        <v>1.7850167571928598E-2</v>
      </c>
      <c r="F3">
        <v>1.25195493726917E-2</v>
      </c>
      <c r="G3">
        <v>8.4220814026847706E-3</v>
      </c>
      <c r="H3">
        <v>0</v>
      </c>
      <c r="I3">
        <v>0</v>
      </c>
      <c r="J3">
        <v>1.9067691070632101E-3</v>
      </c>
      <c r="K3">
        <v>2.62831799351495E-2</v>
      </c>
      <c r="L3">
        <v>6.4791613961285403E-3</v>
      </c>
      <c r="M3">
        <v>2.3766065466236598E-3</v>
      </c>
      <c r="N3">
        <v>1.7427032289311601E-2</v>
      </c>
      <c r="O3">
        <v>3.8597615666033998E-3</v>
      </c>
      <c r="P3">
        <v>7.48804409448664E-3</v>
      </c>
      <c r="Q3">
        <v>1.94550063641513E-2</v>
      </c>
      <c r="R3">
        <v>4.6835022529537397E-2</v>
      </c>
      <c r="S3">
        <v>1.71686193941818E-3</v>
      </c>
    </row>
    <row r="4" spans="1:19" x14ac:dyDescent="0.2">
      <c r="A4" t="s">
        <v>22</v>
      </c>
      <c r="B4">
        <v>5.67381597283418E-2</v>
      </c>
      <c r="C4">
        <v>4.2238529684733399E-2</v>
      </c>
      <c r="D4">
        <v>2.5711590421573002E-2</v>
      </c>
      <c r="E4">
        <v>3.0641334999607701E-2</v>
      </c>
      <c r="F4">
        <v>3.6736582792139802E-2</v>
      </c>
      <c r="G4">
        <v>1.61220913155187E-2</v>
      </c>
      <c r="H4">
        <v>2.9012680082632302E-3</v>
      </c>
      <c r="I4">
        <v>2.7690373071158798E-3</v>
      </c>
      <c r="J4">
        <v>9.8512211675806399E-2</v>
      </c>
      <c r="K4">
        <v>5.5971287179303997E-2</v>
      </c>
      <c r="L4">
        <v>2.42040745199333E-2</v>
      </c>
      <c r="M4">
        <v>2.49721616899325E-2</v>
      </c>
      <c r="N4">
        <v>1.8782355224081001E-2</v>
      </c>
      <c r="O4">
        <v>2.4140515832220901E-2</v>
      </c>
      <c r="P4">
        <v>3.5209169010558698E-2</v>
      </c>
      <c r="Q4">
        <v>2.8244843658677798E-2</v>
      </c>
      <c r="R4">
        <v>3.3467213999146699E-2</v>
      </c>
      <c r="S4">
        <v>4.3544101599507102E-3</v>
      </c>
    </row>
    <row r="5" spans="1:19" x14ac:dyDescent="0.2">
      <c r="A5" t="s">
        <v>18</v>
      </c>
      <c r="B5">
        <v>0.29420427047417602</v>
      </c>
      <c r="C5">
        <v>0.101569117406605</v>
      </c>
      <c r="D5">
        <v>0.16899820531756801</v>
      </c>
      <c r="E5">
        <v>0.34598182875300498</v>
      </c>
      <c r="F5">
        <v>0.28596691999492102</v>
      </c>
      <c r="G5">
        <v>9.3655939941761607E-2</v>
      </c>
      <c r="H5">
        <v>1.0529364344241499E-2</v>
      </c>
      <c r="I5">
        <v>0.15323674207774399</v>
      </c>
      <c r="J5">
        <v>0.14940996032543299</v>
      </c>
      <c r="K5">
        <v>0.15319812845735201</v>
      </c>
      <c r="L5">
        <v>9.9560231073891906E-2</v>
      </c>
      <c r="M5">
        <v>4.1546865091120697E-2</v>
      </c>
      <c r="N5">
        <v>0.165768086237046</v>
      </c>
      <c r="O5">
        <v>9.8696690413146701E-2</v>
      </c>
      <c r="P5">
        <v>0.28814516006734398</v>
      </c>
      <c r="Q5">
        <v>6.2851977657466196E-2</v>
      </c>
      <c r="R5">
        <v>0.30160748058513198</v>
      </c>
      <c r="S5">
        <v>5.4821275389273297E-2</v>
      </c>
    </row>
    <row r="6" spans="1:19" x14ac:dyDescent="0.2">
      <c r="A6" t="s">
        <v>20</v>
      </c>
      <c r="B6">
        <v>9.3013817325563394E-2</v>
      </c>
      <c r="C6">
        <v>0.15089196091322099</v>
      </c>
      <c r="D6">
        <v>0.14637681604719999</v>
      </c>
      <c r="E6">
        <v>7.0950412869814794E-2</v>
      </c>
      <c r="F6">
        <v>0.17970467926315001</v>
      </c>
      <c r="G6">
        <v>0.29188534913097097</v>
      </c>
      <c r="H6">
        <v>0.189972180306969</v>
      </c>
      <c r="I6">
        <v>0.19671976679528799</v>
      </c>
      <c r="J6">
        <v>0.252740782618253</v>
      </c>
      <c r="K6">
        <v>0.215459118967742</v>
      </c>
      <c r="L6">
        <v>0.29461294240520902</v>
      </c>
      <c r="M6">
        <v>0.36249030313979402</v>
      </c>
      <c r="N6">
        <v>0.100593304197305</v>
      </c>
      <c r="O6">
        <v>0.26724846841900901</v>
      </c>
      <c r="P6">
        <v>0.17736149645608801</v>
      </c>
      <c r="Q6">
        <v>0.125281638964193</v>
      </c>
      <c r="R6">
        <v>3.5744032413783502E-2</v>
      </c>
      <c r="S6">
        <v>9.58496972596449E-2</v>
      </c>
    </row>
    <row r="7" spans="1:19" x14ac:dyDescent="0.2">
      <c r="A7" t="s">
        <v>19</v>
      </c>
      <c r="B7">
        <v>3.0331524190468501E-2</v>
      </c>
      <c r="C7">
        <v>1.63660378053724E-3</v>
      </c>
      <c r="D7">
        <v>1.01705603358663E-2</v>
      </c>
      <c r="E7">
        <v>0</v>
      </c>
      <c r="F7">
        <v>6.6923296675135196E-3</v>
      </c>
      <c r="G7">
        <v>9.7023048470661598E-4</v>
      </c>
      <c r="H7">
        <v>2.82382221182548E-3</v>
      </c>
      <c r="I7">
        <v>6.6414553108093896E-2</v>
      </c>
      <c r="J7">
        <v>0.22275092261236101</v>
      </c>
      <c r="K7">
        <v>0.32777125773323201</v>
      </c>
      <c r="L7">
        <v>0.46103741966806</v>
      </c>
      <c r="M7">
        <v>7.5383749502501299E-3</v>
      </c>
      <c r="N7">
        <v>0.173282786430842</v>
      </c>
      <c r="O7">
        <v>8.9898509070963403E-2</v>
      </c>
      <c r="P7">
        <v>6.4882481236062495E-2</v>
      </c>
      <c r="Q7">
        <v>0.13143077835631101</v>
      </c>
      <c r="R7">
        <v>3.4405650390987398E-2</v>
      </c>
      <c r="S7">
        <v>4.4861116884416397E-3</v>
      </c>
    </row>
    <row r="8" spans="1:19" x14ac:dyDescent="0.2">
      <c r="A8" t="s">
        <v>26</v>
      </c>
      <c r="B8">
        <v>2.5390335205621598E-3</v>
      </c>
      <c r="C8">
        <v>5.5499283085732303E-3</v>
      </c>
      <c r="D8">
        <v>5.4048136347327703E-3</v>
      </c>
      <c r="E8">
        <v>3.5934475499020601E-3</v>
      </c>
      <c r="F8">
        <v>1.17698691128106E-2</v>
      </c>
      <c r="G8">
        <v>0</v>
      </c>
      <c r="H8">
        <v>1.14635261590719E-2</v>
      </c>
      <c r="I8">
        <v>3.2034852331029699E-2</v>
      </c>
      <c r="J8">
        <v>1.6769355558342702E-2</v>
      </c>
      <c r="K8">
        <v>2.0431233167997099E-2</v>
      </c>
      <c r="L8">
        <v>1.3712156675191999E-2</v>
      </c>
      <c r="M8">
        <v>1.0174487388924999E-2</v>
      </c>
      <c r="N8">
        <v>1.5745620586430701E-3</v>
      </c>
      <c r="O8">
        <v>0</v>
      </c>
      <c r="P8">
        <v>4.9989566085040897E-3</v>
      </c>
      <c r="Q8">
        <v>3.2115092411222103E-2</v>
      </c>
      <c r="R8">
        <v>5.5843778351525299E-2</v>
      </c>
      <c r="S8">
        <v>0.13995351376748499</v>
      </c>
    </row>
    <row r="9" spans="1:19" x14ac:dyDescent="0.2">
      <c r="A9" t="s">
        <v>28</v>
      </c>
      <c r="B9">
        <v>5.2452700559505502E-2</v>
      </c>
      <c r="C9">
        <v>6.5740103453400006E-2</v>
      </c>
      <c r="D9">
        <v>0</v>
      </c>
      <c r="E9">
        <v>0</v>
      </c>
      <c r="F9">
        <v>7.5277550438406199E-2</v>
      </c>
      <c r="G9">
        <v>0.35541647395401998</v>
      </c>
      <c r="H9">
        <v>1.98169090592583E-2</v>
      </c>
      <c r="I9">
        <v>4.1135087514668302E-2</v>
      </c>
      <c r="J9">
        <v>0</v>
      </c>
      <c r="K9">
        <v>0</v>
      </c>
      <c r="L9">
        <v>0</v>
      </c>
      <c r="M9">
        <v>0</v>
      </c>
      <c r="N9">
        <v>2.7070179121475E-2</v>
      </c>
      <c r="O9">
        <v>0.108945796588796</v>
      </c>
      <c r="P9">
        <v>0</v>
      </c>
      <c r="Q9">
        <v>0</v>
      </c>
      <c r="R9">
        <v>0</v>
      </c>
      <c r="S9">
        <v>5.3560352819940003E-2</v>
      </c>
    </row>
    <row r="10" spans="1:19" x14ac:dyDescent="0.2">
      <c r="A10" t="s">
        <v>25</v>
      </c>
      <c r="B10">
        <v>0</v>
      </c>
      <c r="C10">
        <v>6.0845274275598497E-3</v>
      </c>
      <c r="D10">
        <v>0</v>
      </c>
      <c r="E10">
        <v>1.5539799875399799E-2</v>
      </c>
      <c r="F10">
        <v>0.196094825108828</v>
      </c>
      <c r="G10">
        <v>8.3741204652965206E-3</v>
      </c>
      <c r="H10">
        <v>6.0673599990628104E-3</v>
      </c>
      <c r="I10">
        <v>6.4868777495783996E-3</v>
      </c>
      <c r="J10">
        <v>2.9884050593782002E-2</v>
      </c>
      <c r="K10">
        <v>0.15118137067634799</v>
      </c>
      <c r="L10">
        <v>4.8197523104865601E-2</v>
      </c>
      <c r="M10">
        <v>2.4251951468903798E-2</v>
      </c>
      <c r="N10">
        <v>0.111623856181263</v>
      </c>
      <c r="O10">
        <v>1.89043054928636E-2</v>
      </c>
      <c r="P10">
        <v>2.3246489945217601E-2</v>
      </c>
      <c r="Q10">
        <v>4.5300959453950601E-2</v>
      </c>
      <c r="R10">
        <v>0</v>
      </c>
      <c r="S10">
        <v>1.2813417471635001E-2</v>
      </c>
    </row>
    <row r="11" spans="1:19" x14ac:dyDescent="0.2">
      <c r="A11" t="s">
        <v>24</v>
      </c>
      <c r="B11">
        <v>0.24189193833911701</v>
      </c>
      <c r="C11">
        <v>8.7687718722129798E-2</v>
      </c>
      <c r="D11">
        <v>0.13440460754250799</v>
      </c>
      <c r="E11">
        <v>5.3949462995007899E-2</v>
      </c>
      <c r="F11">
        <v>8.1432065833379003E-2</v>
      </c>
      <c r="G11">
        <v>7.0164189414657602E-2</v>
      </c>
      <c r="H11">
        <v>6.0819223208372899E-3</v>
      </c>
      <c r="I11">
        <v>6.4256048844830493E-2</v>
      </c>
      <c r="J11">
        <v>6.41718984387597E-2</v>
      </c>
      <c r="K11">
        <v>1.3357799229132101E-2</v>
      </c>
      <c r="L11">
        <v>4.0658692934462002E-3</v>
      </c>
      <c r="M11">
        <v>1.1436096184740299E-2</v>
      </c>
      <c r="N11">
        <v>2.59153682807194E-2</v>
      </c>
      <c r="O11">
        <v>0.13717138730270101</v>
      </c>
      <c r="P11">
        <v>1.56624181535262E-2</v>
      </c>
      <c r="Q11">
        <v>7.4135207828532307E-2</v>
      </c>
      <c r="R11">
        <v>0.19592382214976001</v>
      </c>
      <c r="S11">
        <v>2.2899753292284698E-2</v>
      </c>
    </row>
    <row r="12" spans="1:19" x14ac:dyDescent="0.2">
      <c r="A12" t="s">
        <v>23</v>
      </c>
      <c r="B12">
        <v>7.0199989763228901E-2</v>
      </c>
      <c r="C12">
        <v>0.27285196208871199</v>
      </c>
      <c r="D12">
        <v>0.20491556720627399</v>
      </c>
      <c r="E12">
        <v>6.8121713504931602E-3</v>
      </c>
      <c r="F12">
        <v>1.07308036682383E-2</v>
      </c>
      <c r="G12">
        <v>2.3930666233272099E-2</v>
      </c>
      <c r="H12">
        <v>0.13041531861705299</v>
      </c>
      <c r="I12">
        <v>4.0113989964824202E-2</v>
      </c>
      <c r="J12">
        <v>2.9506624310149301E-3</v>
      </c>
      <c r="K12">
        <v>1.64385109201679E-2</v>
      </c>
      <c r="L12">
        <v>2.6796212077199899E-2</v>
      </c>
      <c r="M12">
        <v>0.27204817682686799</v>
      </c>
      <c r="N12">
        <v>1.4198855966542899E-2</v>
      </c>
      <c r="O12">
        <v>4.5216316838459799E-4</v>
      </c>
      <c r="P12">
        <v>5.8094654869692199E-3</v>
      </c>
      <c r="Q12">
        <v>4.2998722468900297E-2</v>
      </c>
      <c r="R12">
        <v>5.42187612339496E-2</v>
      </c>
      <c r="S12">
        <v>5.7723931115721799E-2</v>
      </c>
    </row>
    <row r="13" spans="1:19" x14ac:dyDescent="0.2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5" spans="1:19" x14ac:dyDescent="0.2">
      <c r="B15" t="s">
        <v>31</v>
      </c>
      <c r="C15" t="s">
        <v>32</v>
      </c>
      <c r="D15" t="s">
        <v>34</v>
      </c>
      <c r="E15" t="s">
        <v>35</v>
      </c>
      <c r="F15" t="s">
        <v>33</v>
      </c>
      <c r="G15" t="s">
        <v>36</v>
      </c>
    </row>
    <row r="16" spans="1:19" x14ac:dyDescent="0.2">
      <c r="A16" t="s">
        <v>21</v>
      </c>
      <c r="B16">
        <f>AVERAGE(B2:D2)</f>
        <v>0.22737311881027636</v>
      </c>
      <c r="C16">
        <f>AVERAGE(E2:G2)</f>
        <v>0.22960501881329129</v>
      </c>
      <c r="D16">
        <f>AVERAGE(K2:M2)</f>
        <v>9.4802500077496951E-2</v>
      </c>
      <c r="E16">
        <f>AVERAGE(N2:P2)</f>
        <v>0.3238807783664418</v>
      </c>
      <c r="F16">
        <f>AVERAGE(H2:J2)</f>
        <v>0.3925549199731429</v>
      </c>
      <c r="G16">
        <f>AVERAGE(Q2:S2)</f>
        <v>0.41065356209299281</v>
      </c>
    </row>
    <row r="17" spans="1:7" x14ac:dyDescent="0.2">
      <c r="A17" t="s">
        <v>27</v>
      </c>
      <c r="B17">
        <f t="shared" ref="B17:B27" si="0">AVERAGE(B3:D3)</f>
        <v>1.5425532459004694E-2</v>
      </c>
      <c r="C17">
        <f t="shared" ref="C17:C27" si="1">AVERAGE(E3:G3)</f>
        <v>1.2930599449101689E-2</v>
      </c>
      <c r="D17">
        <f t="shared" ref="D17:D27" si="2">AVERAGE(K3:M3)</f>
        <v>1.1712982625967233E-2</v>
      </c>
      <c r="E17">
        <f t="shared" ref="E17:E27" si="3">AVERAGE(N3:P3)</f>
        <v>9.5916126501338801E-3</v>
      </c>
      <c r="F17">
        <f t="shared" ref="F17:F27" si="4">AVERAGE(H3:J3)</f>
        <v>6.3558970235440336E-4</v>
      </c>
      <c r="G17">
        <f t="shared" ref="G17:G27" si="5">AVERAGE(Q3:S3)</f>
        <v>2.2668963611035625E-2</v>
      </c>
    </row>
    <row r="18" spans="1:7" x14ac:dyDescent="0.2">
      <c r="A18" t="s">
        <v>22</v>
      </c>
      <c r="B18">
        <f t="shared" si="0"/>
        <v>4.1562759944882732E-2</v>
      </c>
      <c r="C18">
        <f t="shared" si="1"/>
        <v>2.7833336369088735E-2</v>
      </c>
      <c r="D18">
        <f t="shared" si="2"/>
        <v>3.5049174463056602E-2</v>
      </c>
      <c r="E18">
        <f t="shared" si="3"/>
        <v>2.6044013355620201E-2</v>
      </c>
      <c r="F18">
        <f t="shared" si="4"/>
        <v>3.4727505663728502E-2</v>
      </c>
      <c r="G18">
        <f t="shared" si="5"/>
        <v>2.2022155939258405E-2</v>
      </c>
    </row>
    <row r="19" spans="1:7" x14ac:dyDescent="0.2">
      <c r="A19" t="s">
        <v>18</v>
      </c>
      <c r="B19">
        <f t="shared" si="0"/>
        <v>0.18825719773278302</v>
      </c>
      <c r="C19">
        <f t="shared" si="1"/>
        <v>0.2418682295632292</v>
      </c>
      <c r="D19">
        <f t="shared" si="2"/>
        <v>9.8101741540788212E-2</v>
      </c>
      <c r="E19">
        <f t="shared" si="3"/>
        <v>0.18420331223917888</v>
      </c>
      <c r="F19">
        <f t="shared" si="4"/>
        <v>0.1043920222491395</v>
      </c>
      <c r="G19">
        <f t="shared" si="5"/>
        <v>0.13976024454395716</v>
      </c>
    </row>
    <row r="20" spans="1:7" x14ac:dyDescent="0.2">
      <c r="A20" t="s">
        <v>20</v>
      </c>
      <c r="B20">
        <f t="shared" si="0"/>
        <v>0.13009419809532813</v>
      </c>
      <c r="C20">
        <f t="shared" si="1"/>
        <v>0.18084681375464526</v>
      </c>
      <c r="D20">
        <f t="shared" si="2"/>
        <v>0.29085412150424833</v>
      </c>
      <c r="E20">
        <f t="shared" si="3"/>
        <v>0.18173442302413401</v>
      </c>
      <c r="F20">
        <f t="shared" si="4"/>
        <v>0.21314424324017001</v>
      </c>
      <c r="G20">
        <f t="shared" si="5"/>
        <v>8.5625122879207136E-2</v>
      </c>
    </row>
    <row r="21" spans="1:7" x14ac:dyDescent="0.2">
      <c r="A21" t="s">
        <v>19</v>
      </c>
      <c r="B21">
        <f t="shared" si="0"/>
        <v>1.4046229435624015E-2</v>
      </c>
      <c r="C21">
        <f t="shared" si="1"/>
        <v>2.5541867174067117E-3</v>
      </c>
      <c r="D21">
        <f t="shared" si="2"/>
        <v>0.26544901745051402</v>
      </c>
      <c r="E21">
        <f t="shared" si="3"/>
        <v>0.10935459224595596</v>
      </c>
      <c r="F21">
        <f t="shared" si="4"/>
        <v>9.7329765977426805E-2</v>
      </c>
      <c r="G21">
        <f t="shared" si="5"/>
        <v>5.6774180145246683E-2</v>
      </c>
    </row>
    <row r="22" spans="1:7" x14ac:dyDescent="0.2">
      <c r="A22" t="s">
        <v>26</v>
      </c>
      <c r="B22">
        <f t="shared" si="0"/>
        <v>4.4979251546227207E-3</v>
      </c>
      <c r="C22">
        <f t="shared" si="1"/>
        <v>5.1211055542375533E-3</v>
      </c>
      <c r="D22">
        <f t="shared" si="2"/>
        <v>1.4772625744038032E-2</v>
      </c>
      <c r="E22">
        <f t="shared" si="3"/>
        <v>2.1911728890490535E-3</v>
      </c>
      <c r="F22">
        <f t="shared" si="4"/>
        <v>2.0089244682814769E-2</v>
      </c>
      <c r="G22">
        <f t="shared" si="5"/>
        <v>7.5970794843410794E-2</v>
      </c>
    </row>
    <row r="23" spans="1:7" x14ac:dyDescent="0.2">
      <c r="A23" t="s">
        <v>28</v>
      </c>
      <c r="B23">
        <f t="shared" si="0"/>
        <v>3.9397601337635167E-2</v>
      </c>
      <c r="C23">
        <f t="shared" si="1"/>
        <v>0.14356467479747539</v>
      </c>
      <c r="D23">
        <f t="shared" si="2"/>
        <v>0</v>
      </c>
      <c r="E23">
        <f t="shared" si="3"/>
        <v>4.5338658570090333E-2</v>
      </c>
      <c r="F23">
        <f t="shared" si="4"/>
        <v>2.0317332191308868E-2</v>
      </c>
      <c r="G23">
        <f t="shared" si="5"/>
        <v>1.785345093998E-2</v>
      </c>
    </row>
    <row r="24" spans="1:7" x14ac:dyDescent="0.2">
      <c r="A24" t="s">
        <v>25</v>
      </c>
      <c r="B24">
        <f t="shared" si="0"/>
        <v>2.0281758091866167E-3</v>
      </c>
      <c r="C24">
        <f t="shared" si="1"/>
        <v>7.3336248483174771E-2</v>
      </c>
      <c r="D24">
        <f t="shared" si="2"/>
        <v>7.4543615083372469E-2</v>
      </c>
      <c r="E24">
        <f t="shared" si="3"/>
        <v>5.1258217206448069E-2</v>
      </c>
      <c r="F24">
        <f t="shared" si="4"/>
        <v>1.414609611414107E-2</v>
      </c>
      <c r="G24">
        <f t="shared" si="5"/>
        <v>1.93714589751952E-2</v>
      </c>
    </row>
    <row r="25" spans="1:7" x14ac:dyDescent="0.2">
      <c r="A25" t="s">
        <v>24</v>
      </c>
      <c r="B25">
        <f t="shared" si="0"/>
        <v>0.15466142153458493</v>
      </c>
      <c r="C25">
        <f t="shared" si="1"/>
        <v>6.8515239414348159E-2</v>
      </c>
      <c r="D25">
        <f t="shared" si="2"/>
        <v>9.6199215691061997E-3</v>
      </c>
      <c r="E25">
        <f t="shared" si="3"/>
        <v>5.958305791231553E-2</v>
      </c>
      <c r="F25">
        <f t="shared" si="4"/>
        <v>4.4836623201475828E-2</v>
      </c>
      <c r="G25">
        <f t="shared" si="5"/>
        <v>9.765292775685902E-2</v>
      </c>
    </row>
    <row r="26" spans="1:7" x14ac:dyDescent="0.2">
      <c r="A26" t="s">
        <v>23</v>
      </c>
      <c r="B26">
        <f t="shared" si="0"/>
        <v>0.1826558396860716</v>
      </c>
      <c r="C26">
        <f t="shared" si="1"/>
        <v>1.3824547084001187E-2</v>
      </c>
      <c r="D26">
        <f t="shared" si="2"/>
        <v>0.10509429994141194</v>
      </c>
      <c r="E26">
        <f t="shared" si="3"/>
        <v>6.8201615406322386E-3</v>
      </c>
      <c r="F26">
        <f t="shared" si="4"/>
        <v>5.7826657004297378E-2</v>
      </c>
      <c r="G26">
        <f t="shared" si="5"/>
        <v>5.1647138272857239E-2</v>
      </c>
    </row>
    <row r="27" spans="1:7" x14ac:dyDescent="0.2">
      <c r="A27" t="s">
        <v>29</v>
      </c>
      <c r="B27">
        <f t="shared" si="0"/>
        <v>0</v>
      </c>
      <c r="C27">
        <f t="shared" si="1"/>
        <v>0</v>
      </c>
      <c r="D27">
        <f t="shared" si="2"/>
        <v>0</v>
      </c>
      <c r="E27">
        <f t="shared" si="3"/>
        <v>0</v>
      </c>
      <c r="F27">
        <f t="shared" si="4"/>
        <v>0</v>
      </c>
      <c r="G27">
        <f t="shared" si="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A19C-B1D1-41E0-896F-EF793B837654}">
  <dimension ref="A1:S27"/>
  <sheetViews>
    <sheetView workbookViewId="0">
      <selection activeCell="W7" sqref="W7"/>
    </sheetView>
  </sheetViews>
  <sheetFormatPr defaultRowHeight="14.25" x14ac:dyDescent="0.2"/>
  <cols>
    <col min="1" max="1" width="18.2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21</v>
      </c>
      <c r="B2">
        <v>4.172461752433021E-3</v>
      </c>
      <c r="C2">
        <v>0.15020862308762195</v>
      </c>
      <c r="D2">
        <v>0.14186369958275447</v>
      </c>
      <c r="E2">
        <v>0.2586926286509037</v>
      </c>
      <c r="F2">
        <v>0.14186369958275336</v>
      </c>
      <c r="G2">
        <v>6.9541029207232263E-2</v>
      </c>
      <c r="H2">
        <v>3.7552155771905404E-2</v>
      </c>
      <c r="I2">
        <v>0.1335187760778862</v>
      </c>
      <c r="J2">
        <v>5.9805285118220253E-2</v>
      </c>
      <c r="K2">
        <v>5.8414464534075394E-2</v>
      </c>
      <c r="L2">
        <v>0.18219749652294892</v>
      </c>
      <c r="M2">
        <v>9.8748261474269849E-2</v>
      </c>
      <c r="N2">
        <v>5.1460361613352767E-2</v>
      </c>
      <c r="O2">
        <v>8.3449235048675963E-3</v>
      </c>
      <c r="P2">
        <v>0.11543810848400571</v>
      </c>
      <c r="Q2">
        <v>0.26286509040333783</v>
      </c>
      <c r="R2">
        <v>0.24895688456189147</v>
      </c>
      <c r="S2">
        <v>0.2336578581363008</v>
      </c>
    </row>
    <row r="3" spans="1:19" x14ac:dyDescent="0.2">
      <c r="A3" t="s">
        <v>27</v>
      </c>
      <c r="B3">
        <v>1.9471488178025E-2</v>
      </c>
      <c r="C3">
        <v>1.5299026425591101E-2</v>
      </c>
      <c r="D3">
        <v>0</v>
      </c>
      <c r="E3">
        <v>0.13769123783032</v>
      </c>
      <c r="F3">
        <v>9.7357440890125206E-3</v>
      </c>
      <c r="G3">
        <v>2.3643949930458999E-2</v>
      </c>
      <c r="H3">
        <v>1.9471488178025E-2</v>
      </c>
      <c r="I3">
        <v>9.7357440890125206E-3</v>
      </c>
      <c r="J3">
        <v>0</v>
      </c>
      <c r="K3">
        <v>3.1988873435326803E-2</v>
      </c>
      <c r="L3">
        <v>5.5632823365785802E-3</v>
      </c>
      <c r="M3">
        <v>0</v>
      </c>
      <c r="N3">
        <v>0.100139082058414</v>
      </c>
      <c r="O3">
        <v>9.7357440890125206E-3</v>
      </c>
      <c r="P3">
        <v>4.0333796940194698E-2</v>
      </c>
      <c r="Q3">
        <v>2.3643949930458999E-2</v>
      </c>
      <c r="R3">
        <v>0</v>
      </c>
      <c r="S3">
        <v>6.9541029207232296E-3</v>
      </c>
    </row>
    <row r="4" spans="1:19" x14ac:dyDescent="0.2">
      <c r="A4" t="s">
        <v>22</v>
      </c>
      <c r="B4">
        <v>2.22531293463143E-2</v>
      </c>
      <c r="C4">
        <v>1.8080667593880401E-2</v>
      </c>
      <c r="D4">
        <v>4.45062586926286E-2</v>
      </c>
      <c r="E4">
        <v>1.3908205841446499E-2</v>
      </c>
      <c r="F4">
        <v>1.25173852573018E-2</v>
      </c>
      <c r="G4">
        <v>1.3908205841446499E-2</v>
      </c>
      <c r="H4">
        <v>5.5632823365785802E-3</v>
      </c>
      <c r="I4">
        <v>1.25173852573018E-2</v>
      </c>
      <c r="J4">
        <v>5.5632823365785802E-3</v>
      </c>
      <c r="K4">
        <v>1.6689847009735699E-2</v>
      </c>
      <c r="L4">
        <v>1.6689847009735699E-2</v>
      </c>
      <c r="M4">
        <v>2.5034770514603601E-2</v>
      </c>
      <c r="N4">
        <v>0</v>
      </c>
      <c r="O4">
        <v>1.8080667593880401E-2</v>
      </c>
      <c r="P4">
        <v>4.1724617524339404E-3</v>
      </c>
      <c r="Q4">
        <v>1.11265646731572E-2</v>
      </c>
      <c r="R4">
        <v>9.7357440890125206E-3</v>
      </c>
      <c r="S4">
        <v>0</v>
      </c>
    </row>
    <row r="5" spans="1:19" x14ac:dyDescent="0.2">
      <c r="A5" t="s">
        <v>18</v>
      </c>
      <c r="B5">
        <v>8.7621696801112703E-2</v>
      </c>
      <c r="C5">
        <v>5.5632823365785802E-2</v>
      </c>
      <c r="D5">
        <v>4.0333796940194698E-2</v>
      </c>
      <c r="E5">
        <v>0.13073713490959701</v>
      </c>
      <c r="F5">
        <v>0.11821974965229499</v>
      </c>
      <c r="G5">
        <v>6.2586926286508998E-2</v>
      </c>
      <c r="H5">
        <v>4.7287899860917901E-2</v>
      </c>
      <c r="I5">
        <v>4.86787204450626E-2</v>
      </c>
      <c r="J5">
        <v>9.1794158553546598E-2</v>
      </c>
      <c r="K5">
        <v>6.5368567454798299E-2</v>
      </c>
      <c r="L5">
        <v>0.100139082058414</v>
      </c>
      <c r="M5">
        <v>8.7621696801112703E-2</v>
      </c>
      <c r="N5">
        <v>0.154381084840056</v>
      </c>
      <c r="O5">
        <v>7.9276773296244801E-2</v>
      </c>
      <c r="P5">
        <v>0.15855354659248999</v>
      </c>
      <c r="Q5">
        <v>3.7552155771905397E-2</v>
      </c>
      <c r="R5">
        <v>9.5966620305980493E-2</v>
      </c>
      <c r="S5">
        <v>7.37134909596662E-2</v>
      </c>
    </row>
    <row r="6" spans="1:19" x14ac:dyDescent="0.2">
      <c r="A6" t="s">
        <v>20</v>
      </c>
      <c r="B6">
        <v>0</v>
      </c>
      <c r="C6">
        <v>1.39082058414465E-3</v>
      </c>
      <c r="D6">
        <v>0</v>
      </c>
      <c r="E6">
        <v>0</v>
      </c>
      <c r="F6">
        <v>1.39082058414465E-3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5.5632823365785802E-3</v>
      </c>
      <c r="S6">
        <v>0</v>
      </c>
    </row>
    <row r="7" spans="1:19" x14ac:dyDescent="0.2">
      <c r="A7" t="s">
        <v>19</v>
      </c>
      <c r="B7">
        <v>0</v>
      </c>
      <c r="C7">
        <v>0</v>
      </c>
      <c r="D7">
        <v>0</v>
      </c>
      <c r="E7">
        <v>1.25173852573018E-2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1.6689847009735699E-2</v>
      </c>
      <c r="S7">
        <v>0</v>
      </c>
    </row>
    <row r="8" spans="1:19" x14ac:dyDescent="0.2">
      <c r="A8" t="s">
        <v>26</v>
      </c>
      <c r="B8">
        <v>8.3449235048678697E-2</v>
      </c>
      <c r="C8">
        <v>7.7885952712100096E-2</v>
      </c>
      <c r="D8">
        <v>0.20723226703755199</v>
      </c>
      <c r="E8">
        <v>0.17524339360222499</v>
      </c>
      <c r="F8">
        <v>7.37134909596662E-2</v>
      </c>
      <c r="G8">
        <v>2.92072322670376E-2</v>
      </c>
      <c r="H8">
        <v>0.23504867872044499</v>
      </c>
      <c r="I8">
        <v>0.45062586926286502</v>
      </c>
      <c r="J8">
        <v>0.23783031988873399</v>
      </c>
      <c r="K8">
        <v>0.19749652294854</v>
      </c>
      <c r="L8">
        <v>0.201668984700974</v>
      </c>
      <c r="M8">
        <v>0.28929068150208598</v>
      </c>
      <c r="N8">
        <v>0.166898470097357</v>
      </c>
      <c r="O8">
        <v>6.8150208623087599E-2</v>
      </c>
      <c r="P8">
        <v>0.229485396383866</v>
      </c>
      <c r="Q8">
        <v>0.201668984700974</v>
      </c>
      <c r="R8">
        <v>0.114047287899861</v>
      </c>
      <c r="S8">
        <v>0.25312934631432499</v>
      </c>
    </row>
    <row r="9" spans="1:19" x14ac:dyDescent="0.2">
      <c r="A9" t="s">
        <v>28</v>
      </c>
      <c r="B9">
        <v>0</v>
      </c>
      <c r="C9">
        <v>0</v>
      </c>
      <c r="D9">
        <v>0</v>
      </c>
      <c r="E9">
        <v>1.25173852573018E-2</v>
      </c>
      <c r="F9">
        <v>0</v>
      </c>
      <c r="G9">
        <v>7.9276773296244801E-2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1.3908205841446499E-2</v>
      </c>
      <c r="Q9">
        <v>0</v>
      </c>
      <c r="R9">
        <v>0</v>
      </c>
      <c r="S9">
        <v>0</v>
      </c>
    </row>
    <row r="10" spans="1:19" x14ac:dyDescent="0.2">
      <c r="A10" t="s">
        <v>25</v>
      </c>
      <c r="B10">
        <v>2.0862308762169698E-2</v>
      </c>
      <c r="C10">
        <v>0</v>
      </c>
      <c r="D10">
        <v>0</v>
      </c>
      <c r="E10">
        <v>0</v>
      </c>
      <c r="F10">
        <v>7.7885952712100096E-2</v>
      </c>
      <c r="G10">
        <v>0</v>
      </c>
      <c r="H10">
        <v>0</v>
      </c>
      <c r="I10">
        <v>5.4242002781641201E-2</v>
      </c>
      <c r="J10">
        <v>0</v>
      </c>
      <c r="K10">
        <v>5.5632823365785802E-3</v>
      </c>
      <c r="L10">
        <v>5.5632823365785802E-3</v>
      </c>
      <c r="M10">
        <v>0</v>
      </c>
      <c r="N10">
        <v>3.0598052851182202E-2</v>
      </c>
      <c r="O10">
        <v>4.1724617524339404E-3</v>
      </c>
      <c r="P10">
        <v>0</v>
      </c>
      <c r="Q10">
        <v>1.11265646731572E-2</v>
      </c>
      <c r="R10">
        <v>4.1724617524339397E-2</v>
      </c>
      <c r="S10">
        <v>6.9541029207232296E-3</v>
      </c>
    </row>
    <row r="11" spans="1:19" x14ac:dyDescent="0.2">
      <c r="A11" t="s">
        <v>24</v>
      </c>
      <c r="B11">
        <v>0.16272600834492401</v>
      </c>
      <c r="C11">
        <v>0</v>
      </c>
      <c r="D11">
        <v>2.7816411682892901E-3</v>
      </c>
      <c r="E11">
        <v>5.5632823365785802E-3</v>
      </c>
      <c r="F11">
        <v>8.4840055632823402E-2</v>
      </c>
      <c r="G11">
        <v>0</v>
      </c>
      <c r="H11">
        <v>0</v>
      </c>
      <c r="I11">
        <v>4.1724617524339397E-2</v>
      </c>
      <c r="J11">
        <v>1.39082058414465E-3</v>
      </c>
      <c r="K11">
        <v>0</v>
      </c>
      <c r="L11">
        <v>6.9541029207232296E-3</v>
      </c>
      <c r="M11">
        <v>0</v>
      </c>
      <c r="N11">
        <v>0.14881780250347701</v>
      </c>
      <c r="O11">
        <v>1.11265646731572E-2</v>
      </c>
      <c r="P11">
        <v>2.3643949930458999E-2</v>
      </c>
      <c r="Q11">
        <v>2.0862308762169698E-2</v>
      </c>
      <c r="R11">
        <v>9.1794158553546598E-2</v>
      </c>
      <c r="S11">
        <v>7.9276773296244801E-2</v>
      </c>
    </row>
    <row r="12" spans="1:19" x14ac:dyDescent="0.2">
      <c r="A12" t="s">
        <v>23</v>
      </c>
      <c r="B12">
        <v>2.92072322670376E-2</v>
      </c>
      <c r="C12">
        <v>0.2336578581363</v>
      </c>
      <c r="D12">
        <v>0.19193324061196099</v>
      </c>
      <c r="E12">
        <v>1.39082058414465E-3</v>
      </c>
      <c r="F12">
        <v>0</v>
      </c>
      <c r="G12">
        <v>4.7287899860917901E-2</v>
      </c>
      <c r="H12">
        <v>5.8414464534075103E-2</v>
      </c>
      <c r="I12">
        <v>2.7816411682892901E-3</v>
      </c>
      <c r="J12">
        <v>0</v>
      </c>
      <c r="K12">
        <v>2.22531293463143E-2</v>
      </c>
      <c r="L12">
        <v>0</v>
      </c>
      <c r="M12">
        <v>0.114047287899861</v>
      </c>
      <c r="N12">
        <v>0</v>
      </c>
      <c r="O12">
        <v>4.1724617524339404E-3</v>
      </c>
      <c r="P12">
        <v>2.7816411682892901E-3</v>
      </c>
      <c r="Q12">
        <v>1.39082058414465E-3</v>
      </c>
      <c r="R12">
        <v>9.7357440890125199E-2</v>
      </c>
      <c r="S12">
        <v>3.1988873435326803E-2</v>
      </c>
    </row>
    <row r="13" spans="1:19" x14ac:dyDescent="0.2">
      <c r="A13" t="s">
        <v>29</v>
      </c>
      <c r="B13">
        <v>0.57023643949930503</v>
      </c>
      <c r="C13">
        <v>0.44784422809457602</v>
      </c>
      <c r="D13">
        <v>0.37134909596662002</v>
      </c>
      <c r="E13">
        <v>0.25173852573018102</v>
      </c>
      <c r="F13">
        <v>0.47983310152990299</v>
      </c>
      <c r="G13">
        <v>0.67454798331015298</v>
      </c>
      <c r="H13">
        <v>0.59666203059805301</v>
      </c>
      <c r="I13">
        <v>0.246175243393602</v>
      </c>
      <c r="J13">
        <v>0.60361613351877597</v>
      </c>
      <c r="K13">
        <v>0.602225312934631</v>
      </c>
      <c r="L13">
        <v>0.48122392211404702</v>
      </c>
      <c r="M13">
        <v>0.385257301808067</v>
      </c>
      <c r="N13">
        <v>0.34770514603616098</v>
      </c>
      <c r="O13">
        <v>0.79694019471488198</v>
      </c>
      <c r="P13">
        <v>0.41168289290681498</v>
      </c>
      <c r="Q13">
        <v>0.42976356050069497</v>
      </c>
      <c r="R13">
        <v>0.278164116828929</v>
      </c>
      <c r="S13">
        <v>0.31432545201668999</v>
      </c>
    </row>
    <row r="15" spans="1:19" x14ac:dyDescent="0.2">
      <c r="B15" t="s">
        <v>31</v>
      </c>
      <c r="C15" t="s">
        <v>32</v>
      </c>
      <c r="D15" t="s">
        <v>34</v>
      </c>
      <c r="E15" t="s">
        <v>35</v>
      </c>
      <c r="F15" t="s">
        <v>33</v>
      </c>
      <c r="G15" t="s">
        <v>36</v>
      </c>
    </row>
    <row r="16" spans="1:19" x14ac:dyDescent="0.2">
      <c r="A16" t="s">
        <v>21</v>
      </c>
      <c r="B16">
        <f>AVERAGE(B2:D2)</f>
        <v>9.8748261474269808E-2</v>
      </c>
      <c r="C16">
        <f>AVERAGE(E2:G2)</f>
        <v>0.15669911914696311</v>
      </c>
      <c r="D16">
        <f>AVERAGE(K2:M2)</f>
        <v>0.11312007417709806</v>
      </c>
      <c r="E16">
        <f>AVERAGE(N2:P2)</f>
        <v>5.841446453407536E-2</v>
      </c>
      <c r="F16">
        <f>AVERAGE(H2:J2)</f>
        <v>7.6958738989337291E-2</v>
      </c>
      <c r="G16">
        <f>AVERAGE(Q2:S2)</f>
        <v>0.24849327770051002</v>
      </c>
    </row>
    <row r="17" spans="1:7" x14ac:dyDescent="0.2">
      <c r="A17" t="s">
        <v>27</v>
      </c>
      <c r="B17">
        <f t="shared" ref="B17:B27" si="0">AVERAGE(B3:D3)</f>
        <v>1.1590171534538701E-2</v>
      </c>
      <c r="C17">
        <f t="shared" ref="C17:C27" si="1">AVERAGE(E3:G3)</f>
        <v>5.7023643949930501E-2</v>
      </c>
      <c r="D17">
        <f t="shared" ref="D17:D27" si="2">AVERAGE(K3:M3)</f>
        <v>1.2517385257301795E-2</v>
      </c>
      <c r="E17">
        <f t="shared" ref="E17:E27" si="3">AVERAGE(N3:P3)</f>
        <v>5.0069541029207076E-2</v>
      </c>
      <c r="F17">
        <f t="shared" ref="F17:F27" si="4">AVERAGE(H3:J3)</f>
        <v>9.7357440890125067E-3</v>
      </c>
      <c r="G17">
        <f t="shared" ref="G17:G27" si="5">AVERAGE(Q3:S3)</f>
        <v>1.0199350950394077E-2</v>
      </c>
    </row>
    <row r="18" spans="1:7" x14ac:dyDescent="0.2">
      <c r="A18" t="s">
        <v>22</v>
      </c>
      <c r="B18">
        <f t="shared" si="0"/>
        <v>2.8280018544274435E-2</v>
      </c>
      <c r="C18">
        <f t="shared" si="1"/>
        <v>1.3444598980064934E-2</v>
      </c>
      <c r="D18">
        <f t="shared" si="2"/>
        <v>1.9471488178025E-2</v>
      </c>
      <c r="E18">
        <f t="shared" si="3"/>
        <v>7.4177097821047809E-3</v>
      </c>
      <c r="F18">
        <f t="shared" si="4"/>
        <v>7.8813166434863208E-3</v>
      </c>
      <c r="G18">
        <f t="shared" si="5"/>
        <v>6.95410292072324E-3</v>
      </c>
    </row>
    <row r="19" spans="1:7" x14ac:dyDescent="0.2">
      <c r="A19" t="s">
        <v>18</v>
      </c>
      <c r="B19">
        <f t="shared" si="0"/>
        <v>6.1196105702364396E-2</v>
      </c>
      <c r="C19">
        <f t="shared" si="1"/>
        <v>0.10384793694946699</v>
      </c>
      <c r="D19">
        <f t="shared" si="2"/>
        <v>8.4376448771441667E-2</v>
      </c>
      <c r="E19">
        <f t="shared" si="3"/>
        <v>0.13073713490959693</v>
      </c>
      <c r="F19">
        <f t="shared" si="4"/>
        <v>6.2586926286509026E-2</v>
      </c>
      <c r="G19">
        <f t="shared" si="5"/>
        <v>6.9077422345850695E-2</v>
      </c>
    </row>
    <row r="20" spans="1:7" x14ac:dyDescent="0.2">
      <c r="A20" t="s">
        <v>20</v>
      </c>
      <c r="B20">
        <f t="shared" si="0"/>
        <v>4.6360686138155E-4</v>
      </c>
      <c r="C20">
        <f t="shared" si="1"/>
        <v>4.6360686138155E-4</v>
      </c>
      <c r="D20">
        <f t="shared" si="2"/>
        <v>0</v>
      </c>
      <c r="E20">
        <f t="shared" si="3"/>
        <v>0</v>
      </c>
      <c r="F20">
        <f t="shared" si="4"/>
        <v>0</v>
      </c>
      <c r="G20">
        <f t="shared" si="5"/>
        <v>1.8544274455261935E-3</v>
      </c>
    </row>
    <row r="21" spans="1:7" x14ac:dyDescent="0.2">
      <c r="A21" t="s">
        <v>19</v>
      </c>
      <c r="B21">
        <f t="shared" si="0"/>
        <v>0</v>
      </c>
      <c r="C21">
        <f t="shared" si="1"/>
        <v>4.1724617524339334E-3</v>
      </c>
      <c r="D21">
        <f t="shared" si="2"/>
        <v>0</v>
      </c>
      <c r="E21">
        <f t="shared" si="3"/>
        <v>0</v>
      </c>
      <c r="F21">
        <f t="shared" si="4"/>
        <v>0</v>
      </c>
      <c r="G21">
        <f t="shared" si="5"/>
        <v>5.5632823365785664E-3</v>
      </c>
    </row>
    <row r="22" spans="1:7" x14ac:dyDescent="0.2">
      <c r="A22" t="s">
        <v>26</v>
      </c>
      <c r="B22">
        <f t="shared" si="0"/>
        <v>0.12285581826611025</v>
      </c>
      <c r="C22">
        <f t="shared" si="1"/>
        <v>9.2721372276309597E-2</v>
      </c>
      <c r="D22">
        <f t="shared" si="2"/>
        <v>0.22948539638386664</v>
      </c>
      <c r="E22">
        <f t="shared" si="3"/>
        <v>0.15484469170143686</v>
      </c>
      <c r="F22">
        <f t="shared" si="4"/>
        <v>0.30783495595734794</v>
      </c>
      <c r="G22">
        <f t="shared" si="5"/>
        <v>0.18961520630505335</v>
      </c>
    </row>
    <row r="23" spans="1:7" x14ac:dyDescent="0.2">
      <c r="A23" t="s">
        <v>28</v>
      </c>
      <c r="B23">
        <f t="shared" si="0"/>
        <v>0</v>
      </c>
      <c r="C23">
        <f t="shared" si="1"/>
        <v>3.0598052851182198E-2</v>
      </c>
      <c r="D23">
        <f t="shared" si="2"/>
        <v>0</v>
      </c>
      <c r="E23">
        <f t="shared" si="3"/>
        <v>4.6360686138154994E-3</v>
      </c>
      <c r="F23">
        <f t="shared" si="4"/>
        <v>0</v>
      </c>
      <c r="G23">
        <f t="shared" si="5"/>
        <v>0</v>
      </c>
    </row>
    <row r="24" spans="1:7" x14ac:dyDescent="0.2">
      <c r="A24" t="s">
        <v>25</v>
      </c>
      <c r="B24">
        <f t="shared" si="0"/>
        <v>6.9541029207232331E-3</v>
      </c>
      <c r="C24">
        <f t="shared" si="1"/>
        <v>2.59619842373667E-2</v>
      </c>
      <c r="D24">
        <f t="shared" si="2"/>
        <v>3.708854891052387E-3</v>
      </c>
      <c r="E24">
        <f t="shared" si="3"/>
        <v>1.1590171534538715E-2</v>
      </c>
      <c r="F24">
        <f t="shared" si="4"/>
        <v>1.8080667593880401E-2</v>
      </c>
      <c r="G24">
        <f t="shared" si="5"/>
        <v>1.993509503940661E-2</v>
      </c>
    </row>
    <row r="25" spans="1:7" x14ac:dyDescent="0.2">
      <c r="A25" t="s">
        <v>24</v>
      </c>
      <c r="B25">
        <f t="shared" si="0"/>
        <v>5.5169216504404435E-2</v>
      </c>
      <c r="C25">
        <f t="shared" si="1"/>
        <v>3.0134445989800657E-2</v>
      </c>
      <c r="D25">
        <f t="shared" si="2"/>
        <v>2.3180343069077432E-3</v>
      </c>
      <c r="E25">
        <f t="shared" si="3"/>
        <v>6.119610570236441E-2</v>
      </c>
      <c r="F25">
        <f t="shared" si="4"/>
        <v>1.4371812702828016E-2</v>
      </c>
      <c r="G25">
        <f t="shared" si="5"/>
        <v>6.3977746870653704E-2</v>
      </c>
    </row>
    <row r="26" spans="1:7" x14ac:dyDescent="0.2">
      <c r="A26" t="s">
        <v>23</v>
      </c>
      <c r="B26">
        <f t="shared" si="0"/>
        <v>0.1515994436717662</v>
      </c>
      <c r="C26">
        <f t="shared" si="1"/>
        <v>1.6226240148354183E-2</v>
      </c>
      <c r="D26">
        <f t="shared" si="2"/>
        <v>4.5433472415391772E-2</v>
      </c>
      <c r="E26">
        <f t="shared" si="3"/>
        <v>2.3180343069077436E-3</v>
      </c>
      <c r="F26">
        <f t="shared" si="4"/>
        <v>2.039870190078813E-2</v>
      </c>
      <c r="G26">
        <f t="shared" si="5"/>
        <v>4.3579044969865553E-2</v>
      </c>
    </row>
    <row r="27" spans="1:7" x14ac:dyDescent="0.2">
      <c r="A27" t="s">
        <v>29</v>
      </c>
      <c r="B27">
        <f t="shared" si="0"/>
        <v>0.46314325452016697</v>
      </c>
      <c r="C27">
        <f t="shared" si="1"/>
        <v>0.46870653685674563</v>
      </c>
      <c r="D27">
        <f t="shared" si="2"/>
        <v>0.48956884561891495</v>
      </c>
      <c r="E27">
        <f t="shared" si="3"/>
        <v>0.5187760778859527</v>
      </c>
      <c r="F27">
        <f t="shared" si="4"/>
        <v>0.4821511358368103</v>
      </c>
      <c r="G27">
        <f t="shared" si="5"/>
        <v>0.34075104311543797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AC5A-A9F0-4A03-8C88-F4D596D70B77}">
  <dimension ref="A1:S27"/>
  <sheetViews>
    <sheetView workbookViewId="0">
      <selection activeCell="A5" sqref="A5:XFD5"/>
    </sheetView>
  </sheetViews>
  <sheetFormatPr defaultRowHeight="14.25" x14ac:dyDescent="0.2"/>
  <cols>
    <col min="1" max="1" width="18.25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21</v>
      </c>
      <c r="B2">
        <v>5.088230255268078E-2</v>
      </c>
      <c r="C2">
        <v>1.2335103649135259E-2</v>
      </c>
      <c r="D2">
        <v>2.3556621552167423E-2</v>
      </c>
      <c r="E2">
        <v>1.2335103649134149E-2</v>
      </c>
      <c r="F2">
        <v>1.7560390611615739E-2</v>
      </c>
      <c r="G2">
        <v>1.5418879561415189E-3</v>
      </c>
      <c r="H2">
        <v>1.4219633373307672E-2</v>
      </c>
      <c r="I2">
        <v>1.764605105362349E-2</v>
      </c>
      <c r="J2">
        <v>2.9210210724687879E-2</v>
      </c>
      <c r="K2">
        <v>8.6517046427958544E-3</v>
      </c>
      <c r="L2">
        <v>5.1567586088744122E-2</v>
      </c>
      <c r="M2">
        <v>1.05362343669686E-2</v>
      </c>
      <c r="N2">
        <v>1.9616241219805097E-2</v>
      </c>
      <c r="O2">
        <v>1.9102278567757924E-2</v>
      </c>
      <c r="P2">
        <v>1.3277368511220966E-2</v>
      </c>
      <c r="Q2">
        <v>0.24027753983210554</v>
      </c>
      <c r="R2">
        <v>7.7094397807092263E-2</v>
      </c>
      <c r="S2">
        <v>3.7947575809490708E-2</v>
      </c>
    </row>
    <row r="3" spans="1:19" x14ac:dyDescent="0.2">
      <c r="A3" t="s">
        <v>27</v>
      </c>
      <c r="B3">
        <v>3.1951344868939503E-2</v>
      </c>
      <c r="C3">
        <v>3.7690594483467499E-3</v>
      </c>
      <c r="D3">
        <v>2.3128319342127801E-3</v>
      </c>
      <c r="E3">
        <v>6.7671749186225798E-3</v>
      </c>
      <c r="F3">
        <v>4.5400034264176797E-3</v>
      </c>
      <c r="G3">
        <v>1.45622751413397E-3</v>
      </c>
      <c r="H3">
        <v>2.39849237622066E-3</v>
      </c>
      <c r="I3">
        <v>2.0558506081891398E-3</v>
      </c>
      <c r="J3">
        <v>3.4264176803152301E-4</v>
      </c>
      <c r="K3">
        <v>1.1135857461024501E-3</v>
      </c>
      <c r="L3">
        <v>4.9683056364570799E-3</v>
      </c>
      <c r="M3">
        <v>2.5698132602364199E-3</v>
      </c>
      <c r="N3">
        <v>9.9366112729141701E-3</v>
      </c>
      <c r="O3">
        <v>3.9403803323625197E-3</v>
      </c>
      <c r="P3">
        <v>4.0260407743704001E-3</v>
      </c>
      <c r="Q3">
        <v>2.5698132602364199E-3</v>
      </c>
      <c r="R3">
        <v>1.07075552509851E-2</v>
      </c>
      <c r="S3">
        <v>2.91245502826795E-3</v>
      </c>
    </row>
    <row r="4" spans="1:19" x14ac:dyDescent="0.2">
      <c r="A4" t="s">
        <v>22</v>
      </c>
      <c r="B4">
        <v>8.8144594826109299E-2</v>
      </c>
      <c r="C4">
        <v>1.6960767517560399E-2</v>
      </c>
      <c r="D4">
        <v>4.3686825424019199E-3</v>
      </c>
      <c r="E4">
        <v>2.0729826965907101E-2</v>
      </c>
      <c r="F4">
        <v>4.6256638684255601E-3</v>
      </c>
      <c r="G4">
        <v>1.7988692821655E-3</v>
      </c>
      <c r="H4">
        <v>1.7988692821655E-3</v>
      </c>
      <c r="I4">
        <v>1.4390954257324E-2</v>
      </c>
      <c r="J4">
        <v>1.73034092855919E-2</v>
      </c>
      <c r="K4">
        <v>7.2811375706698604E-3</v>
      </c>
      <c r="L4">
        <v>9.7652903888984094E-3</v>
      </c>
      <c r="M4">
        <v>5.2252869624807297E-3</v>
      </c>
      <c r="N4">
        <v>8.5660442007880793E-5</v>
      </c>
      <c r="O4">
        <v>3.8204557135514801E-2</v>
      </c>
      <c r="P4">
        <v>3.2550967962994698E-3</v>
      </c>
      <c r="Q4">
        <v>8.30906287476443E-3</v>
      </c>
      <c r="R4">
        <v>1.21637827651191E-2</v>
      </c>
      <c r="S4">
        <v>3.51207812232311E-3</v>
      </c>
    </row>
    <row r="5" spans="1:19" x14ac:dyDescent="0.2">
      <c r="A5" t="s">
        <v>18</v>
      </c>
      <c r="B5">
        <v>0.17097824224773001</v>
      </c>
      <c r="C5">
        <v>0.102792530409457</v>
      </c>
      <c r="D5">
        <v>0.21089600822340199</v>
      </c>
      <c r="E5">
        <v>0.32208326194963199</v>
      </c>
      <c r="F5">
        <v>0.21038204557135501</v>
      </c>
      <c r="G5">
        <v>8.0349494603392094E-2</v>
      </c>
      <c r="H5">
        <v>7.3667980126777499E-2</v>
      </c>
      <c r="I5">
        <v>9.1228370738393003E-2</v>
      </c>
      <c r="J5">
        <v>0.22622922734281301</v>
      </c>
      <c r="K5">
        <v>0.23213979784135699</v>
      </c>
      <c r="L5">
        <v>0.195991091314031</v>
      </c>
      <c r="M5">
        <v>0.11804008908686001</v>
      </c>
      <c r="N5">
        <v>0.313345896864828</v>
      </c>
      <c r="O5">
        <v>0.13046085317800199</v>
      </c>
      <c r="P5">
        <v>0.32782251156415998</v>
      </c>
      <c r="Q5">
        <v>0.12763405859174201</v>
      </c>
      <c r="R5">
        <v>0.32482439609388403</v>
      </c>
      <c r="S5">
        <v>5.5336645537091E-2</v>
      </c>
    </row>
    <row r="6" spans="1:19" x14ac:dyDescent="0.2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3.4264176803152301E-4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 t="s">
        <v>19</v>
      </c>
      <c r="B7">
        <v>0</v>
      </c>
      <c r="C7">
        <v>0</v>
      </c>
      <c r="D7">
        <v>0</v>
      </c>
      <c r="E7">
        <v>2.1415110501970202E-3</v>
      </c>
      <c r="F7">
        <v>0</v>
      </c>
      <c r="G7">
        <v>4.2830221003940398E-4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6.7671749186225798E-3</v>
      </c>
      <c r="S7">
        <v>0</v>
      </c>
    </row>
    <row r="8" spans="1:19" x14ac:dyDescent="0.2">
      <c r="A8" t="s">
        <v>26</v>
      </c>
      <c r="B8">
        <v>4.19736165838616E-3</v>
      </c>
      <c r="C8">
        <v>1.1478499229056E-2</v>
      </c>
      <c r="D8">
        <v>1.4904916909371299E-2</v>
      </c>
      <c r="E8">
        <v>9.7652903888984094E-3</v>
      </c>
      <c r="F8">
        <v>8.9086859688196005E-3</v>
      </c>
      <c r="G8">
        <v>0</v>
      </c>
      <c r="H8">
        <v>2.3727942436183001E-2</v>
      </c>
      <c r="I8">
        <v>1.55045400034264E-2</v>
      </c>
      <c r="J8">
        <v>3.4692479013191703E-2</v>
      </c>
      <c r="K8">
        <v>7.8807606647250308E-3</v>
      </c>
      <c r="L8">
        <v>1.1478499229056E-2</v>
      </c>
      <c r="M8">
        <v>5.4822682885043699E-3</v>
      </c>
      <c r="N8">
        <v>1.1221517903032399E-2</v>
      </c>
      <c r="O8">
        <v>0</v>
      </c>
      <c r="P8">
        <v>2.5698132602364199E-3</v>
      </c>
      <c r="Q8">
        <v>8.0520815487407898E-3</v>
      </c>
      <c r="R8">
        <v>5.0282679458626002E-2</v>
      </c>
      <c r="S8">
        <v>8.9943464108274807E-2</v>
      </c>
    </row>
    <row r="9" spans="1:19" x14ac:dyDescent="0.2">
      <c r="A9" t="s">
        <v>28</v>
      </c>
      <c r="B9">
        <v>0</v>
      </c>
      <c r="C9">
        <v>6.8100051396265196E-2</v>
      </c>
      <c r="D9">
        <v>4.7627205756381699E-2</v>
      </c>
      <c r="E9">
        <v>0</v>
      </c>
      <c r="F9">
        <v>7.2468733938667096E-2</v>
      </c>
      <c r="G9">
        <v>0.18262806236080201</v>
      </c>
      <c r="H9">
        <v>0.18785334932328299</v>
      </c>
      <c r="I9">
        <v>0.118554051738907</v>
      </c>
      <c r="J9">
        <v>1.9444920335788901E-2</v>
      </c>
      <c r="K9">
        <v>0</v>
      </c>
      <c r="L9">
        <v>0</v>
      </c>
      <c r="M9">
        <v>0</v>
      </c>
      <c r="N9">
        <v>2.0901147849922901E-2</v>
      </c>
      <c r="O9">
        <v>5.4994003769059399E-2</v>
      </c>
      <c r="P9">
        <v>1.2677745417166399E-2</v>
      </c>
      <c r="Q9">
        <v>0</v>
      </c>
      <c r="R9">
        <v>1.09645365770087E-2</v>
      </c>
      <c r="S9">
        <v>2.6811718348466702E-2</v>
      </c>
    </row>
    <row r="10" spans="1:19" x14ac:dyDescent="0.2">
      <c r="A10" t="s">
        <v>25</v>
      </c>
      <c r="B10">
        <v>8.4204214493746807E-2</v>
      </c>
      <c r="C10">
        <v>4.3686825424019199E-3</v>
      </c>
      <c r="D10">
        <v>2.2271714922049001E-3</v>
      </c>
      <c r="E10">
        <v>3.4435497687168103E-2</v>
      </c>
      <c r="F10">
        <v>0.22871338016104201</v>
      </c>
      <c r="G10">
        <v>1.16498201130718E-2</v>
      </c>
      <c r="H10">
        <v>1.52475586774028E-2</v>
      </c>
      <c r="I10">
        <v>4.6856261778310801E-2</v>
      </c>
      <c r="J10">
        <v>4.79698475244132E-3</v>
      </c>
      <c r="K10">
        <v>7.4524584546856301E-2</v>
      </c>
      <c r="L10">
        <v>2.5098509508309101E-2</v>
      </c>
      <c r="M10">
        <v>5.1396265204728502E-2</v>
      </c>
      <c r="N10">
        <v>0.142881617269145</v>
      </c>
      <c r="O10">
        <v>9.6881959910913099E-2</v>
      </c>
      <c r="P10">
        <v>6.8528353606304604E-2</v>
      </c>
      <c r="Q10">
        <v>5.4822682885043699E-3</v>
      </c>
      <c r="R10">
        <v>4.21449374678773E-2</v>
      </c>
      <c r="S10">
        <v>0.174747301696077</v>
      </c>
    </row>
    <row r="11" spans="1:19" x14ac:dyDescent="0.2">
      <c r="A11" t="s">
        <v>24</v>
      </c>
      <c r="B11">
        <v>2.6811718348466632E-2</v>
      </c>
      <c r="C11">
        <v>6.8528353606304602E-4</v>
      </c>
      <c r="D11">
        <v>1.45622751413397E-3</v>
      </c>
      <c r="E11">
        <v>8.480383758780189E-3</v>
      </c>
      <c r="F11">
        <v>8.0606475929415805E-2</v>
      </c>
      <c r="G11">
        <v>1.3705670721260901E-3</v>
      </c>
      <c r="H11">
        <v>5.4822682885043699E-3</v>
      </c>
      <c r="I11">
        <v>5.7392496145280102E-3</v>
      </c>
      <c r="J11">
        <v>1.1992461881103319E-3</v>
      </c>
      <c r="K11">
        <v>1.1478499229056E-2</v>
      </c>
      <c r="L11">
        <v>3.1694363542915899E-3</v>
      </c>
      <c r="M11">
        <v>3.2550967962994698E-3</v>
      </c>
      <c r="N11">
        <v>7.7180058249100597E-2</v>
      </c>
      <c r="O11">
        <v>2.4841528182285399E-3</v>
      </c>
      <c r="P11">
        <v>1.1906801439095401E-2</v>
      </c>
      <c r="Q11">
        <v>1.1221517903032399E-2</v>
      </c>
      <c r="R11">
        <v>2.7154360116498199E-2</v>
      </c>
      <c r="S11">
        <v>6.8956655816343998E-2</v>
      </c>
    </row>
    <row r="12" spans="1:19" x14ac:dyDescent="0.2">
      <c r="A12" t="s">
        <v>23</v>
      </c>
      <c r="B12">
        <v>1.01935925989378E-2</v>
      </c>
      <c r="C12">
        <v>8.87442179201645E-2</v>
      </c>
      <c r="D12">
        <v>4.9683056364570799E-3</v>
      </c>
      <c r="E12">
        <v>3.4264176803152301E-4</v>
      </c>
      <c r="F12">
        <v>4.2830221003940398E-4</v>
      </c>
      <c r="G12">
        <v>9.4226486208668801E-4</v>
      </c>
      <c r="H12">
        <v>2.03871851978756E-2</v>
      </c>
      <c r="I12">
        <v>4.19736165838616E-3</v>
      </c>
      <c r="J12">
        <v>4.2830221003940398E-4</v>
      </c>
      <c r="K12">
        <v>1.7988692821655E-3</v>
      </c>
      <c r="L12">
        <v>2.7411341442521802E-3</v>
      </c>
      <c r="M12">
        <v>1.37056707212609E-2</v>
      </c>
      <c r="N12">
        <v>0</v>
      </c>
      <c r="O12">
        <v>1.6275483981497299E-3</v>
      </c>
      <c r="P12">
        <v>1.19924618811033E-3</v>
      </c>
      <c r="Q12">
        <v>0</v>
      </c>
      <c r="R12">
        <v>8.5660442007880796E-4</v>
      </c>
      <c r="S12">
        <v>5.91057049854377E-3</v>
      </c>
    </row>
    <row r="13" spans="1:19" x14ac:dyDescent="0.2">
      <c r="A13" t="s">
        <v>29</v>
      </c>
      <c r="B13">
        <v>0.53263662840500303</v>
      </c>
      <c r="C13">
        <v>0.69076580435154999</v>
      </c>
      <c r="D13">
        <v>0.68768202843926696</v>
      </c>
      <c r="E13">
        <v>0.582919307863629</v>
      </c>
      <c r="F13">
        <v>0.37176631831420198</v>
      </c>
      <c r="G13">
        <v>0.71783450402604099</v>
      </c>
      <c r="H13">
        <v>0.65521672091827998</v>
      </c>
      <c r="I13">
        <v>0.68382730854891205</v>
      </c>
      <c r="J13">
        <v>0.66635257837930395</v>
      </c>
      <c r="K13">
        <v>0.65513106047627201</v>
      </c>
      <c r="L13">
        <v>0.69487750556792904</v>
      </c>
      <c r="M13">
        <v>0.78978927531266097</v>
      </c>
      <c r="N13">
        <v>0.40483124892924399</v>
      </c>
      <c r="O13">
        <v>0.652304265890012</v>
      </c>
      <c r="P13">
        <v>0.55473702244303602</v>
      </c>
      <c r="Q13">
        <v>0.596453657700874</v>
      </c>
      <c r="R13">
        <v>0.43703957512420799</v>
      </c>
      <c r="S13">
        <v>0.53392153503512096</v>
      </c>
    </row>
    <row r="15" spans="1:19" x14ac:dyDescent="0.2">
      <c r="B15" t="s">
        <v>31</v>
      </c>
      <c r="C15" t="s">
        <v>32</v>
      </c>
      <c r="D15" t="s">
        <v>34</v>
      </c>
      <c r="E15" t="s">
        <v>35</v>
      </c>
      <c r="F15" t="s">
        <v>33</v>
      </c>
      <c r="G15" t="s">
        <v>36</v>
      </c>
    </row>
    <row r="16" spans="1:19" x14ac:dyDescent="0.2">
      <c r="A16" t="s">
        <v>21</v>
      </c>
      <c r="B16">
        <f>AVERAGE(B2:D2)</f>
        <v>2.8924675917994486E-2</v>
      </c>
      <c r="C16">
        <f>AVERAGE(E2:G2)</f>
        <v>1.047912740563047E-2</v>
      </c>
      <c r="D16">
        <f>AVERAGE(K2:M2)</f>
        <v>2.3585175032836192E-2</v>
      </c>
      <c r="E16">
        <f>AVERAGE(N2:P2)</f>
        <v>1.7331962766261328E-2</v>
      </c>
      <c r="F16">
        <f>AVERAGE(H2:J2)</f>
        <v>2.0358631717206348E-2</v>
      </c>
      <c r="G16">
        <f>AVERAGE(Q2:S2)</f>
        <v>0.11843983781622951</v>
      </c>
    </row>
    <row r="17" spans="1:7" x14ac:dyDescent="0.2">
      <c r="A17" t="s">
        <v>27</v>
      </c>
      <c r="B17">
        <f t="shared" ref="B17:B27" si="0">AVERAGE(B3:D3)</f>
        <v>1.2677745417166342E-2</v>
      </c>
      <c r="C17">
        <f t="shared" ref="C17:C27" si="1">AVERAGE(E3:G3)</f>
        <v>4.2544686197247437E-3</v>
      </c>
      <c r="D17">
        <f t="shared" ref="D17:D27" si="2">AVERAGE(K3:M3)</f>
        <v>2.8839015475986499E-3</v>
      </c>
      <c r="E17">
        <f t="shared" ref="E17:E27" si="3">AVERAGE(N3:P3)</f>
        <v>5.9676774598823633E-3</v>
      </c>
      <c r="F17">
        <f t="shared" ref="F17:F27" si="4">AVERAGE(H3:J3)</f>
        <v>1.5989949174804411E-3</v>
      </c>
      <c r="G17">
        <f t="shared" ref="G17:G27" si="5">AVERAGE(Q3:S3)</f>
        <v>5.3966078464964895E-3</v>
      </c>
    </row>
    <row r="18" spans="1:7" x14ac:dyDescent="0.2">
      <c r="A18" t="s">
        <v>22</v>
      </c>
      <c r="B18">
        <f t="shared" si="0"/>
        <v>3.6491348295357204E-2</v>
      </c>
      <c r="C18">
        <f t="shared" si="1"/>
        <v>9.0514533721660542E-3</v>
      </c>
      <c r="D18">
        <f t="shared" si="2"/>
        <v>7.4239049740163323E-3</v>
      </c>
      <c r="E18">
        <f t="shared" si="3"/>
        <v>1.3848438124607385E-2</v>
      </c>
      <c r="F18">
        <f t="shared" si="4"/>
        <v>1.1164410941693801E-2</v>
      </c>
      <c r="G18">
        <f t="shared" si="5"/>
        <v>7.9949745874022139E-3</v>
      </c>
    </row>
    <row r="19" spans="1:7" x14ac:dyDescent="0.2">
      <c r="A19" t="s">
        <v>18</v>
      </c>
      <c r="B19">
        <f t="shared" si="0"/>
        <v>0.161555593626863</v>
      </c>
      <c r="C19">
        <f t="shared" si="1"/>
        <v>0.20427160070812636</v>
      </c>
      <c r="D19">
        <f t="shared" si="2"/>
        <v>0.18205699274741602</v>
      </c>
      <c r="E19">
        <f t="shared" si="3"/>
        <v>0.25720975386899664</v>
      </c>
      <c r="F19">
        <f t="shared" si="4"/>
        <v>0.13037519273599452</v>
      </c>
      <c r="G19">
        <f t="shared" si="5"/>
        <v>0.16926503340757235</v>
      </c>
    </row>
    <row r="20" spans="1:7" x14ac:dyDescent="0.2">
      <c r="A20" t="s">
        <v>20</v>
      </c>
      <c r="B20">
        <f t="shared" si="0"/>
        <v>0</v>
      </c>
      <c r="C20">
        <f t="shared" si="1"/>
        <v>0</v>
      </c>
      <c r="D20">
        <f t="shared" si="2"/>
        <v>1.1421392267717434E-4</v>
      </c>
      <c r="E20">
        <f t="shared" si="3"/>
        <v>0</v>
      </c>
      <c r="F20">
        <f t="shared" si="4"/>
        <v>0</v>
      </c>
      <c r="G20">
        <f t="shared" si="5"/>
        <v>0</v>
      </c>
    </row>
    <row r="21" spans="1:7" x14ac:dyDescent="0.2">
      <c r="A21" t="s">
        <v>19</v>
      </c>
      <c r="B21">
        <f t="shared" si="0"/>
        <v>0</v>
      </c>
      <c r="C21">
        <f t="shared" si="1"/>
        <v>8.5660442007880807E-4</v>
      </c>
      <c r="D21">
        <f t="shared" si="2"/>
        <v>0</v>
      </c>
      <c r="E21">
        <f t="shared" si="3"/>
        <v>0</v>
      </c>
      <c r="F21">
        <f t="shared" si="4"/>
        <v>0</v>
      </c>
      <c r="G21">
        <f t="shared" si="5"/>
        <v>2.2557249728741933E-3</v>
      </c>
    </row>
    <row r="22" spans="1:7" x14ac:dyDescent="0.2">
      <c r="A22" t="s">
        <v>26</v>
      </c>
      <c r="B22">
        <f t="shared" si="0"/>
        <v>1.0193592598937819E-2</v>
      </c>
      <c r="C22">
        <f t="shared" si="1"/>
        <v>6.2246587859060036E-3</v>
      </c>
      <c r="D22">
        <f t="shared" si="2"/>
        <v>8.2805093940951351E-3</v>
      </c>
      <c r="E22">
        <f t="shared" si="3"/>
        <v>4.597110387756273E-3</v>
      </c>
      <c r="F22">
        <f t="shared" si="4"/>
        <v>2.4641653817600372E-2</v>
      </c>
      <c r="G22">
        <f t="shared" si="5"/>
        <v>4.94260750385472E-2</v>
      </c>
    </row>
    <row r="23" spans="1:7" x14ac:dyDescent="0.2">
      <c r="A23" t="s">
        <v>28</v>
      </c>
      <c r="B23">
        <f t="shared" si="0"/>
        <v>3.8575752384215629E-2</v>
      </c>
      <c r="C23">
        <f t="shared" si="1"/>
        <v>8.5032265433156382E-2</v>
      </c>
      <c r="D23">
        <f t="shared" si="2"/>
        <v>0</v>
      </c>
      <c r="E23">
        <f t="shared" si="3"/>
        <v>2.952429901204957E-2</v>
      </c>
      <c r="F23">
        <f t="shared" si="4"/>
        <v>0.10861744046599298</v>
      </c>
      <c r="G23">
        <f t="shared" si="5"/>
        <v>1.2592084975158466E-2</v>
      </c>
    </row>
    <row r="24" spans="1:7" x14ac:dyDescent="0.2">
      <c r="A24" t="s">
        <v>25</v>
      </c>
      <c r="B24">
        <f t="shared" si="0"/>
        <v>3.0266689509451206E-2</v>
      </c>
      <c r="C24">
        <f t="shared" si="1"/>
        <v>9.159956598709397E-2</v>
      </c>
      <c r="D24">
        <f t="shared" si="2"/>
        <v>5.0339786419964637E-2</v>
      </c>
      <c r="E24">
        <f t="shared" si="3"/>
        <v>0.10276397692878757</v>
      </c>
      <c r="F24">
        <f t="shared" si="4"/>
        <v>2.2300268402718305E-2</v>
      </c>
      <c r="G24">
        <f t="shared" si="5"/>
        <v>7.4124835817486232E-2</v>
      </c>
    </row>
    <row r="25" spans="1:7" x14ac:dyDescent="0.2">
      <c r="A25" t="s">
        <v>24</v>
      </c>
      <c r="B25">
        <f t="shared" si="0"/>
        <v>9.6510764662212159E-3</v>
      </c>
      <c r="C25">
        <f t="shared" si="1"/>
        <v>3.0152475586774027E-2</v>
      </c>
      <c r="D25">
        <f t="shared" si="2"/>
        <v>5.9676774598823529E-3</v>
      </c>
      <c r="E25">
        <f t="shared" si="3"/>
        <v>3.0523670835474848E-2</v>
      </c>
      <c r="F25">
        <f t="shared" si="4"/>
        <v>4.140254697047571E-3</v>
      </c>
      <c r="G25">
        <f t="shared" si="5"/>
        <v>3.5777511278624864E-2</v>
      </c>
    </row>
    <row r="26" spans="1:7" x14ac:dyDescent="0.2">
      <c r="A26" t="s">
        <v>23</v>
      </c>
      <c r="B26">
        <f t="shared" si="0"/>
        <v>3.4635372051853124E-2</v>
      </c>
      <c r="C26">
        <f t="shared" si="1"/>
        <v>5.7106961338587172E-4</v>
      </c>
      <c r="D26">
        <f t="shared" si="2"/>
        <v>6.0818913825595273E-3</v>
      </c>
      <c r="E26">
        <f t="shared" si="3"/>
        <v>9.4226486208668671E-4</v>
      </c>
      <c r="F26">
        <f t="shared" si="4"/>
        <v>8.3376163554337215E-3</v>
      </c>
      <c r="G26">
        <f t="shared" si="5"/>
        <v>2.2557249728741928E-3</v>
      </c>
    </row>
    <row r="27" spans="1:7" x14ac:dyDescent="0.2">
      <c r="A27" t="s">
        <v>29</v>
      </c>
      <c r="B27">
        <f t="shared" si="0"/>
        <v>0.63702815373193999</v>
      </c>
      <c r="C27">
        <f t="shared" si="1"/>
        <v>0.55750671006795727</v>
      </c>
      <c r="D27">
        <f t="shared" si="2"/>
        <v>0.71326594711895408</v>
      </c>
      <c r="E27">
        <f t="shared" si="3"/>
        <v>0.53729084575409736</v>
      </c>
      <c r="F27">
        <f t="shared" si="4"/>
        <v>0.66846553594883196</v>
      </c>
      <c r="G27">
        <f t="shared" si="5"/>
        <v>0.52247158928673432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Morphological identification</vt:lpstr>
      <vt:lpstr>Mass proportion</vt:lpstr>
      <vt:lpstr>eDNA metabarcoding</vt:lpstr>
      <vt:lpstr>Nematode-extracted 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2026-08-02T11:13:02Z</dcterms:modified>
</cp:coreProperties>
</file>