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Supplementary_Materials_Zhu_et_al\01_Raw_Data\"/>
    </mc:Choice>
  </mc:AlternateContent>
  <xr:revisionPtr revIDLastSave="0" documentId="13_ncr:1_{DE726A3A-C8E6-42D6-82B2-648421D1C6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N-1" sheetId="3" r:id="rId1"/>
    <sheet name="PN-2" sheetId="21" r:id="rId2"/>
    <sheet name="PN-3" sheetId="22" r:id="rId3"/>
    <sheet name="PNV-1" sheetId="23" r:id="rId4"/>
    <sheet name="PNV-2" sheetId="24" r:id="rId5"/>
    <sheet name="PNV-3" sheetId="25" r:id="rId6"/>
    <sheet name="PS-1" sheetId="26" r:id="rId7"/>
    <sheet name="PS-2" sheetId="27" r:id="rId8"/>
    <sheet name="PS-3" sheetId="28" r:id="rId9"/>
    <sheet name="SP-1" sheetId="29" r:id="rId10"/>
    <sheet name="SP-2" sheetId="30" r:id="rId11"/>
    <sheet name="SP-3" sheetId="31" r:id="rId12"/>
    <sheet name="SPV-1" sheetId="32" r:id="rId13"/>
    <sheet name="SPV-2" sheetId="33" r:id="rId14"/>
    <sheet name="SPV-3" sheetId="34" r:id="rId15"/>
    <sheet name="FA-1" sheetId="35" r:id="rId16"/>
    <sheet name="FA-2" sheetId="36" r:id="rId17"/>
    <sheet name="FA-3" sheetId="37" r:id="rId18"/>
  </sheets>
  <definedNames>
    <definedName name="_xlnm._FilterDatabase" localSheetId="5" hidden="1">'PNV-3'!$AA$1:$AA$158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7" i="21" l="1"/>
  <c r="BD6" i="37"/>
  <c r="BM4" i="37"/>
  <c r="BJ4" i="37"/>
  <c r="BM3" i="37"/>
  <c r="BJ3" i="37"/>
  <c r="BM2" i="37"/>
  <c r="BJ2" i="37"/>
  <c r="BG4" i="37"/>
  <c r="BD4" i="37"/>
  <c r="BA4" i="37"/>
  <c r="AX4" i="37"/>
  <c r="AU4" i="37"/>
  <c r="AR4" i="37"/>
  <c r="BG3" i="37"/>
  <c r="BD3" i="37"/>
  <c r="BA3" i="37"/>
  <c r="AX3" i="37"/>
  <c r="AU3" i="37"/>
  <c r="AR3" i="37"/>
  <c r="BG2" i="37"/>
  <c r="BD2" i="37"/>
  <c r="BA2" i="37"/>
  <c r="AX2" i="37"/>
  <c r="AU2" i="37"/>
  <c r="AR2" i="37"/>
  <c r="BG4" i="36"/>
  <c r="BD4" i="36"/>
  <c r="BG3" i="36"/>
  <c r="BD3" i="36"/>
  <c r="BG2" i="36"/>
  <c r="BD2" i="36"/>
  <c r="BA4" i="36"/>
  <c r="AX4" i="36"/>
  <c r="AU4" i="36"/>
  <c r="AR4" i="36"/>
  <c r="AO4" i="36"/>
  <c r="BA3" i="36"/>
  <c r="AX3" i="36"/>
  <c r="AU3" i="36"/>
  <c r="AR3" i="36"/>
  <c r="AO3" i="36"/>
  <c r="BA2" i="36"/>
  <c r="AX2" i="36"/>
  <c r="AU2" i="36"/>
  <c r="AR2" i="36"/>
  <c r="AO2" i="36"/>
  <c r="T124" i="34"/>
  <c r="BJ4" i="33"/>
  <c r="BG4" i="33"/>
  <c r="BJ3" i="33"/>
  <c r="BG3" i="33"/>
  <c r="BJ2" i="33"/>
  <c r="BG2" i="33"/>
  <c r="BD4" i="33"/>
  <c r="BA4" i="33"/>
  <c r="BD3" i="33"/>
  <c r="BA3" i="33"/>
  <c r="BD2" i="33"/>
  <c r="BA2" i="33"/>
  <c r="E6" i="33"/>
  <c r="H6" i="33"/>
  <c r="K6" i="33"/>
  <c r="N6" i="33"/>
  <c r="Q6" i="33"/>
  <c r="T6" i="33"/>
  <c r="W6" i="33"/>
  <c r="Z6" i="33"/>
  <c r="AC6" i="33"/>
  <c r="AF6" i="33"/>
  <c r="AI6" i="33"/>
  <c r="AL6" i="33"/>
  <c r="AO6" i="33"/>
  <c r="AR6" i="33"/>
  <c r="AU6" i="33"/>
  <c r="AX6" i="33"/>
  <c r="BA6" i="33"/>
  <c r="BD6" i="33"/>
  <c r="BG6" i="33"/>
  <c r="BJ6" i="33"/>
  <c r="E7" i="33"/>
  <c r="H7" i="33"/>
  <c r="K7" i="33"/>
  <c r="N7" i="33"/>
  <c r="Q7" i="33"/>
  <c r="T7" i="33"/>
  <c r="W7" i="33"/>
  <c r="AC7" i="33"/>
  <c r="AF7" i="33"/>
  <c r="AI7" i="33"/>
  <c r="AL7" i="33"/>
  <c r="AO7" i="33"/>
  <c r="AR7" i="33"/>
  <c r="AU7" i="33"/>
  <c r="AX7" i="33"/>
  <c r="BD7" i="33"/>
  <c r="BG7" i="33"/>
  <c r="W57" i="32"/>
  <c r="BY4" i="32"/>
  <c r="BV4" i="32"/>
  <c r="BY3" i="32"/>
  <c r="BV3" i="32"/>
  <c r="BY2" i="32"/>
  <c r="BV2" i="32"/>
  <c r="BS4" i="32"/>
  <c r="BP4" i="32"/>
  <c r="BM4" i="32"/>
  <c r="BJ4" i="32"/>
  <c r="BG4" i="32"/>
  <c r="BD4" i="32"/>
  <c r="BS3" i="32"/>
  <c r="BP3" i="32"/>
  <c r="BM3" i="32"/>
  <c r="BJ3" i="32"/>
  <c r="BG3" i="32"/>
  <c r="BD3" i="32"/>
  <c r="BS2" i="32"/>
  <c r="BP2" i="32"/>
  <c r="BM2" i="32"/>
  <c r="BJ2" i="32"/>
  <c r="BG2" i="32"/>
  <c r="BD2" i="32"/>
  <c r="AX6" i="32"/>
  <c r="BV6" i="32"/>
  <c r="Z10" i="31"/>
  <c r="AX3" i="23"/>
  <c r="AU3" i="23"/>
  <c r="W3" i="23"/>
  <c r="BG2" i="23"/>
  <c r="BD2" i="23"/>
  <c r="AX2" i="23"/>
  <c r="AU2" i="23"/>
  <c r="AX9" i="30"/>
  <c r="AX10" i="30"/>
  <c r="AX11" i="30"/>
  <c r="AX12" i="30"/>
  <c r="AX13" i="30"/>
  <c r="AX14" i="30"/>
  <c r="AX15" i="30"/>
  <c r="AX16" i="30"/>
  <c r="AX17" i="30"/>
  <c r="AX18" i="30"/>
  <c r="AX19" i="30"/>
  <c r="AX8" i="30"/>
  <c r="AX7" i="30"/>
  <c r="AX3" i="30" s="1"/>
  <c r="AX6" i="30"/>
  <c r="AX4" i="30" s="1"/>
  <c r="Z7" i="26"/>
  <c r="T24" i="24"/>
  <c r="E6" i="23"/>
  <c r="H6" i="23"/>
  <c r="K6" i="23"/>
  <c r="N6" i="23"/>
  <c r="Q6" i="23"/>
  <c r="T6" i="23"/>
  <c r="W6" i="23"/>
  <c r="W2" i="23" s="1"/>
  <c r="Z6" i="23"/>
  <c r="AC6" i="23"/>
  <c r="AF6" i="23"/>
  <c r="AI6" i="23"/>
  <c r="AI3" i="23" s="1"/>
  <c r="AL6" i="23"/>
  <c r="AL4" i="23" s="1"/>
  <c r="AO6" i="23"/>
  <c r="AO4" i="23" s="1"/>
  <c r="AR6" i="23"/>
  <c r="AU6" i="23"/>
  <c r="AU4" i="23" s="1"/>
  <c r="AX6" i="23"/>
  <c r="AX4" i="23" s="1"/>
  <c r="BA6" i="23"/>
  <c r="BD6" i="23"/>
  <c r="BD4" i="23" s="1"/>
  <c r="BA11" i="23"/>
  <c r="BG6" i="23"/>
  <c r="BG4" i="23" s="1"/>
  <c r="E7" i="23"/>
  <c r="H7" i="23"/>
  <c r="K7" i="23"/>
  <c r="N7" i="23"/>
  <c r="Q7" i="23"/>
  <c r="T7" i="23"/>
  <c r="W7" i="23"/>
  <c r="W4" i="23" s="1"/>
  <c r="Z7" i="23"/>
  <c r="AC7" i="23"/>
  <c r="AF7" i="23"/>
  <c r="AI7" i="23"/>
  <c r="AL7" i="23"/>
  <c r="AO7" i="23"/>
  <c r="AR7" i="23"/>
  <c r="AX7" i="23"/>
  <c r="BA7" i="23"/>
  <c r="E8" i="23"/>
  <c r="H8" i="23"/>
  <c r="K8" i="23"/>
  <c r="N8" i="23"/>
  <c r="Q8" i="23"/>
  <c r="T8" i="23"/>
  <c r="Z8" i="23"/>
  <c r="AC8" i="23"/>
  <c r="AF8" i="23"/>
  <c r="AI8" i="23"/>
  <c r="AI2" i="23" s="1"/>
  <c r="AR8" i="23"/>
  <c r="AX8" i="23"/>
  <c r="BA8" i="23"/>
  <c r="W32" i="21"/>
  <c r="AX2" i="30" l="1"/>
  <c r="AL2" i="23"/>
  <c r="AL3" i="23"/>
  <c r="AO3" i="23"/>
  <c r="AI4" i="23"/>
  <c r="AO2" i="23"/>
  <c r="BD3" i="23"/>
  <c r="BG3" i="23"/>
  <c r="E6" i="37"/>
  <c r="H6" i="37"/>
  <c r="K6" i="37"/>
  <c r="N6" i="37"/>
  <c r="Q6" i="37"/>
  <c r="T6" i="37"/>
  <c r="W6" i="37"/>
  <c r="Z6" i="37"/>
  <c r="AC6" i="37"/>
  <c r="AF6" i="37"/>
  <c r="AI6" i="37"/>
  <c r="AL6" i="37"/>
  <c r="AO6" i="37"/>
  <c r="AR6" i="37"/>
  <c r="AU6" i="37"/>
  <c r="AX6" i="37"/>
  <c r="BA6" i="37"/>
  <c r="BG6" i="37"/>
  <c r="BJ6" i="37"/>
  <c r="BM6" i="37"/>
  <c r="E7" i="37"/>
  <c r="K7" i="37"/>
  <c r="N7" i="37"/>
  <c r="Q7" i="37"/>
  <c r="T7" i="37"/>
  <c r="Z7" i="37"/>
  <c r="AC7" i="37"/>
  <c r="AF7" i="37"/>
  <c r="AR7" i="37"/>
  <c r="AU7" i="37"/>
  <c r="AX7" i="37"/>
  <c r="BA7" i="37"/>
  <c r="BG7" i="37"/>
  <c r="BM7" i="37"/>
  <c r="E8" i="37"/>
  <c r="K8" i="37"/>
  <c r="N8" i="37"/>
  <c r="Q8" i="37"/>
  <c r="T8" i="37"/>
  <c r="Z8" i="37"/>
  <c r="AC8" i="37"/>
  <c r="AF8" i="37"/>
  <c r="AR8" i="37"/>
  <c r="AU8" i="37"/>
  <c r="AX8" i="37"/>
  <c r="BA8" i="37"/>
  <c r="BG8" i="37"/>
  <c r="N9" i="37"/>
  <c r="Q9" i="37"/>
  <c r="AC9" i="37"/>
  <c r="AF9" i="37"/>
  <c r="AX9" i="37"/>
  <c r="BA9" i="37"/>
  <c r="BG9" i="37"/>
  <c r="N10" i="37"/>
  <c r="Q10" i="37"/>
  <c r="AC10" i="37"/>
  <c r="AF10" i="37"/>
  <c r="AX10" i="37"/>
  <c r="BA10" i="37"/>
  <c r="N11" i="37"/>
  <c r="Q11" i="37"/>
  <c r="AC11" i="37"/>
  <c r="AF11" i="37"/>
  <c r="AX11" i="37"/>
  <c r="BA11" i="37"/>
  <c r="N12" i="37"/>
  <c r="AF12" i="37"/>
  <c r="AX12" i="37"/>
  <c r="BA12" i="37"/>
  <c r="N13" i="37"/>
  <c r="AX13" i="37"/>
  <c r="BA13" i="37"/>
  <c r="AX14" i="37"/>
  <c r="BA14" i="37"/>
  <c r="BA15" i="37"/>
  <c r="BA16" i="37"/>
  <c r="E6" i="36"/>
  <c r="H6" i="36"/>
  <c r="K6" i="36"/>
  <c r="N6" i="36"/>
  <c r="Q6" i="36"/>
  <c r="T6" i="36"/>
  <c r="W6" i="36"/>
  <c r="Z6" i="36"/>
  <c r="AC6" i="36"/>
  <c r="AF6" i="36"/>
  <c r="AI6" i="36"/>
  <c r="AL6" i="36"/>
  <c r="AO6" i="36"/>
  <c r="AR6" i="36"/>
  <c r="AU6" i="36"/>
  <c r="AX6" i="36"/>
  <c r="BA6" i="36"/>
  <c r="BD6" i="36"/>
  <c r="BG6" i="36"/>
  <c r="E7" i="36"/>
  <c r="H7" i="36"/>
  <c r="K7" i="36"/>
  <c r="N7" i="36"/>
  <c r="Q7" i="36"/>
  <c r="T7" i="36"/>
  <c r="W7" i="36"/>
  <c r="Z7" i="36"/>
  <c r="AC7" i="36"/>
  <c r="AF7" i="36"/>
  <c r="AL7" i="36"/>
  <c r="AR7" i="36"/>
  <c r="BD7" i="36"/>
  <c r="BG7" i="36"/>
  <c r="E8" i="36"/>
  <c r="K8" i="36"/>
  <c r="N8" i="36"/>
  <c r="Q8" i="36"/>
  <c r="T8" i="36"/>
  <c r="Z8" i="36"/>
  <c r="AC8" i="36"/>
  <c r="AF8" i="36"/>
  <c r="AL8" i="36"/>
  <c r="AR8" i="36"/>
  <c r="BG8" i="36"/>
  <c r="E9" i="36"/>
  <c r="N9" i="36"/>
  <c r="Q9" i="36"/>
  <c r="T9" i="36"/>
  <c r="Z9" i="36"/>
  <c r="AC9" i="36"/>
  <c r="AF9" i="36"/>
  <c r="AL9" i="36"/>
  <c r="BG9" i="36"/>
  <c r="E10" i="36"/>
  <c r="Q10" i="36"/>
  <c r="T10" i="36"/>
  <c r="Z10" i="36"/>
  <c r="AF10" i="36"/>
  <c r="AL10" i="36"/>
  <c r="E11" i="36"/>
  <c r="Q11" i="36"/>
  <c r="T11" i="36"/>
  <c r="Z11" i="36"/>
  <c r="AF11" i="36"/>
  <c r="AL11" i="36"/>
  <c r="E12" i="36"/>
  <c r="T12" i="36"/>
  <c r="Z12" i="36"/>
  <c r="AF12" i="36"/>
  <c r="AL12" i="36"/>
  <c r="E13" i="36"/>
  <c r="T13" i="36"/>
  <c r="Z13" i="36"/>
  <c r="AF13" i="36"/>
  <c r="AL13" i="36"/>
  <c r="T14" i="36"/>
  <c r="Z14" i="36"/>
  <c r="AF14" i="36"/>
  <c r="AL14" i="36"/>
  <c r="T15" i="36"/>
  <c r="AL15" i="36"/>
  <c r="T16" i="36"/>
  <c r="AL16" i="36"/>
  <c r="T17" i="36"/>
  <c r="AL17" i="36"/>
  <c r="T18" i="36"/>
  <c r="AL18" i="36"/>
  <c r="T19" i="36"/>
  <c r="T20" i="36"/>
  <c r="T21" i="36"/>
  <c r="T22" i="36"/>
  <c r="T23" i="36"/>
  <c r="T24" i="36"/>
  <c r="T25" i="36"/>
  <c r="T26" i="36"/>
  <c r="T27" i="36"/>
  <c r="T28" i="36"/>
  <c r="T29" i="36"/>
  <c r="T30" i="36"/>
  <c r="T31" i="36"/>
  <c r="T32" i="36"/>
  <c r="T33" i="36"/>
  <c r="T34" i="36"/>
  <c r="T35" i="36"/>
  <c r="T36" i="36"/>
  <c r="T37" i="36"/>
  <c r="E6" i="35"/>
  <c r="H6" i="35"/>
  <c r="K6" i="35"/>
  <c r="N6" i="35"/>
  <c r="Q6" i="35"/>
  <c r="T6" i="35"/>
  <c r="W6" i="35"/>
  <c r="Z6" i="35"/>
  <c r="AC6" i="35"/>
  <c r="AF6" i="35"/>
  <c r="AI6" i="35"/>
  <c r="AL6" i="35"/>
  <c r="AO6" i="35"/>
  <c r="AR6" i="35"/>
  <c r="AU6" i="35"/>
  <c r="AX6" i="35"/>
  <c r="BA6" i="35"/>
  <c r="BD6" i="35"/>
  <c r="BG6" i="35"/>
  <c r="BJ6" i="35"/>
  <c r="BM6" i="35"/>
  <c r="BP6" i="35"/>
  <c r="BS6" i="35"/>
  <c r="BV6" i="35"/>
  <c r="BY6" i="35"/>
  <c r="CB6" i="35"/>
  <c r="CE6" i="35"/>
  <c r="CH6" i="35"/>
  <c r="E7" i="35"/>
  <c r="H7" i="35"/>
  <c r="K7" i="35"/>
  <c r="N7" i="35"/>
  <c r="Q7" i="35"/>
  <c r="T7" i="35"/>
  <c r="W7" i="35"/>
  <c r="Z7" i="35"/>
  <c r="AF7" i="35"/>
  <c r="AI7" i="35"/>
  <c r="AL7" i="35"/>
  <c r="AO7" i="35"/>
  <c r="AU7" i="35"/>
  <c r="BA7" i="35"/>
  <c r="BD7" i="35"/>
  <c r="BG7" i="35"/>
  <c r="BJ7" i="35"/>
  <c r="BV7" i="35"/>
  <c r="BY7" i="35"/>
  <c r="CB7" i="35"/>
  <c r="CH7" i="35"/>
  <c r="E8" i="35"/>
  <c r="H8" i="35"/>
  <c r="K8" i="35"/>
  <c r="N8" i="35"/>
  <c r="Q8" i="35"/>
  <c r="T8" i="35"/>
  <c r="W8" i="35"/>
  <c r="AF8" i="35"/>
  <c r="AI8" i="35"/>
  <c r="AL8" i="35"/>
  <c r="AO8" i="35"/>
  <c r="AU8" i="35"/>
  <c r="BD8" i="35"/>
  <c r="BG8" i="35"/>
  <c r="BJ8" i="35"/>
  <c r="BV8" i="35"/>
  <c r="BY8" i="35"/>
  <c r="CB8" i="35"/>
  <c r="CH8" i="35"/>
  <c r="E9" i="35"/>
  <c r="H9" i="35"/>
  <c r="K9" i="35"/>
  <c r="N9" i="35"/>
  <c r="Q9" i="35"/>
  <c r="T9" i="35"/>
  <c r="W9" i="35"/>
  <c r="AF9" i="35"/>
  <c r="AI9" i="35"/>
  <c r="AL9" i="35"/>
  <c r="AO9" i="35"/>
  <c r="BD9" i="35"/>
  <c r="CB9" i="35"/>
  <c r="E10" i="35"/>
  <c r="H10" i="35"/>
  <c r="N10" i="35"/>
  <c r="Q10" i="35"/>
  <c r="T10" i="35"/>
  <c r="W10" i="35"/>
  <c r="AF10" i="35"/>
  <c r="AL10" i="35"/>
  <c r="AO10" i="35"/>
  <c r="BD10" i="35"/>
  <c r="E11" i="35"/>
  <c r="H11" i="35"/>
  <c r="N11" i="35"/>
  <c r="T11" i="35"/>
  <c r="W11" i="35"/>
  <c r="AF11" i="35"/>
  <c r="AL11" i="35"/>
  <c r="AO11" i="35"/>
  <c r="BD11" i="35"/>
  <c r="E12" i="35"/>
  <c r="H12" i="35"/>
  <c r="N12" i="35"/>
  <c r="T12" i="35"/>
  <c r="W12" i="35"/>
  <c r="AF12" i="35"/>
  <c r="AL12" i="35"/>
  <c r="AO12" i="35"/>
  <c r="E13" i="35"/>
  <c r="H13" i="35"/>
  <c r="T13" i="35"/>
  <c r="W13" i="35"/>
  <c r="AF13" i="35"/>
  <c r="AL13" i="35"/>
  <c r="AO13" i="35"/>
  <c r="E14" i="35"/>
  <c r="H14" i="35"/>
  <c r="T14" i="35"/>
  <c r="W14" i="35"/>
  <c r="AF14" i="35"/>
  <c r="E15" i="35"/>
  <c r="T15" i="35"/>
  <c r="W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6" i="34"/>
  <c r="H6" i="34"/>
  <c r="K6" i="34"/>
  <c r="N6" i="34"/>
  <c r="Q6" i="34"/>
  <c r="T6" i="34"/>
  <c r="W6" i="34"/>
  <c r="Z6" i="34"/>
  <c r="AC6" i="34"/>
  <c r="AF6" i="34"/>
  <c r="AI6" i="34"/>
  <c r="AL6" i="34"/>
  <c r="AO6" i="34"/>
  <c r="AR6" i="34"/>
  <c r="AU6" i="34"/>
  <c r="AX6" i="34"/>
  <c r="BA6" i="34"/>
  <c r="BD6" i="34"/>
  <c r="BG6" i="34"/>
  <c r="BJ6" i="34"/>
  <c r="BM6" i="34"/>
  <c r="E7" i="34"/>
  <c r="H7" i="34"/>
  <c r="K7" i="34"/>
  <c r="N7" i="34"/>
  <c r="Q7" i="34"/>
  <c r="T7" i="34"/>
  <c r="W7" i="34"/>
  <c r="Z7" i="34"/>
  <c r="AC7" i="34"/>
  <c r="AF7" i="34"/>
  <c r="AL7" i="34"/>
  <c r="AO7" i="34"/>
  <c r="AU7" i="34"/>
  <c r="BJ7" i="34"/>
  <c r="BM7" i="34"/>
  <c r="E8" i="34"/>
  <c r="H8" i="34"/>
  <c r="K8" i="34"/>
  <c r="N8" i="34"/>
  <c r="Q8" i="34"/>
  <c r="T8" i="34"/>
  <c r="W8" i="34"/>
  <c r="Z8" i="34"/>
  <c r="AF8" i="34"/>
  <c r="AL8" i="34"/>
  <c r="AO8" i="34"/>
  <c r="AU8" i="34"/>
  <c r="E9" i="34"/>
  <c r="H9" i="34"/>
  <c r="K9" i="34"/>
  <c r="N9" i="34"/>
  <c r="Q9" i="34"/>
  <c r="T9" i="34"/>
  <c r="W9" i="34"/>
  <c r="AF9" i="34"/>
  <c r="AL9" i="34"/>
  <c r="AO9" i="34"/>
  <c r="E10" i="34"/>
  <c r="H10" i="34"/>
  <c r="K10" i="34"/>
  <c r="N10" i="34"/>
  <c r="Q10" i="34"/>
  <c r="T10" i="34"/>
  <c r="AF10" i="34"/>
  <c r="AO10" i="34"/>
  <c r="E11" i="34"/>
  <c r="H11" i="34"/>
  <c r="K11" i="34"/>
  <c r="N11" i="34"/>
  <c r="Q11" i="34"/>
  <c r="T11" i="34"/>
  <c r="AF11" i="34"/>
  <c r="E12" i="34"/>
  <c r="H12" i="34"/>
  <c r="K12" i="34"/>
  <c r="N12" i="34"/>
  <c r="Q12" i="34"/>
  <c r="T12" i="34"/>
  <c r="AF12" i="34"/>
  <c r="E13" i="34"/>
  <c r="H13" i="34"/>
  <c r="K13" i="34"/>
  <c r="N13" i="34"/>
  <c r="Q13" i="34"/>
  <c r="T13" i="34"/>
  <c r="AF13" i="34"/>
  <c r="E14" i="34"/>
  <c r="H14" i="34"/>
  <c r="K14" i="34"/>
  <c r="N14" i="34"/>
  <c r="Q14" i="34"/>
  <c r="T14" i="34"/>
  <c r="AF14" i="34"/>
  <c r="E15" i="34"/>
  <c r="H15" i="34"/>
  <c r="K15" i="34"/>
  <c r="N15" i="34"/>
  <c r="Q15" i="34"/>
  <c r="T15" i="34"/>
  <c r="AF15" i="34"/>
  <c r="E16" i="34"/>
  <c r="H16" i="34"/>
  <c r="K16" i="34"/>
  <c r="N16" i="34"/>
  <c r="Q16" i="34"/>
  <c r="T16" i="34"/>
  <c r="AF16" i="34"/>
  <c r="E17" i="34"/>
  <c r="H17" i="34"/>
  <c r="K17" i="34"/>
  <c r="N17" i="34"/>
  <c r="Q17" i="34"/>
  <c r="T17" i="34"/>
  <c r="AF17" i="34"/>
  <c r="E18" i="34"/>
  <c r="H18" i="34"/>
  <c r="K18" i="34"/>
  <c r="Q18" i="34"/>
  <c r="T18" i="34"/>
  <c r="AF18" i="34"/>
  <c r="E19" i="34"/>
  <c r="H19" i="34"/>
  <c r="K19" i="34"/>
  <c r="Q19" i="34"/>
  <c r="T19" i="34"/>
  <c r="AF19" i="34"/>
  <c r="E20" i="34"/>
  <c r="K20" i="34"/>
  <c r="Q20" i="34"/>
  <c r="T20" i="34"/>
  <c r="AF20" i="34"/>
  <c r="E21" i="34"/>
  <c r="K21" i="34"/>
  <c r="Q21" i="34"/>
  <c r="T21" i="34"/>
  <c r="AF21" i="34"/>
  <c r="E22" i="34"/>
  <c r="K22" i="34"/>
  <c r="Q22" i="34"/>
  <c r="T22" i="34"/>
  <c r="AF22" i="34"/>
  <c r="K23" i="34"/>
  <c r="Q23" i="34"/>
  <c r="T23" i="34"/>
  <c r="K24" i="34"/>
  <c r="Q24" i="34"/>
  <c r="T24" i="34"/>
  <c r="Q25" i="34"/>
  <c r="T25" i="34"/>
  <c r="Q26" i="34"/>
  <c r="T26" i="34"/>
  <c r="T27" i="34"/>
  <c r="T28" i="34"/>
  <c r="T29" i="34"/>
  <c r="T30" i="34"/>
  <c r="T31" i="34"/>
  <c r="T32" i="34"/>
  <c r="T33" i="34"/>
  <c r="T34" i="34"/>
  <c r="T35" i="34"/>
  <c r="T36" i="34"/>
  <c r="T37" i="34"/>
  <c r="T38" i="34"/>
  <c r="T39" i="34"/>
  <c r="T40" i="34"/>
  <c r="T41" i="34"/>
  <c r="T42" i="34"/>
  <c r="T43" i="34"/>
  <c r="T44" i="34"/>
  <c r="T45" i="34"/>
  <c r="T46" i="34"/>
  <c r="T47" i="34"/>
  <c r="T48" i="34"/>
  <c r="T49" i="34"/>
  <c r="T50" i="34"/>
  <c r="T51" i="34"/>
  <c r="T52" i="34"/>
  <c r="T53" i="34"/>
  <c r="T54" i="34"/>
  <c r="T55" i="34"/>
  <c r="T56" i="34"/>
  <c r="T57" i="34"/>
  <c r="T58" i="34"/>
  <c r="T59" i="34"/>
  <c r="T60" i="34"/>
  <c r="T61" i="34"/>
  <c r="T62" i="34"/>
  <c r="T63" i="34"/>
  <c r="T64" i="34"/>
  <c r="T65" i="34"/>
  <c r="T66" i="34"/>
  <c r="T67" i="34"/>
  <c r="T68" i="34"/>
  <c r="T69" i="34"/>
  <c r="T70" i="34"/>
  <c r="T71" i="34"/>
  <c r="T72" i="34"/>
  <c r="T73" i="34"/>
  <c r="T74" i="34"/>
  <c r="T75" i="34"/>
  <c r="T76" i="34"/>
  <c r="T77" i="34"/>
  <c r="T78" i="34"/>
  <c r="T79" i="34"/>
  <c r="T80" i="34"/>
  <c r="T81" i="34"/>
  <c r="T82" i="34"/>
  <c r="T83" i="34"/>
  <c r="T84" i="34"/>
  <c r="T85" i="34"/>
  <c r="T86" i="34"/>
  <c r="T87" i="34"/>
  <c r="T88" i="34"/>
  <c r="T89" i="34"/>
  <c r="T90" i="34"/>
  <c r="T91" i="34"/>
  <c r="T92" i="34"/>
  <c r="T93" i="34"/>
  <c r="T94" i="34"/>
  <c r="T95" i="34"/>
  <c r="T96" i="34"/>
  <c r="T97" i="34"/>
  <c r="T98" i="34"/>
  <c r="T99" i="34"/>
  <c r="T100" i="34"/>
  <c r="T101" i="34"/>
  <c r="T102" i="34"/>
  <c r="T103" i="34"/>
  <c r="T104" i="34"/>
  <c r="T105" i="34"/>
  <c r="T106" i="34"/>
  <c r="T107" i="34"/>
  <c r="T108" i="34"/>
  <c r="T109" i="34"/>
  <c r="T110" i="34"/>
  <c r="T111" i="34"/>
  <c r="T112" i="34"/>
  <c r="T113" i="34"/>
  <c r="T114" i="34"/>
  <c r="T115" i="34"/>
  <c r="T116" i="34"/>
  <c r="T117" i="34"/>
  <c r="T118" i="34"/>
  <c r="T119" i="34"/>
  <c r="T120" i="34"/>
  <c r="T121" i="34"/>
  <c r="T122" i="34"/>
  <c r="T123" i="34"/>
  <c r="E8" i="33"/>
  <c r="H8" i="33"/>
  <c r="K8" i="33"/>
  <c r="N8" i="33"/>
  <c r="T8" i="33"/>
  <c r="W8" i="33"/>
  <c r="AF8" i="33"/>
  <c r="AI8" i="33"/>
  <c r="AL8" i="33"/>
  <c r="AR8" i="33"/>
  <c r="AX8" i="33"/>
  <c r="BD8" i="33"/>
  <c r="E9" i="33"/>
  <c r="H9" i="33"/>
  <c r="K9" i="33"/>
  <c r="N9" i="33"/>
  <c r="T9" i="33"/>
  <c r="W9" i="33"/>
  <c r="AF9" i="33"/>
  <c r="AI9" i="33"/>
  <c r="AL9" i="33"/>
  <c r="AX9" i="33"/>
  <c r="BD9" i="33"/>
  <c r="E10" i="33"/>
  <c r="H10" i="33"/>
  <c r="K10" i="33"/>
  <c r="N10" i="33"/>
  <c r="T10" i="33"/>
  <c r="W10" i="33"/>
  <c r="AF10" i="33"/>
  <c r="AI10" i="33"/>
  <c r="AL10" i="33"/>
  <c r="BD10" i="33"/>
  <c r="E11" i="33"/>
  <c r="H11" i="33"/>
  <c r="K11" i="33"/>
  <c r="N11" i="33"/>
  <c r="T11" i="33"/>
  <c r="W11" i="33"/>
  <c r="AF11" i="33"/>
  <c r="AI11" i="33"/>
  <c r="AL11" i="33"/>
  <c r="BD11" i="33"/>
  <c r="E12" i="33"/>
  <c r="H12" i="33"/>
  <c r="K12" i="33"/>
  <c r="N12" i="33"/>
  <c r="T12" i="33"/>
  <c r="W12" i="33"/>
  <c r="AF12" i="33"/>
  <c r="AI12" i="33"/>
  <c r="BD12" i="33"/>
  <c r="E13" i="33"/>
  <c r="H13" i="33"/>
  <c r="K13" i="33"/>
  <c r="T13" i="33"/>
  <c r="W13" i="33"/>
  <c r="AF13" i="33"/>
  <c r="AI13" i="33"/>
  <c r="BD13" i="33"/>
  <c r="E14" i="33"/>
  <c r="H14" i="33"/>
  <c r="K14" i="33"/>
  <c r="T14" i="33"/>
  <c r="W14" i="33"/>
  <c r="AF14" i="33"/>
  <c r="AI14" i="33"/>
  <c r="E15" i="33"/>
  <c r="H15" i="33"/>
  <c r="K15" i="33"/>
  <c r="T15" i="33"/>
  <c r="W15" i="33"/>
  <c r="AF15" i="33"/>
  <c r="AI15" i="33"/>
  <c r="E16" i="33"/>
  <c r="H16" i="33"/>
  <c r="K16" i="33"/>
  <c r="T16" i="33"/>
  <c r="W16" i="33"/>
  <c r="AF16" i="33"/>
  <c r="AI16" i="33"/>
  <c r="E17" i="33"/>
  <c r="H17" i="33"/>
  <c r="K17" i="33"/>
  <c r="T17" i="33"/>
  <c r="W17" i="33"/>
  <c r="AF17" i="33"/>
  <c r="AI17" i="33"/>
  <c r="E18" i="33"/>
  <c r="H18" i="33"/>
  <c r="K18" i="33"/>
  <c r="T18" i="33"/>
  <c r="W18" i="33"/>
  <c r="AI18" i="33"/>
  <c r="E19" i="33"/>
  <c r="K19" i="33"/>
  <c r="T19" i="33"/>
  <c r="W19" i="33"/>
  <c r="AI19" i="33"/>
  <c r="E20" i="33"/>
  <c r="K20" i="33"/>
  <c r="T20" i="33"/>
  <c r="W20" i="33"/>
  <c r="AI20" i="33"/>
  <c r="E21" i="33"/>
  <c r="K21" i="33"/>
  <c r="T21" i="33"/>
  <c r="W21" i="33"/>
  <c r="AI21" i="33"/>
  <c r="E22" i="33"/>
  <c r="K22" i="33"/>
  <c r="T22" i="33"/>
  <c r="W22" i="33"/>
  <c r="AI22" i="33"/>
  <c r="E23" i="33"/>
  <c r="K23" i="33"/>
  <c r="T23" i="33"/>
  <c r="W23" i="33"/>
  <c r="AI23" i="33"/>
  <c r="E24" i="33"/>
  <c r="K24" i="33"/>
  <c r="W24" i="33"/>
  <c r="AI24" i="33"/>
  <c r="E25" i="33"/>
  <c r="K25" i="33"/>
  <c r="W25" i="33"/>
  <c r="AI25" i="33"/>
  <c r="E26" i="33"/>
  <c r="K26" i="33"/>
  <c r="W26" i="33"/>
  <c r="AI26" i="33"/>
  <c r="E27" i="33"/>
  <c r="K27" i="33"/>
  <c r="W27" i="33"/>
  <c r="AI27" i="33"/>
  <c r="E28" i="33"/>
  <c r="K28" i="33"/>
  <c r="W28" i="33"/>
  <c r="AI28" i="33"/>
  <c r="E29" i="33"/>
  <c r="K29" i="33"/>
  <c r="W29" i="33"/>
  <c r="AI29" i="33"/>
  <c r="E30" i="33"/>
  <c r="K30" i="33"/>
  <c r="W30" i="33"/>
  <c r="AI30" i="33"/>
  <c r="E31" i="33"/>
  <c r="K31" i="33"/>
  <c r="W31" i="33"/>
  <c r="AI31" i="33"/>
  <c r="E32" i="33"/>
  <c r="K32" i="33"/>
  <c r="W32" i="33"/>
  <c r="AI32" i="33"/>
  <c r="E33" i="33"/>
  <c r="K33" i="33"/>
  <c r="W33" i="33"/>
  <c r="AI33" i="33"/>
  <c r="E34" i="33"/>
  <c r="K34" i="33"/>
  <c r="W34" i="33"/>
  <c r="AI34" i="33"/>
  <c r="E35" i="33"/>
  <c r="K35" i="33"/>
  <c r="W35" i="33"/>
  <c r="AI35" i="33"/>
  <c r="E36" i="33"/>
  <c r="K36" i="33"/>
  <c r="W36" i="33"/>
  <c r="AI36" i="33"/>
  <c r="E37" i="33"/>
  <c r="K37" i="33"/>
  <c r="W37" i="33"/>
  <c r="AI37" i="33"/>
  <c r="E38" i="33"/>
  <c r="K38" i="33"/>
  <c r="W38" i="33"/>
  <c r="AI38" i="33"/>
  <c r="E39" i="33"/>
  <c r="K39" i="33"/>
  <c r="W39" i="33"/>
  <c r="AI39" i="33"/>
  <c r="E40" i="33"/>
  <c r="K40" i="33"/>
  <c r="W40" i="33"/>
  <c r="AI40" i="33"/>
  <c r="E41" i="33"/>
  <c r="K41" i="33"/>
  <c r="W41" i="33"/>
  <c r="AI41" i="33"/>
  <c r="E42" i="33"/>
  <c r="W42" i="33"/>
  <c r="AI42" i="33"/>
  <c r="E43" i="33"/>
  <c r="W43" i="33"/>
  <c r="AI43" i="33"/>
  <c r="W44" i="33"/>
  <c r="AI44" i="33"/>
  <c r="W45" i="33"/>
  <c r="AI45" i="33"/>
  <c r="W46" i="33"/>
  <c r="AI46" i="33"/>
  <c r="W47" i="33"/>
  <c r="AI47" i="33"/>
  <c r="W48" i="33"/>
  <c r="AI48" i="33"/>
  <c r="W49" i="33"/>
  <c r="AI49" i="33"/>
  <c r="W50" i="33"/>
  <c r="W51" i="33"/>
  <c r="W52" i="33"/>
  <c r="W53" i="33"/>
  <c r="E6" i="32"/>
  <c r="H6" i="32"/>
  <c r="K6" i="32"/>
  <c r="N6" i="32"/>
  <c r="Q6" i="32"/>
  <c r="T6" i="32"/>
  <c r="W6" i="32"/>
  <c r="Z6" i="32"/>
  <c r="AC6" i="32"/>
  <c r="AF6" i="32"/>
  <c r="AI6" i="32"/>
  <c r="AL6" i="32"/>
  <c r="AO6" i="32"/>
  <c r="AR6" i="32"/>
  <c r="AU6" i="32"/>
  <c r="BA6" i="32"/>
  <c r="BD6" i="32"/>
  <c r="BG6" i="32"/>
  <c r="BJ6" i="32"/>
  <c r="BM6" i="32"/>
  <c r="BP6" i="32"/>
  <c r="BS6" i="32"/>
  <c r="BY6" i="32"/>
  <c r="E7" i="32"/>
  <c r="H7" i="32"/>
  <c r="K7" i="32"/>
  <c r="N7" i="32"/>
  <c r="Q7" i="32"/>
  <c r="T7" i="32"/>
  <c r="W7" i="32"/>
  <c r="AC7" i="32"/>
  <c r="AF7" i="32"/>
  <c r="AI7" i="32"/>
  <c r="AR7" i="32"/>
  <c r="BA7" i="32"/>
  <c r="BD7" i="32"/>
  <c r="BG7" i="32"/>
  <c r="BJ7" i="32"/>
  <c r="BS7" i="32"/>
  <c r="E8" i="32"/>
  <c r="H8" i="32"/>
  <c r="K8" i="32"/>
  <c r="N8" i="32"/>
  <c r="T8" i="32"/>
  <c r="W8" i="32"/>
  <c r="AF8" i="32"/>
  <c r="AR8" i="32"/>
  <c r="AX2" i="32"/>
  <c r="BA8" i="32"/>
  <c r="BJ8" i="32"/>
  <c r="E9" i="32"/>
  <c r="H9" i="32"/>
  <c r="K9" i="32"/>
  <c r="N9" i="32"/>
  <c r="T9" i="32"/>
  <c r="W9" i="32"/>
  <c r="AF9" i="32"/>
  <c r="AR9" i="32"/>
  <c r="E10" i="32"/>
  <c r="H10" i="32"/>
  <c r="K10" i="32"/>
  <c r="N10" i="32"/>
  <c r="T10" i="32"/>
  <c r="W10" i="32"/>
  <c r="AF10" i="32"/>
  <c r="AR10" i="32"/>
  <c r="E11" i="32"/>
  <c r="H11" i="32"/>
  <c r="K11" i="32"/>
  <c r="N11" i="32"/>
  <c r="T11" i="32"/>
  <c r="W11" i="32"/>
  <c r="AF11" i="32"/>
  <c r="AR11" i="32"/>
  <c r="E12" i="32"/>
  <c r="H12" i="32"/>
  <c r="K12" i="32"/>
  <c r="N12" i="32"/>
  <c r="T12" i="32"/>
  <c r="W12" i="32"/>
  <c r="AF12" i="32"/>
  <c r="AR12" i="32"/>
  <c r="E13" i="32"/>
  <c r="H13" i="32"/>
  <c r="K13" i="32"/>
  <c r="N13" i="32"/>
  <c r="T13" i="32"/>
  <c r="W13" i="32"/>
  <c r="AF13" i="32"/>
  <c r="AR13" i="32"/>
  <c r="E14" i="32"/>
  <c r="H14" i="32"/>
  <c r="K14" i="32"/>
  <c r="N14" i="32"/>
  <c r="T14" i="32"/>
  <c r="W14" i="32"/>
  <c r="AF14" i="32"/>
  <c r="AR14" i="32"/>
  <c r="E15" i="32"/>
  <c r="H15" i="32"/>
  <c r="K15" i="32"/>
  <c r="N15" i="32"/>
  <c r="T15" i="32"/>
  <c r="W15" i="32"/>
  <c r="AF15" i="32"/>
  <c r="E16" i="32"/>
  <c r="H16" i="32"/>
  <c r="K16" i="32"/>
  <c r="N16" i="32"/>
  <c r="T16" i="32"/>
  <c r="W16" i="32"/>
  <c r="AF16" i="32"/>
  <c r="E17" i="32"/>
  <c r="H17" i="32"/>
  <c r="K17" i="32"/>
  <c r="N17" i="32"/>
  <c r="W17" i="32"/>
  <c r="AF17" i="32"/>
  <c r="E18" i="32"/>
  <c r="H18" i="32"/>
  <c r="K18" i="32"/>
  <c r="N18" i="32"/>
  <c r="W18" i="32"/>
  <c r="AF18" i="32"/>
  <c r="E19" i="32"/>
  <c r="H19" i="32"/>
  <c r="K19" i="32"/>
  <c r="N19" i="32"/>
  <c r="W19" i="32"/>
  <c r="E20" i="32"/>
  <c r="H20" i="32"/>
  <c r="K20" i="32"/>
  <c r="N20" i="32"/>
  <c r="W20" i="32"/>
  <c r="E21" i="32"/>
  <c r="H21" i="32"/>
  <c r="K21" i="32"/>
  <c r="N21" i="32"/>
  <c r="W21" i="32"/>
  <c r="E22" i="32"/>
  <c r="H22" i="32"/>
  <c r="K22" i="32"/>
  <c r="N22" i="32"/>
  <c r="W22" i="32"/>
  <c r="E23" i="32"/>
  <c r="H23" i="32"/>
  <c r="K23" i="32"/>
  <c r="N23" i="32"/>
  <c r="W23" i="32"/>
  <c r="E24" i="32"/>
  <c r="H24" i="32"/>
  <c r="K24" i="32"/>
  <c r="N24" i="32"/>
  <c r="W24" i="32"/>
  <c r="E25" i="32"/>
  <c r="H25" i="32"/>
  <c r="K25" i="32"/>
  <c r="N25" i="32"/>
  <c r="W25" i="32"/>
  <c r="E26" i="32"/>
  <c r="H26" i="32"/>
  <c r="K26" i="32"/>
  <c r="N26" i="32"/>
  <c r="W26" i="32"/>
  <c r="E27" i="32"/>
  <c r="H27" i="32"/>
  <c r="K27" i="32"/>
  <c r="N27" i="32"/>
  <c r="W27" i="32"/>
  <c r="E28" i="32"/>
  <c r="H28" i="32"/>
  <c r="K28" i="32"/>
  <c r="N28" i="32"/>
  <c r="W28" i="32"/>
  <c r="E29" i="32"/>
  <c r="H29" i="32"/>
  <c r="K29" i="32"/>
  <c r="N29" i="32"/>
  <c r="W29" i="32"/>
  <c r="E30" i="32"/>
  <c r="H30" i="32"/>
  <c r="K30" i="32"/>
  <c r="N30" i="32"/>
  <c r="W30" i="32"/>
  <c r="E31" i="32"/>
  <c r="H31" i="32"/>
  <c r="K31" i="32"/>
  <c r="N31" i="32"/>
  <c r="W31" i="32"/>
  <c r="E32" i="32"/>
  <c r="H32" i="32"/>
  <c r="K32" i="32"/>
  <c r="W32" i="32"/>
  <c r="E33" i="32"/>
  <c r="H33" i="32"/>
  <c r="K33" i="32"/>
  <c r="W33" i="32"/>
  <c r="E34" i="32"/>
  <c r="H34" i="32"/>
  <c r="K34" i="32"/>
  <c r="W34" i="32"/>
  <c r="E35" i="32"/>
  <c r="K35" i="32"/>
  <c r="W35" i="32"/>
  <c r="E36" i="32"/>
  <c r="K36" i="32"/>
  <c r="W36" i="32"/>
  <c r="E37" i="32"/>
  <c r="K37" i="32"/>
  <c r="W37" i="32"/>
  <c r="E38" i="32"/>
  <c r="K38" i="32"/>
  <c r="W38" i="32"/>
  <c r="E39" i="32"/>
  <c r="K39" i="32"/>
  <c r="W39" i="32"/>
  <c r="E40" i="32"/>
  <c r="K40" i="32"/>
  <c r="W40" i="32"/>
  <c r="E41" i="32"/>
  <c r="K41" i="32"/>
  <c r="W41" i="32"/>
  <c r="E42" i="32"/>
  <c r="K42" i="32"/>
  <c r="W42" i="32"/>
  <c r="E43" i="32"/>
  <c r="K43" i="32"/>
  <c r="W43" i="32"/>
  <c r="K44" i="32"/>
  <c r="W44" i="32"/>
  <c r="K45" i="32"/>
  <c r="W45" i="32"/>
  <c r="K46" i="32"/>
  <c r="W46" i="32"/>
  <c r="K47" i="32"/>
  <c r="W47" i="32"/>
  <c r="K48" i="32"/>
  <c r="W48" i="32"/>
  <c r="K49" i="32"/>
  <c r="W49" i="32"/>
  <c r="K50" i="32"/>
  <c r="W50" i="32"/>
  <c r="W51" i="32"/>
  <c r="W52" i="32"/>
  <c r="W53" i="32"/>
  <c r="W54" i="32"/>
  <c r="W55" i="32"/>
  <c r="W56" i="32"/>
  <c r="E6" i="31"/>
  <c r="H6" i="31"/>
  <c r="K6" i="31"/>
  <c r="N6" i="31"/>
  <c r="Q6" i="31"/>
  <c r="T6" i="31"/>
  <c r="W6" i="31"/>
  <c r="Z6" i="31"/>
  <c r="AC6" i="31"/>
  <c r="AF6" i="31"/>
  <c r="AI6" i="31"/>
  <c r="AL6" i="31"/>
  <c r="AO6" i="31"/>
  <c r="AR6" i="31"/>
  <c r="AU6" i="31"/>
  <c r="AX6" i="31"/>
  <c r="BA6" i="31"/>
  <c r="E7" i="31"/>
  <c r="H7" i="31"/>
  <c r="K7" i="31"/>
  <c r="N7" i="31"/>
  <c r="Q7" i="31"/>
  <c r="T7" i="31"/>
  <c r="W7" i="31"/>
  <c r="Z7" i="31"/>
  <c r="AC7" i="31"/>
  <c r="AF7" i="31"/>
  <c r="AI7" i="31"/>
  <c r="AL7" i="31"/>
  <c r="AU7" i="31"/>
  <c r="AX7" i="31"/>
  <c r="E8" i="31"/>
  <c r="H8" i="31"/>
  <c r="K8" i="31"/>
  <c r="N8" i="31"/>
  <c r="Q8" i="31"/>
  <c r="T8" i="31"/>
  <c r="W8" i="31"/>
  <c r="Z8" i="31"/>
  <c r="AC8" i="31"/>
  <c r="AF8" i="31"/>
  <c r="AI8" i="31"/>
  <c r="AL8" i="31"/>
  <c r="AU8" i="31"/>
  <c r="AX8" i="31"/>
  <c r="E9" i="31"/>
  <c r="H9" i="31"/>
  <c r="K9" i="31"/>
  <c r="Q9" i="31"/>
  <c r="T9" i="31"/>
  <c r="Z9" i="31"/>
  <c r="AC9" i="31"/>
  <c r="AF9" i="31"/>
  <c r="AI9" i="31"/>
  <c r="AX9" i="31"/>
  <c r="E10" i="31"/>
  <c r="H10" i="31"/>
  <c r="K10" i="31"/>
  <c r="Q10" i="31"/>
  <c r="AC10" i="31"/>
  <c r="AF10" i="31"/>
  <c r="AI10" i="31"/>
  <c r="E11" i="31"/>
  <c r="H11" i="31"/>
  <c r="K11" i="31"/>
  <c r="Q11" i="31"/>
  <c r="AC11" i="31"/>
  <c r="AF11" i="31"/>
  <c r="E12" i="31"/>
  <c r="H12" i="31"/>
  <c r="K12" i="31"/>
  <c r="Q12" i="31"/>
  <c r="AC12" i="31"/>
  <c r="AF12" i="31"/>
  <c r="E13" i="31"/>
  <c r="H13" i="31"/>
  <c r="K13" i="31"/>
  <c r="Q13" i="31"/>
  <c r="AC13" i="31"/>
  <c r="AF13" i="31"/>
  <c r="E14" i="31"/>
  <c r="H14" i="31"/>
  <c r="K14" i="31"/>
  <c r="Q14" i="31"/>
  <c r="AC14" i="31"/>
  <c r="AF14" i="31"/>
  <c r="E15" i="31"/>
  <c r="H15" i="31"/>
  <c r="K15" i="31"/>
  <c r="Q15" i="31"/>
  <c r="AC15" i="31"/>
  <c r="AF15" i="31"/>
  <c r="E16" i="31"/>
  <c r="F16" i="31"/>
  <c r="G16" i="31"/>
  <c r="K16" i="31"/>
  <c r="Q16" i="31"/>
  <c r="AC16" i="31"/>
  <c r="E17" i="31"/>
  <c r="H17" i="31"/>
  <c r="K17" i="31"/>
  <c r="Q17" i="31"/>
  <c r="E18" i="31"/>
  <c r="H18" i="31"/>
  <c r="K18" i="31"/>
  <c r="Q18" i="31"/>
  <c r="E19" i="31"/>
  <c r="H19" i="31"/>
  <c r="K19" i="31"/>
  <c r="Q19" i="31"/>
  <c r="E20" i="31"/>
  <c r="H20" i="31"/>
  <c r="K20" i="31"/>
  <c r="Q20" i="31"/>
  <c r="E21" i="31"/>
  <c r="H21" i="31"/>
  <c r="K21" i="31"/>
  <c r="Q21" i="31"/>
  <c r="E22" i="31"/>
  <c r="H22" i="31"/>
  <c r="K22" i="31"/>
  <c r="Q22" i="31"/>
  <c r="E23" i="31"/>
  <c r="H23" i="31"/>
  <c r="K23" i="31"/>
  <c r="Q23" i="31"/>
  <c r="E24" i="31"/>
  <c r="H24" i="31"/>
  <c r="K24" i="31"/>
  <c r="Q24" i="31"/>
  <c r="E25" i="31"/>
  <c r="H25" i="31"/>
  <c r="K25" i="31"/>
  <c r="Q25" i="31"/>
  <c r="E26" i="31"/>
  <c r="H26" i="31"/>
  <c r="K26" i="31"/>
  <c r="Q26" i="31"/>
  <c r="E27" i="31"/>
  <c r="H27" i="31"/>
  <c r="K27" i="31"/>
  <c r="Q27" i="31"/>
  <c r="E28" i="31"/>
  <c r="H28" i="31"/>
  <c r="K28" i="31"/>
  <c r="Q28" i="31"/>
  <c r="E29" i="31"/>
  <c r="H29" i="31"/>
  <c r="K29" i="31"/>
  <c r="E30" i="31"/>
  <c r="H30" i="31"/>
  <c r="K30" i="31"/>
  <c r="E31" i="31"/>
  <c r="H31" i="31"/>
  <c r="K31" i="31"/>
  <c r="E32" i="31"/>
  <c r="H32" i="31"/>
  <c r="K32" i="31"/>
  <c r="E33" i="31"/>
  <c r="H33" i="31"/>
  <c r="K33" i="31"/>
  <c r="E34" i="31"/>
  <c r="H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6" i="30"/>
  <c r="H6" i="30"/>
  <c r="K6" i="30"/>
  <c r="N6" i="30"/>
  <c r="Q6" i="30"/>
  <c r="T6" i="30"/>
  <c r="W6" i="30"/>
  <c r="Z6" i="30"/>
  <c r="AC6" i="30"/>
  <c r="AF6" i="30"/>
  <c r="AI6" i="30"/>
  <c r="AL6" i="30"/>
  <c r="AO6" i="30"/>
  <c r="AR6" i="30"/>
  <c r="AU6" i="30"/>
  <c r="BA6" i="30"/>
  <c r="BD6" i="30"/>
  <c r="BG6" i="30"/>
  <c r="BJ6" i="30"/>
  <c r="E7" i="30"/>
  <c r="H7" i="30"/>
  <c r="K7" i="30"/>
  <c r="Q7" i="30"/>
  <c r="T7" i="30"/>
  <c r="W7" i="30"/>
  <c r="Z7" i="30"/>
  <c r="AC7" i="30"/>
  <c r="AI7" i="30"/>
  <c r="AL7" i="30"/>
  <c r="AO7" i="30"/>
  <c r="AR7" i="30"/>
  <c r="AU7" i="30"/>
  <c r="BA7" i="30"/>
  <c r="BD7" i="30"/>
  <c r="BG7" i="30"/>
  <c r="E8" i="30"/>
  <c r="H8" i="30"/>
  <c r="K8" i="30"/>
  <c r="Q8" i="30"/>
  <c r="T8" i="30"/>
  <c r="Z8" i="30"/>
  <c r="AC8" i="30"/>
  <c r="AI8" i="30"/>
  <c r="AL8" i="30"/>
  <c r="BA8" i="30"/>
  <c r="E9" i="30"/>
  <c r="H9" i="30"/>
  <c r="K9" i="30"/>
  <c r="Q9" i="30"/>
  <c r="T9" i="30"/>
  <c r="AC9" i="30"/>
  <c r="AI9" i="30"/>
  <c r="E10" i="30"/>
  <c r="H10" i="30"/>
  <c r="K10" i="30"/>
  <c r="Q10" i="30"/>
  <c r="T10" i="30"/>
  <c r="AC10" i="30"/>
  <c r="AI10" i="30"/>
  <c r="E11" i="30"/>
  <c r="H11" i="30"/>
  <c r="K11" i="30"/>
  <c r="Q11" i="30"/>
  <c r="T11" i="30"/>
  <c r="AC11" i="30"/>
  <c r="E12" i="30"/>
  <c r="H12" i="30"/>
  <c r="K12" i="30"/>
  <c r="Q12" i="30"/>
  <c r="T12" i="30"/>
  <c r="E13" i="30"/>
  <c r="H13" i="30"/>
  <c r="K13" i="30"/>
  <c r="Q13" i="30"/>
  <c r="T13" i="30"/>
  <c r="E14" i="30"/>
  <c r="H14" i="30"/>
  <c r="K14" i="30"/>
  <c r="Q14" i="30"/>
  <c r="E15" i="30"/>
  <c r="H15" i="30"/>
  <c r="K15" i="30"/>
  <c r="Q15" i="30"/>
  <c r="T14" i="30"/>
  <c r="E16" i="30"/>
  <c r="K16" i="30"/>
  <c r="Q16" i="30"/>
  <c r="T15" i="30"/>
  <c r="E17" i="30"/>
  <c r="K17" i="30"/>
  <c r="Q17" i="30"/>
  <c r="T16" i="30"/>
  <c r="E18" i="30"/>
  <c r="K18" i="30"/>
  <c r="Q18" i="30"/>
  <c r="T17" i="30"/>
  <c r="E19" i="30"/>
  <c r="K19" i="30"/>
  <c r="Q19" i="30"/>
  <c r="T18" i="30"/>
  <c r="E20" i="30"/>
  <c r="K20" i="30"/>
  <c r="Q20" i="30"/>
  <c r="T19" i="30"/>
  <c r="E21" i="30"/>
  <c r="K21" i="30"/>
  <c r="Q21" i="30"/>
  <c r="T20" i="30"/>
  <c r="E22" i="30"/>
  <c r="K22" i="30"/>
  <c r="Q22" i="30"/>
  <c r="T21" i="30"/>
  <c r="E23" i="30"/>
  <c r="K23" i="30"/>
  <c r="Q23" i="30"/>
  <c r="T22" i="30"/>
  <c r="E24" i="30"/>
  <c r="K24" i="30"/>
  <c r="Q24" i="30"/>
  <c r="T23" i="30"/>
  <c r="E25" i="30"/>
  <c r="K25" i="30"/>
  <c r="Q25" i="30"/>
  <c r="T24" i="30"/>
  <c r="E26" i="30"/>
  <c r="K26" i="30"/>
  <c r="Q26" i="30"/>
  <c r="T25" i="30"/>
  <c r="E27" i="30"/>
  <c r="K27" i="30"/>
  <c r="Q27" i="30"/>
  <c r="T26" i="30"/>
  <c r="E28" i="30"/>
  <c r="K28" i="30"/>
  <c r="Q28" i="30"/>
  <c r="T27" i="30"/>
  <c r="E29" i="30"/>
  <c r="K29" i="30"/>
  <c r="Q29" i="30"/>
  <c r="T28" i="30"/>
  <c r="E30" i="30"/>
  <c r="K30" i="30"/>
  <c r="Q30" i="30"/>
  <c r="T29" i="30"/>
  <c r="E31" i="30"/>
  <c r="K31" i="30"/>
  <c r="Q31" i="30"/>
  <c r="T30" i="30"/>
  <c r="E32" i="30"/>
  <c r="K32" i="30"/>
  <c r="Q32" i="30"/>
  <c r="T31" i="30"/>
  <c r="E33" i="30"/>
  <c r="K33" i="30"/>
  <c r="Q33" i="30"/>
  <c r="T32" i="30"/>
  <c r="E34" i="30"/>
  <c r="K34" i="30"/>
  <c r="Q34" i="30"/>
  <c r="T33" i="30"/>
  <c r="E35" i="30"/>
  <c r="K35" i="30"/>
  <c r="Q35" i="30"/>
  <c r="T34" i="30"/>
  <c r="K36" i="30"/>
  <c r="Q36" i="30"/>
  <c r="T35" i="30"/>
  <c r="K37" i="30"/>
  <c r="Q37" i="30"/>
  <c r="T36" i="30"/>
  <c r="K38" i="30"/>
  <c r="Q38" i="30"/>
  <c r="T37" i="30"/>
  <c r="K39" i="30"/>
  <c r="Q39" i="30"/>
  <c r="K40" i="30"/>
  <c r="Q40" i="30"/>
  <c r="K41" i="30"/>
  <c r="Q41" i="30"/>
  <c r="K42" i="30"/>
  <c r="Q42" i="30"/>
  <c r="K43" i="30"/>
  <c r="Q43" i="30"/>
  <c r="K44" i="30"/>
  <c r="Q44" i="30"/>
  <c r="K45" i="30"/>
  <c r="Q45" i="30"/>
  <c r="K46" i="30"/>
  <c r="Q46" i="30"/>
  <c r="K47" i="30"/>
  <c r="Q47" i="30"/>
  <c r="K48" i="30"/>
  <c r="Q48" i="30"/>
  <c r="K49" i="30"/>
  <c r="Q49" i="30"/>
  <c r="K50" i="30"/>
  <c r="Q50" i="30"/>
  <c r="K51" i="30"/>
  <c r="Q51" i="30"/>
  <c r="K52" i="30"/>
  <c r="Q52" i="30"/>
  <c r="K53" i="30"/>
  <c r="Q53" i="30"/>
  <c r="K54" i="30"/>
  <c r="Q54" i="30"/>
  <c r="K55" i="30"/>
  <c r="Q55" i="30"/>
  <c r="K56" i="30"/>
  <c r="Q56" i="30"/>
  <c r="K57" i="30"/>
  <c r="Q57" i="30"/>
  <c r="K58" i="30"/>
  <c r="Q58" i="30"/>
  <c r="K59" i="30"/>
  <c r="Q59" i="30"/>
  <c r="K60" i="30"/>
  <c r="Q60" i="30"/>
  <c r="K61" i="30"/>
  <c r="Q61" i="30"/>
  <c r="K62" i="30"/>
  <c r="Q62" i="30"/>
  <c r="K63" i="30"/>
  <c r="Q63" i="30"/>
  <c r="K64" i="30"/>
  <c r="Q64" i="30"/>
  <c r="K65" i="30"/>
  <c r="Q65" i="30"/>
  <c r="K66" i="30"/>
  <c r="Q66" i="30"/>
  <c r="K67" i="30"/>
  <c r="Q67" i="30"/>
  <c r="K68" i="30"/>
  <c r="Q68" i="30"/>
  <c r="K69" i="30"/>
  <c r="Q69" i="30"/>
  <c r="Q70" i="30"/>
  <c r="E6" i="29"/>
  <c r="H6" i="29"/>
  <c r="K6" i="29"/>
  <c r="N6" i="29"/>
  <c r="Q6" i="29"/>
  <c r="T6" i="29"/>
  <c r="W6" i="29"/>
  <c r="Z6" i="29"/>
  <c r="AC6" i="29"/>
  <c r="AF6" i="29"/>
  <c r="AI6" i="29"/>
  <c r="AL6" i="29"/>
  <c r="AO6" i="29"/>
  <c r="AR6" i="29"/>
  <c r="AU6" i="29"/>
  <c r="AX6" i="29"/>
  <c r="BA6" i="29"/>
  <c r="BD6" i="29"/>
  <c r="E7" i="29"/>
  <c r="H7" i="29"/>
  <c r="K7" i="29"/>
  <c r="N7" i="29"/>
  <c r="T7" i="29"/>
  <c r="W7" i="29"/>
  <c r="Z7" i="29"/>
  <c r="AC7" i="29"/>
  <c r="AF7" i="29"/>
  <c r="AI7" i="29"/>
  <c r="AR7" i="29"/>
  <c r="AX7" i="29"/>
  <c r="E8" i="29"/>
  <c r="H8" i="29"/>
  <c r="N8" i="29"/>
  <c r="T8" i="29"/>
  <c r="W8" i="29"/>
  <c r="Z8" i="29"/>
  <c r="AC8" i="29"/>
  <c r="AF8" i="29"/>
  <c r="AI8" i="29"/>
  <c r="AX8" i="29"/>
  <c r="E9" i="29"/>
  <c r="H9" i="29"/>
  <c r="N9" i="29"/>
  <c r="T9" i="29"/>
  <c r="W9" i="29"/>
  <c r="Z9" i="29"/>
  <c r="AC9" i="29"/>
  <c r="AF9" i="29"/>
  <c r="AI9" i="29"/>
  <c r="AX9" i="29"/>
  <c r="E10" i="29"/>
  <c r="H10" i="29"/>
  <c r="W10" i="29"/>
  <c r="Z10" i="29"/>
  <c r="AC10" i="29"/>
  <c r="AF10" i="29"/>
  <c r="AI10" i="29"/>
  <c r="E11" i="29"/>
  <c r="H11" i="29"/>
  <c r="W11" i="29"/>
  <c r="AC11" i="29"/>
  <c r="AF11" i="29"/>
  <c r="AI11" i="29"/>
  <c r="E12" i="29"/>
  <c r="H12" i="29"/>
  <c r="W12" i="29"/>
  <c r="AC12" i="29"/>
  <c r="AF12" i="29"/>
  <c r="AI12" i="29"/>
  <c r="E13" i="29"/>
  <c r="H13" i="29"/>
  <c r="W13" i="29"/>
  <c r="AC13" i="29"/>
  <c r="AD13" i="29"/>
  <c r="AF13" i="29" s="1"/>
  <c r="AE13" i="29"/>
  <c r="AI13" i="29"/>
  <c r="E14" i="29"/>
  <c r="H14" i="29"/>
  <c r="W14" i="29"/>
  <c r="AC14" i="29"/>
  <c r="AF14" i="29"/>
  <c r="AI14" i="29"/>
  <c r="E15" i="29"/>
  <c r="H15" i="29"/>
  <c r="W15" i="29"/>
  <c r="AC15" i="29"/>
  <c r="AF15" i="29"/>
  <c r="AI15" i="29"/>
  <c r="C16" i="29"/>
  <c r="D16" i="29"/>
  <c r="H16" i="29"/>
  <c r="W16" i="29"/>
  <c r="AC16" i="29"/>
  <c r="AF16" i="29"/>
  <c r="AI16" i="29"/>
  <c r="E17" i="29"/>
  <c r="H17" i="29"/>
  <c r="W17" i="29"/>
  <c r="AC17" i="29"/>
  <c r="AF17" i="29"/>
  <c r="AI17" i="29"/>
  <c r="E18" i="29"/>
  <c r="H18" i="29"/>
  <c r="W18" i="29"/>
  <c r="AC18" i="29"/>
  <c r="AF18" i="29"/>
  <c r="AI18" i="29"/>
  <c r="E19" i="29"/>
  <c r="H19" i="29"/>
  <c r="W19" i="29"/>
  <c r="AC19" i="29"/>
  <c r="AF19" i="29"/>
  <c r="AI19" i="29"/>
  <c r="E20" i="29"/>
  <c r="H20" i="29"/>
  <c r="W20" i="29"/>
  <c r="AC20" i="29"/>
  <c r="AF20" i="29"/>
  <c r="AI20" i="29"/>
  <c r="E21" i="29"/>
  <c r="H21" i="29"/>
  <c r="W21" i="29"/>
  <c r="AC21" i="29"/>
  <c r="AF21" i="29"/>
  <c r="AI21" i="29"/>
  <c r="E22" i="29"/>
  <c r="H22" i="29"/>
  <c r="W22" i="29"/>
  <c r="AC22" i="29"/>
  <c r="AF22" i="29"/>
  <c r="AI22" i="29"/>
  <c r="E23" i="29"/>
  <c r="H23" i="29"/>
  <c r="W23" i="29"/>
  <c r="AC23" i="29"/>
  <c r="AF23" i="29"/>
  <c r="AI23" i="29"/>
  <c r="E24" i="29"/>
  <c r="H24" i="29"/>
  <c r="W24" i="29"/>
  <c r="AF24" i="29"/>
  <c r="AI24" i="29"/>
  <c r="E25" i="29"/>
  <c r="H25" i="29"/>
  <c r="W25" i="29"/>
  <c r="AF25" i="29"/>
  <c r="AI25" i="29"/>
  <c r="E26" i="29"/>
  <c r="H26" i="29"/>
  <c r="W26" i="29"/>
  <c r="AF26" i="29"/>
  <c r="AI26" i="29"/>
  <c r="E27" i="29"/>
  <c r="H27" i="29"/>
  <c r="W27" i="29"/>
  <c r="AF27" i="29"/>
  <c r="E28" i="29"/>
  <c r="H28" i="29"/>
  <c r="W28" i="29"/>
  <c r="AF28" i="29"/>
  <c r="E29" i="29"/>
  <c r="H29" i="29"/>
  <c r="W29" i="29"/>
  <c r="AF29" i="29"/>
  <c r="E30" i="29"/>
  <c r="F30" i="29"/>
  <c r="G30" i="29"/>
  <c r="W30" i="29"/>
  <c r="AD30" i="29"/>
  <c r="AE30" i="29"/>
  <c r="E31" i="29"/>
  <c r="H31" i="29"/>
  <c r="W31" i="29"/>
  <c r="AD31" i="29"/>
  <c r="AE31" i="29"/>
  <c r="E32" i="29"/>
  <c r="H32" i="29"/>
  <c r="W32" i="29"/>
  <c r="AF32" i="29"/>
  <c r="E33" i="29"/>
  <c r="H33" i="29"/>
  <c r="W33" i="29"/>
  <c r="AF33" i="29"/>
  <c r="E34" i="29"/>
  <c r="H34" i="29"/>
  <c r="W34" i="29"/>
  <c r="AF34" i="29"/>
  <c r="E35" i="29"/>
  <c r="H35" i="29"/>
  <c r="W35" i="29"/>
  <c r="AF35" i="29"/>
  <c r="E36" i="29"/>
  <c r="H36" i="29"/>
  <c r="W36" i="29"/>
  <c r="E37" i="29"/>
  <c r="H37" i="29"/>
  <c r="W37" i="29"/>
  <c r="E38" i="29"/>
  <c r="H38" i="29"/>
  <c r="W38" i="29"/>
  <c r="E39" i="29"/>
  <c r="H39" i="29"/>
  <c r="W39" i="29"/>
  <c r="E40" i="29"/>
  <c r="F40" i="29"/>
  <c r="G40" i="29"/>
  <c r="W40" i="29"/>
  <c r="E41" i="29"/>
  <c r="H41" i="29"/>
  <c r="W41" i="29"/>
  <c r="E42" i="29"/>
  <c r="H42" i="29"/>
  <c r="W42" i="29"/>
  <c r="C43" i="29"/>
  <c r="D43" i="29"/>
  <c r="H43" i="29"/>
  <c r="W43" i="29"/>
  <c r="E44" i="29"/>
  <c r="H44" i="29"/>
  <c r="E45" i="29"/>
  <c r="H45" i="29"/>
  <c r="E46" i="29"/>
  <c r="H46" i="29"/>
  <c r="E47" i="29"/>
  <c r="H47" i="29"/>
  <c r="E48" i="29"/>
  <c r="H48" i="29"/>
  <c r="E49" i="29"/>
  <c r="H49" i="29"/>
  <c r="E50" i="29"/>
  <c r="H50" i="29"/>
  <c r="E51" i="29"/>
  <c r="H51" i="29"/>
  <c r="E52" i="29"/>
  <c r="H52" i="29"/>
  <c r="E53" i="29"/>
  <c r="H53" i="29"/>
  <c r="E54" i="29"/>
  <c r="H54" i="29"/>
  <c r="E55" i="29"/>
  <c r="H55" i="29"/>
  <c r="E56" i="29"/>
  <c r="H56" i="29"/>
  <c r="E57" i="29"/>
  <c r="H57" i="29"/>
  <c r="E58" i="29"/>
  <c r="H58" i="29"/>
  <c r="E59" i="29"/>
  <c r="E60" i="29"/>
  <c r="E61" i="29"/>
  <c r="E62" i="29"/>
  <c r="E63" i="29"/>
  <c r="E64" i="29"/>
  <c r="E65" i="29"/>
  <c r="E66" i="29"/>
  <c r="E67" i="29"/>
  <c r="E68" i="29"/>
  <c r="E6" i="28"/>
  <c r="H6" i="28"/>
  <c r="K6" i="28"/>
  <c r="N6" i="28"/>
  <c r="Q6" i="28"/>
  <c r="T6" i="28"/>
  <c r="W6" i="28"/>
  <c r="Z6" i="28"/>
  <c r="AC6" i="28"/>
  <c r="AF6" i="28"/>
  <c r="AI6" i="28"/>
  <c r="AL6" i="28"/>
  <c r="AO6" i="28"/>
  <c r="AR6" i="28"/>
  <c r="AU6" i="28"/>
  <c r="AX6" i="28"/>
  <c r="BA6" i="28"/>
  <c r="BD6" i="28"/>
  <c r="BG6" i="28"/>
  <c r="BJ6" i="28"/>
  <c r="BM6" i="28"/>
  <c r="E7" i="28"/>
  <c r="H7" i="28"/>
  <c r="K7" i="28"/>
  <c r="N7" i="28"/>
  <c r="Q7" i="28"/>
  <c r="T7" i="28"/>
  <c r="W7" i="28"/>
  <c r="AF7" i="28"/>
  <c r="AI7" i="28"/>
  <c r="AR7" i="28"/>
  <c r="AU7" i="28"/>
  <c r="BA7" i="28"/>
  <c r="BD7" i="28"/>
  <c r="BG7" i="28"/>
  <c r="BM7" i="28"/>
  <c r="E8" i="28"/>
  <c r="H8" i="28"/>
  <c r="K8" i="28"/>
  <c r="N8" i="28"/>
  <c r="Q8" i="28"/>
  <c r="T8" i="28"/>
  <c r="AF8" i="28"/>
  <c r="AR8" i="28"/>
  <c r="AU8" i="28"/>
  <c r="BA8" i="28"/>
  <c r="BD8" i="28"/>
  <c r="BG8" i="28"/>
  <c r="E9" i="28"/>
  <c r="H9" i="28"/>
  <c r="K9" i="28"/>
  <c r="N9" i="28"/>
  <c r="Q9" i="28"/>
  <c r="T9" i="28"/>
  <c r="AF9" i="28"/>
  <c r="AU9" i="28"/>
  <c r="BA9" i="28"/>
  <c r="BD9" i="28"/>
  <c r="BG9" i="28"/>
  <c r="E10" i="28"/>
  <c r="H10" i="28"/>
  <c r="K10" i="28"/>
  <c r="N10" i="28"/>
  <c r="Q10" i="28"/>
  <c r="T10" i="28"/>
  <c r="AU10" i="28"/>
  <c r="BG10" i="28"/>
  <c r="E11" i="28"/>
  <c r="H11" i="28"/>
  <c r="K11" i="28"/>
  <c r="N11" i="28"/>
  <c r="Q11" i="28"/>
  <c r="T11" i="28"/>
  <c r="AU11" i="28"/>
  <c r="BG11" i="28"/>
  <c r="E12" i="28"/>
  <c r="K12" i="28"/>
  <c r="N12" i="28"/>
  <c r="Q12" i="28"/>
  <c r="T12" i="28"/>
  <c r="AU12" i="28"/>
  <c r="BG12" i="28"/>
  <c r="E13" i="28"/>
  <c r="K13" i="28"/>
  <c r="N13" i="28"/>
  <c r="Q13" i="28"/>
  <c r="AU13" i="28"/>
  <c r="E14" i="28"/>
  <c r="K14" i="28"/>
  <c r="N14" i="28"/>
  <c r="Q14" i="28"/>
  <c r="AU14" i="28"/>
  <c r="E15" i="28"/>
  <c r="K15" i="28"/>
  <c r="N15" i="28"/>
  <c r="Q15" i="28"/>
  <c r="AU15" i="28"/>
  <c r="E16" i="28"/>
  <c r="K16" i="28"/>
  <c r="N16" i="28"/>
  <c r="Q16" i="28"/>
  <c r="AU16" i="28"/>
  <c r="E17" i="28"/>
  <c r="K17" i="28"/>
  <c r="N17" i="28"/>
  <c r="Q17" i="28"/>
  <c r="AU17" i="28"/>
  <c r="E18" i="28"/>
  <c r="K18" i="28"/>
  <c r="N18" i="28"/>
  <c r="Q18" i="28"/>
  <c r="AU18" i="28"/>
  <c r="E19" i="28"/>
  <c r="K19" i="28"/>
  <c r="N19" i="28"/>
  <c r="Q19" i="28"/>
  <c r="AU19" i="28"/>
  <c r="E20" i="28"/>
  <c r="K20" i="28"/>
  <c r="N20" i="28"/>
  <c r="Q20" i="28"/>
  <c r="AU20" i="28"/>
  <c r="E21" i="28"/>
  <c r="K21" i="28"/>
  <c r="N21" i="28"/>
  <c r="Q21" i="28"/>
  <c r="AU21" i="28"/>
  <c r="E22" i="28"/>
  <c r="K22" i="28"/>
  <c r="N22" i="28"/>
  <c r="Q22" i="28"/>
  <c r="AU22" i="28"/>
  <c r="E23" i="28"/>
  <c r="K23" i="28"/>
  <c r="N23" i="28"/>
  <c r="Q23" i="28"/>
  <c r="AU23" i="28"/>
  <c r="E24" i="28"/>
  <c r="K24" i="28"/>
  <c r="N24" i="28"/>
  <c r="Q24" i="28"/>
  <c r="AU24" i="28"/>
  <c r="E25" i="28"/>
  <c r="K25" i="28"/>
  <c r="N25" i="28"/>
  <c r="Q25" i="28"/>
  <c r="AU25" i="28"/>
  <c r="E26" i="28"/>
  <c r="K26" i="28"/>
  <c r="N26" i="28"/>
  <c r="Q26" i="28"/>
  <c r="AU26" i="28"/>
  <c r="E27" i="28"/>
  <c r="K27" i="28"/>
  <c r="N27" i="28"/>
  <c r="Q27" i="28"/>
  <c r="AU27" i="28"/>
  <c r="E28" i="28"/>
  <c r="K28" i="28"/>
  <c r="N28" i="28"/>
  <c r="AU28" i="28"/>
  <c r="E29" i="28"/>
  <c r="K29" i="28"/>
  <c r="N29" i="28"/>
  <c r="AU29" i="28"/>
  <c r="E30" i="28"/>
  <c r="K30" i="28"/>
  <c r="N30" i="28"/>
  <c r="AU30" i="28"/>
  <c r="E31" i="28"/>
  <c r="K31" i="28"/>
  <c r="N31" i="28"/>
  <c r="AU31" i="28"/>
  <c r="E32" i="28"/>
  <c r="K32" i="28"/>
  <c r="N32" i="28"/>
  <c r="AU32" i="28"/>
  <c r="E33" i="28"/>
  <c r="K33" i="28"/>
  <c r="N33" i="28"/>
  <c r="AU33" i="28"/>
  <c r="E34" i="28"/>
  <c r="K34" i="28"/>
  <c r="N34" i="28"/>
  <c r="AU34" i="28"/>
  <c r="E35" i="28"/>
  <c r="K35" i="28"/>
  <c r="N35" i="28"/>
  <c r="AU35" i="28"/>
  <c r="E36" i="28"/>
  <c r="I36" i="28"/>
  <c r="J36" i="28"/>
  <c r="N36" i="28"/>
  <c r="AU36" i="28"/>
  <c r="E37" i="28"/>
  <c r="K37" i="28"/>
  <c r="N37" i="28"/>
  <c r="AU37" i="28"/>
  <c r="E38" i="28"/>
  <c r="K38" i="28"/>
  <c r="N38" i="28"/>
  <c r="AU38" i="28"/>
  <c r="E39" i="28"/>
  <c r="K39" i="28"/>
  <c r="N39" i="28"/>
  <c r="AU39" i="28"/>
  <c r="E40" i="28"/>
  <c r="K40" i="28"/>
  <c r="N40" i="28"/>
  <c r="AU40" i="28"/>
  <c r="E41" i="28"/>
  <c r="K41" i="28"/>
  <c r="N41" i="28"/>
  <c r="AU41" i="28"/>
  <c r="E42" i="28"/>
  <c r="K42" i="28"/>
  <c r="N42" i="28"/>
  <c r="AU42" i="28"/>
  <c r="E43" i="28"/>
  <c r="K43" i="28"/>
  <c r="AU43" i="28"/>
  <c r="E44" i="28"/>
  <c r="K44" i="28"/>
  <c r="AU44" i="28"/>
  <c r="E45" i="28"/>
  <c r="K45" i="28"/>
  <c r="AU45" i="28"/>
  <c r="E46" i="28"/>
  <c r="K46" i="28"/>
  <c r="AU46" i="28"/>
  <c r="E47" i="28"/>
  <c r="K47" i="28"/>
  <c r="AU47" i="28"/>
  <c r="E48" i="28"/>
  <c r="K48" i="28"/>
  <c r="AU48" i="28"/>
  <c r="E49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E6" i="27"/>
  <c r="H6" i="27"/>
  <c r="K6" i="27"/>
  <c r="N6" i="27"/>
  <c r="Q6" i="27"/>
  <c r="T6" i="27"/>
  <c r="W6" i="27"/>
  <c r="Z6" i="27"/>
  <c r="AC6" i="27"/>
  <c r="AF6" i="27"/>
  <c r="AI6" i="27"/>
  <c r="AL6" i="27"/>
  <c r="AO6" i="27"/>
  <c r="AR6" i="27"/>
  <c r="AU6" i="27"/>
  <c r="AX6" i="27"/>
  <c r="BA6" i="27"/>
  <c r="BD6" i="27"/>
  <c r="BG6" i="27"/>
  <c r="BJ6" i="27"/>
  <c r="BM6" i="27"/>
  <c r="BP6" i="27"/>
  <c r="BS6" i="27"/>
  <c r="BV6" i="27"/>
  <c r="BY6" i="27"/>
  <c r="CB6" i="27"/>
  <c r="CE6" i="27"/>
  <c r="CH6" i="27"/>
  <c r="E7" i="27"/>
  <c r="H7" i="27"/>
  <c r="K7" i="27"/>
  <c r="N7" i="27"/>
  <c r="Q7" i="27"/>
  <c r="T7" i="27"/>
  <c r="W7" i="27"/>
  <c r="Z7" i="27"/>
  <c r="AC7" i="27"/>
  <c r="AF7" i="27"/>
  <c r="AI7" i="27"/>
  <c r="AO7" i="27"/>
  <c r="AR7" i="27"/>
  <c r="AX7" i="27"/>
  <c r="BD7" i="27"/>
  <c r="BJ7" i="27"/>
  <c r="BP7" i="27"/>
  <c r="BS7" i="27"/>
  <c r="BV7" i="27"/>
  <c r="BY7" i="27"/>
  <c r="CB7" i="27"/>
  <c r="E8" i="27"/>
  <c r="H8" i="27"/>
  <c r="K8" i="27"/>
  <c r="N8" i="27"/>
  <c r="Q8" i="27"/>
  <c r="T8" i="27"/>
  <c r="W8" i="27"/>
  <c r="Z8" i="27"/>
  <c r="AC8" i="27"/>
  <c r="AF8" i="27"/>
  <c r="AI8" i="27"/>
  <c r="AO8" i="27"/>
  <c r="AR8" i="27"/>
  <c r="AX8" i="27"/>
  <c r="BD8" i="27"/>
  <c r="E9" i="27"/>
  <c r="K9" i="27"/>
  <c r="N9" i="27"/>
  <c r="Q9" i="27"/>
  <c r="T9" i="27"/>
  <c r="W9" i="27"/>
  <c r="Z9" i="27"/>
  <c r="AC9" i="27"/>
  <c r="AF9" i="27"/>
  <c r="AI9" i="27"/>
  <c r="AO9" i="27"/>
  <c r="AR9" i="27"/>
  <c r="AX9" i="27"/>
  <c r="E10" i="27"/>
  <c r="K10" i="27"/>
  <c r="Q10" i="27"/>
  <c r="T10" i="27"/>
  <c r="W10" i="27"/>
  <c r="AC10" i="27"/>
  <c r="AF10" i="27"/>
  <c r="AI10" i="27"/>
  <c r="AR10" i="27"/>
  <c r="AX10" i="27"/>
  <c r="E11" i="27"/>
  <c r="K11" i="27"/>
  <c r="Q11" i="27"/>
  <c r="T11" i="27"/>
  <c r="AC11" i="27"/>
  <c r="AF11" i="27"/>
  <c r="AI11" i="27"/>
  <c r="AR11" i="27"/>
  <c r="AX11" i="27"/>
  <c r="K12" i="27"/>
  <c r="Q12" i="27"/>
  <c r="T12" i="27"/>
  <c r="AC12" i="27"/>
  <c r="AF12" i="27"/>
  <c r="AI12" i="27"/>
  <c r="AX12" i="27"/>
  <c r="K13" i="27"/>
  <c r="Q13" i="27"/>
  <c r="T13" i="27"/>
  <c r="AC13" i="27"/>
  <c r="AF13" i="27"/>
  <c r="AI13" i="27"/>
  <c r="AX13" i="27"/>
  <c r="K14" i="27"/>
  <c r="Q14" i="27"/>
  <c r="T14" i="27"/>
  <c r="AC14" i="27"/>
  <c r="AF14" i="27"/>
  <c r="AI14" i="27"/>
  <c r="AX14" i="27"/>
  <c r="K15" i="27"/>
  <c r="Q15" i="27"/>
  <c r="T15" i="27"/>
  <c r="AC15" i="27"/>
  <c r="AF15" i="27"/>
  <c r="AX15" i="27"/>
  <c r="K16" i="27"/>
  <c r="Q16" i="27"/>
  <c r="AF16" i="27"/>
  <c r="AX16" i="27"/>
  <c r="K17" i="27"/>
  <c r="Q17" i="27"/>
  <c r="AF17" i="27"/>
  <c r="AX17" i="27"/>
  <c r="K18" i="27"/>
  <c r="Q18" i="27"/>
  <c r="AF18" i="27"/>
  <c r="AX18" i="27"/>
  <c r="K19" i="27"/>
  <c r="Q19" i="27"/>
  <c r="AF19" i="27"/>
  <c r="K20" i="27"/>
  <c r="Q20" i="27"/>
  <c r="AF20" i="27"/>
  <c r="K21" i="27"/>
  <c r="Q21" i="27"/>
  <c r="K22" i="27"/>
  <c r="Q22" i="27"/>
  <c r="K23" i="27"/>
  <c r="E6" i="26"/>
  <c r="H6" i="26"/>
  <c r="K6" i="26"/>
  <c r="N6" i="26"/>
  <c r="Q6" i="26"/>
  <c r="T6" i="26"/>
  <c r="W6" i="26"/>
  <c r="Z6" i="26"/>
  <c r="AC6" i="26"/>
  <c r="AF6" i="26"/>
  <c r="AI6" i="26"/>
  <c r="AL6" i="26"/>
  <c r="AO6" i="26"/>
  <c r="AR6" i="26"/>
  <c r="AU6" i="26"/>
  <c r="AX6" i="26"/>
  <c r="BA6" i="26"/>
  <c r="BD6" i="26"/>
  <c r="BG6" i="26"/>
  <c r="BJ6" i="26"/>
  <c r="BM6" i="26"/>
  <c r="BP6" i="26"/>
  <c r="BS6" i="26"/>
  <c r="E7" i="26"/>
  <c r="H7" i="26"/>
  <c r="K7" i="26"/>
  <c r="N7" i="26"/>
  <c r="Q7" i="26"/>
  <c r="T7" i="26"/>
  <c r="W7" i="26"/>
  <c r="AC7" i="26"/>
  <c r="AF7" i="26"/>
  <c r="AI7" i="26"/>
  <c r="AR7" i="26"/>
  <c r="BD7" i="26"/>
  <c r="BG7" i="26"/>
  <c r="BS7" i="26"/>
  <c r="E8" i="26"/>
  <c r="H8" i="26"/>
  <c r="K8" i="26"/>
  <c r="N8" i="26"/>
  <c r="W8" i="26"/>
  <c r="AC8" i="26"/>
  <c r="AF8" i="26"/>
  <c r="AI8" i="26"/>
  <c r="AR8" i="26"/>
  <c r="BD8" i="26"/>
  <c r="BG8" i="26"/>
  <c r="E9" i="26"/>
  <c r="H9" i="26"/>
  <c r="K9" i="26"/>
  <c r="N9" i="26"/>
  <c r="AC9" i="26"/>
  <c r="AF9" i="26"/>
  <c r="BD9" i="26"/>
  <c r="E10" i="26"/>
  <c r="H10" i="26"/>
  <c r="K10" i="26"/>
  <c r="N10" i="26"/>
  <c r="AC10" i="26"/>
  <c r="AF10" i="26"/>
  <c r="E11" i="26"/>
  <c r="N11" i="26"/>
  <c r="AF11" i="26"/>
  <c r="N12" i="26"/>
  <c r="N13" i="26"/>
  <c r="N14" i="26"/>
  <c r="N15" i="26"/>
  <c r="N16" i="26"/>
  <c r="N17" i="26"/>
  <c r="N18" i="26"/>
  <c r="N19" i="26"/>
  <c r="N20" i="26"/>
  <c r="E6" i="25"/>
  <c r="H6" i="25"/>
  <c r="K6" i="25"/>
  <c r="N6" i="25"/>
  <c r="Q6" i="25"/>
  <c r="T6" i="25"/>
  <c r="W6" i="25"/>
  <c r="Z6" i="25"/>
  <c r="AC6" i="25"/>
  <c r="AF6" i="25"/>
  <c r="AI6" i="25"/>
  <c r="AL6" i="25"/>
  <c r="AO6" i="25"/>
  <c r="AR6" i="25"/>
  <c r="AU6" i="25"/>
  <c r="AX6" i="25"/>
  <c r="BA6" i="25"/>
  <c r="BD6" i="25"/>
  <c r="BG6" i="25"/>
  <c r="BJ6" i="25"/>
  <c r="E7" i="25"/>
  <c r="H7" i="25"/>
  <c r="K7" i="25"/>
  <c r="N7" i="25"/>
  <c r="Q7" i="25"/>
  <c r="T7" i="25"/>
  <c r="W7" i="25"/>
  <c r="Z7" i="25"/>
  <c r="AC7" i="25"/>
  <c r="AF7" i="25"/>
  <c r="AI7" i="25"/>
  <c r="AL7" i="25"/>
  <c r="AO7" i="25"/>
  <c r="AR7" i="25"/>
  <c r="AX7" i="25"/>
  <c r="BA7" i="25"/>
  <c r="BJ7" i="25"/>
  <c r="E8" i="25"/>
  <c r="H8" i="25"/>
  <c r="K8" i="25"/>
  <c r="N8" i="25"/>
  <c r="Q8" i="25"/>
  <c r="W8" i="25"/>
  <c r="Z8" i="25"/>
  <c r="AC8" i="25"/>
  <c r="AF8" i="25"/>
  <c r="AI8" i="25"/>
  <c r="AL8" i="25"/>
  <c r="AO8" i="25"/>
  <c r="AR8" i="25"/>
  <c r="AX8" i="25"/>
  <c r="E9" i="25"/>
  <c r="H9" i="25"/>
  <c r="K9" i="25"/>
  <c r="N9" i="25"/>
  <c r="Q9" i="25"/>
  <c r="W9" i="25"/>
  <c r="Z9" i="25"/>
  <c r="AC9" i="25"/>
  <c r="AF9" i="25"/>
  <c r="AI9" i="25"/>
  <c r="AL9" i="25"/>
  <c r="AO9" i="25"/>
  <c r="AR9" i="25"/>
  <c r="AX9" i="25"/>
  <c r="E10" i="25"/>
  <c r="H10" i="25"/>
  <c r="K10" i="25"/>
  <c r="N10" i="25"/>
  <c r="W10" i="25"/>
  <c r="Z10" i="25"/>
  <c r="AC10" i="25"/>
  <c r="AF10" i="25"/>
  <c r="AI10" i="25"/>
  <c r="AL10" i="25"/>
  <c r="AR10" i="25"/>
  <c r="AX10" i="25"/>
  <c r="E11" i="25"/>
  <c r="H11" i="25"/>
  <c r="K11" i="25"/>
  <c r="N11" i="25"/>
  <c r="W11" i="25"/>
  <c r="Z11" i="25"/>
  <c r="AC11" i="25"/>
  <c r="AF11" i="25"/>
  <c r="AI11" i="25"/>
  <c r="AL11" i="25"/>
  <c r="AR11" i="25"/>
  <c r="AX11" i="25"/>
  <c r="E12" i="25"/>
  <c r="H12" i="25"/>
  <c r="K12" i="25"/>
  <c r="N12" i="25"/>
  <c r="W12" i="25"/>
  <c r="Z12" i="25"/>
  <c r="AC12" i="25"/>
  <c r="AF12" i="25"/>
  <c r="AI12" i="25"/>
  <c r="AL12" i="25"/>
  <c r="AR12" i="25"/>
  <c r="E13" i="25"/>
  <c r="H13" i="25"/>
  <c r="K13" i="25"/>
  <c r="N13" i="25"/>
  <c r="W13" i="25"/>
  <c r="Z13" i="25"/>
  <c r="AC13" i="25"/>
  <c r="AF13" i="25"/>
  <c r="AR13" i="25"/>
  <c r="E14" i="25"/>
  <c r="H14" i="25"/>
  <c r="K14" i="25"/>
  <c r="N14" i="25"/>
  <c r="W14" i="25"/>
  <c r="Z14" i="25"/>
  <c r="AC14" i="25"/>
  <c r="AF14" i="25"/>
  <c r="AR14" i="25"/>
  <c r="H15" i="25"/>
  <c r="K15" i="25"/>
  <c r="N15" i="25"/>
  <c r="W15" i="25"/>
  <c r="Z15" i="25"/>
  <c r="AC15" i="25"/>
  <c r="AF15" i="25"/>
  <c r="AR15" i="25"/>
  <c r="H16" i="25"/>
  <c r="K16" i="25"/>
  <c r="N16" i="25"/>
  <c r="W16" i="25"/>
  <c r="Z16" i="25"/>
  <c r="AC16" i="25"/>
  <c r="AF16" i="25"/>
  <c r="AR16" i="25"/>
  <c r="H17" i="25"/>
  <c r="K17" i="25"/>
  <c r="N17" i="25"/>
  <c r="W17" i="25"/>
  <c r="AC17" i="25"/>
  <c r="AF17" i="25"/>
  <c r="AR17" i="25"/>
  <c r="H18" i="25"/>
  <c r="K18" i="25"/>
  <c r="N18" i="25"/>
  <c r="W18" i="25"/>
  <c r="AC18" i="25"/>
  <c r="AF18" i="25"/>
  <c r="AR18" i="25"/>
  <c r="H19" i="25"/>
  <c r="K19" i="25"/>
  <c r="N19" i="25"/>
  <c r="W19" i="25"/>
  <c r="AC19" i="25"/>
  <c r="AF19" i="25"/>
  <c r="AR19" i="25"/>
  <c r="H20" i="25"/>
  <c r="K20" i="25"/>
  <c r="W20" i="25"/>
  <c r="AC20" i="25"/>
  <c r="AF20" i="25"/>
  <c r="AR20" i="25"/>
  <c r="H21" i="25"/>
  <c r="K21" i="25"/>
  <c r="W21" i="25"/>
  <c r="AC21" i="25"/>
  <c r="AF21" i="25"/>
  <c r="AR21" i="25"/>
  <c r="H22" i="25"/>
  <c r="K22" i="25"/>
  <c r="W22" i="25"/>
  <c r="AC22" i="25"/>
  <c r="AR22" i="25"/>
  <c r="H23" i="25"/>
  <c r="K23" i="25"/>
  <c r="W23" i="25"/>
  <c r="AC23" i="25"/>
  <c r="AR23" i="25"/>
  <c r="H24" i="25"/>
  <c r="K24" i="25"/>
  <c r="W24" i="25"/>
  <c r="AC24" i="25"/>
  <c r="AR24" i="25"/>
  <c r="H25" i="25"/>
  <c r="K25" i="25"/>
  <c r="W25" i="25"/>
  <c r="AC25" i="25"/>
  <c r="H26" i="25"/>
  <c r="K26" i="25"/>
  <c r="W26" i="25"/>
  <c r="AC26" i="25"/>
  <c r="H27" i="25"/>
  <c r="K27" i="25"/>
  <c r="W27" i="25"/>
  <c r="AC27" i="25"/>
  <c r="H28" i="25"/>
  <c r="K28" i="25"/>
  <c r="W28" i="25"/>
  <c r="AC28" i="25"/>
  <c r="H29" i="25"/>
  <c r="K29" i="25"/>
  <c r="W29" i="25"/>
  <c r="AC29" i="25"/>
  <c r="H30" i="25"/>
  <c r="K30" i="25"/>
  <c r="W30" i="25"/>
  <c r="AC30" i="25"/>
  <c r="H31" i="25"/>
  <c r="W31" i="25"/>
  <c r="AC31" i="25"/>
  <c r="H32" i="25"/>
  <c r="AC32" i="25"/>
  <c r="H33" i="25"/>
  <c r="AC33" i="25"/>
  <c r="H34" i="25"/>
  <c r="AC34" i="25"/>
  <c r="H35" i="25"/>
  <c r="AC35" i="25"/>
  <c r="H36" i="25"/>
  <c r="AC36" i="25"/>
  <c r="H37" i="25"/>
  <c r="AC37" i="25"/>
  <c r="H38" i="25"/>
  <c r="AC38" i="25"/>
  <c r="H39" i="25"/>
  <c r="AC39" i="25"/>
  <c r="H40" i="25"/>
  <c r="AC40" i="25"/>
  <c r="H41" i="25"/>
  <c r="AC41" i="25"/>
  <c r="H42" i="25"/>
  <c r="AC42" i="25"/>
  <c r="H43" i="25"/>
  <c r="AC43" i="25"/>
  <c r="H44" i="25"/>
  <c r="AC44" i="25"/>
  <c r="H45" i="25"/>
  <c r="AC45" i="25"/>
  <c r="H46" i="25"/>
  <c r="AC46" i="25"/>
  <c r="AC47" i="25"/>
  <c r="AC48" i="25"/>
  <c r="AC49" i="25"/>
  <c r="AC50" i="25"/>
  <c r="AC51" i="25"/>
  <c r="AC52" i="25"/>
  <c r="AC53" i="25"/>
  <c r="AC54" i="25"/>
  <c r="AC55" i="25"/>
  <c r="AC56" i="25"/>
  <c r="AC57" i="25"/>
  <c r="E6" i="24"/>
  <c r="H6" i="24"/>
  <c r="K6" i="24"/>
  <c r="N6" i="24"/>
  <c r="Q6" i="24"/>
  <c r="T6" i="24"/>
  <c r="W6" i="24"/>
  <c r="Z6" i="24"/>
  <c r="AC6" i="24"/>
  <c r="AF6" i="24"/>
  <c r="AI6" i="24"/>
  <c r="AL6" i="24"/>
  <c r="AO6" i="24"/>
  <c r="AR6" i="24"/>
  <c r="AU6" i="24"/>
  <c r="AX6" i="24"/>
  <c r="BA6" i="24"/>
  <c r="BD6" i="24"/>
  <c r="BG6" i="24"/>
  <c r="BJ6" i="24"/>
  <c r="BM6" i="24"/>
  <c r="BP6" i="24"/>
  <c r="BS6" i="24"/>
  <c r="BB7" i="24"/>
  <c r="BC7" i="24"/>
  <c r="E7" i="24"/>
  <c r="H7" i="24"/>
  <c r="K7" i="24"/>
  <c r="N7" i="24"/>
  <c r="Q7" i="24"/>
  <c r="T7" i="24"/>
  <c r="W7" i="24"/>
  <c r="Z7" i="24"/>
  <c r="AC7" i="24"/>
  <c r="AF7" i="24"/>
  <c r="AI7" i="24"/>
  <c r="AL7" i="24"/>
  <c r="AR7" i="24"/>
  <c r="AX7" i="24"/>
  <c r="BA7" i="24"/>
  <c r="BS7" i="24"/>
  <c r="E8" i="24"/>
  <c r="H8" i="24"/>
  <c r="K8" i="24"/>
  <c r="N8" i="24"/>
  <c r="T8" i="24"/>
  <c r="W8" i="24"/>
  <c r="Z8" i="24"/>
  <c r="AC8" i="24"/>
  <c r="AF8" i="24"/>
  <c r="AI8" i="24"/>
  <c r="AR8" i="24"/>
  <c r="AX8" i="24"/>
  <c r="BS8" i="24"/>
  <c r="E9" i="24"/>
  <c r="H9" i="24"/>
  <c r="K9" i="24"/>
  <c r="T9" i="24"/>
  <c r="W9" i="24"/>
  <c r="Z9" i="24"/>
  <c r="AC9" i="24"/>
  <c r="AF9" i="24"/>
  <c r="AI9" i="24"/>
  <c r="AR9" i="24"/>
  <c r="AX9" i="24"/>
  <c r="E10" i="24"/>
  <c r="H10" i="24"/>
  <c r="K10" i="24"/>
  <c r="T10" i="24"/>
  <c r="W10" i="24"/>
  <c r="Z10" i="24"/>
  <c r="AF10" i="24"/>
  <c r="AI10" i="24"/>
  <c r="AR10" i="24"/>
  <c r="AX10" i="24"/>
  <c r="E11" i="24"/>
  <c r="H11" i="24"/>
  <c r="K11" i="24"/>
  <c r="T11" i="24"/>
  <c r="W11" i="24"/>
  <c r="Z11" i="24"/>
  <c r="AF11" i="24"/>
  <c r="AI11" i="24"/>
  <c r="AR11" i="24"/>
  <c r="AX11" i="24"/>
  <c r="E12" i="24"/>
  <c r="H12" i="24"/>
  <c r="K12" i="24"/>
  <c r="T12" i="24"/>
  <c r="W12" i="24"/>
  <c r="Z12" i="24"/>
  <c r="AI12" i="24"/>
  <c r="AX12" i="24"/>
  <c r="E13" i="24"/>
  <c r="H13" i="24"/>
  <c r="K13" i="24"/>
  <c r="T13" i="24"/>
  <c r="W13" i="24"/>
  <c r="Z13" i="24"/>
  <c r="AI13" i="24"/>
  <c r="AX13" i="24"/>
  <c r="E14" i="24"/>
  <c r="H14" i="24"/>
  <c r="K14" i="24"/>
  <c r="T14" i="24"/>
  <c r="W14" i="24"/>
  <c r="Z14" i="24"/>
  <c r="AI14" i="24"/>
  <c r="AX14" i="24"/>
  <c r="E15" i="24"/>
  <c r="H15" i="24"/>
  <c r="K15" i="24"/>
  <c r="T15" i="24"/>
  <c r="W15" i="24"/>
  <c r="AI15" i="24"/>
  <c r="AX15" i="24"/>
  <c r="E16" i="24"/>
  <c r="H16" i="24"/>
  <c r="K16" i="24"/>
  <c r="T16" i="24"/>
  <c r="W16" i="24"/>
  <c r="AI16" i="24"/>
  <c r="E17" i="24"/>
  <c r="H17" i="24"/>
  <c r="K17" i="24"/>
  <c r="T17" i="24"/>
  <c r="W17" i="24"/>
  <c r="AI17" i="24"/>
  <c r="E18" i="24"/>
  <c r="H18" i="24"/>
  <c r="K18" i="24"/>
  <c r="T18" i="24"/>
  <c r="W18" i="24"/>
  <c r="AI18" i="24"/>
  <c r="E19" i="24"/>
  <c r="H19" i="24"/>
  <c r="K19" i="24"/>
  <c r="T19" i="24"/>
  <c r="W19" i="24"/>
  <c r="E20" i="24"/>
  <c r="H20" i="24"/>
  <c r="K20" i="24"/>
  <c r="T20" i="24"/>
  <c r="W20" i="24"/>
  <c r="C21" i="24"/>
  <c r="D21" i="24"/>
  <c r="H21" i="24"/>
  <c r="T21" i="24"/>
  <c r="W21" i="24"/>
  <c r="E22" i="24"/>
  <c r="H22" i="24"/>
  <c r="T22" i="24"/>
  <c r="W22" i="24"/>
  <c r="E23" i="24"/>
  <c r="H23" i="24"/>
  <c r="T23" i="24"/>
  <c r="W23" i="24"/>
  <c r="E24" i="24"/>
  <c r="H24" i="24"/>
  <c r="W24" i="24"/>
  <c r="E25" i="24"/>
  <c r="H25" i="24"/>
  <c r="W25" i="24"/>
  <c r="E26" i="24"/>
  <c r="H26" i="24"/>
  <c r="W26" i="24"/>
  <c r="E27" i="24"/>
  <c r="H27" i="24"/>
  <c r="W27" i="24"/>
  <c r="E28" i="24"/>
  <c r="H28" i="24"/>
  <c r="W28" i="24"/>
  <c r="E29" i="24"/>
  <c r="H29" i="24"/>
  <c r="W29" i="24"/>
  <c r="E30" i="24"/>
  <c r="H30" i="24"/>
  <c r="W30" i="24"/>
  <c r="E31" i="24"/>
  <c r="H31" i="24"/>
  <c r="W31" i="24"/>
  <c r="E32" i="24"/>
  <c r="H32" i="24"/>
  <c r="W32" i="24"/>
  <c r="E33" i="24"/>
  <c r="H33" i="24"/>
  <c r="W33" i="24"/>
  <c r="E34" i="24"/>
  <c r="H34" i="24"/>
  <c r="W34" i="24"/>
  <c r="E35" i="24"/>
  <c r="H35" i="24"/>
  <c r="W35" i="24"/>
  <c r="E36" i="24"/>
  <c r="H36" i="24"/>
  <c r="E37" i="24"/>
  <c r="H37" i="24"/>
  <c r="E38" i="24"/>
  <c r="H38" i="24"/>
  <c r="E39" i="24"/>
  <c r="H39" i="24"/>
  <c r="E40" i="24"/>
  <c r="H40" i="24"/>
  <c r="E41" i="24"/>
  <c r="H41" i="24"/>
  <c r="E42" i="24"/>
  <c r="H42" i="24"/>
  <c r="E43" i="24"/>
  <c r="H43" i="24"/>
  <c r="E44" i="24"/>
  <c r="H44" i="24"/>
  <c r="E45" i="24"/>
  <c r="H45" i="24"/>
  <c r="E46" i="24"/>
  <c r="H46" i="24"/>
  <c r="E47" i="24"/>
  <c r="H47" i="24"/>
  <c r="E48" i="24"/>
  <c r="H48" i="24"/>
  <c r="E49" i="24"/>
  <c r="H49" i="24"/>
  <c r="E50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E9" i="23"/>
  <c r="E4" i="23" s="1"/>
  <c r="H9" i="23"/>
  <c r="H4" i="23" s="1"/>
  <c r="K9" i="23"/>
  <c r="K3" i="23" s="1"/>
  <c r="N9" i="23"/>
  <c r="N4" i="23" s="1"/>
  <c r="Q9" i="23"/>
  <c r="T9" i="23"/>
  <c r="T3" i="23" s="1"/>
  <c r="Z9" i="23"/>
  <c r="Z3" i="23" s="1"/>
  <c r="AC9" i="23"/>
  <c r="AC3" i="23" s="1"/>
  <c r="AF9" i="23"/>
  <c r="AR9" i="23"/>
  <c r="AR2" i="23" s="1"/>
  <c r="BA9" i="23"/>
  <c r="BA4" i="23" s="1"/>
  <c r="E10" i="23"/>
  <c r="H10" i="23"/>
  <c r="K10" i="23"/>
  <c r="N10" i="23"/>
  <c r="Q10" i="23"/>
  <c r="T10" i="23"/>
  <c r="AC10" i="23"/>
  <c r="AF10" i="23"/>
  <c r="AR10" i="23"/>
  <c r="BA10" i="23"/>
  <c r="E11" i="23"/>
  <c r="H11" i="23"/>
  <c r="K11" i="23"/>
  <c r="N11" i="23"/>
  <c r="Q11" i="23"/>
  <c r="T11" i="23"/>
  <c r="AC11" i="23"/>
  <c r="AF11" i="23"/>
  <c r="AR11" i="23"/>
  <c r="E12" i="23"/>
  <c r="H12" i="23"/>
  <c r="K12" i="23"/>
  <c r="N12" i="23"/>
  <c r="Q12" i="23"/>
  <c r="T12" i="23"/>
  <c r="AD12" i="23"/>
  <c r="AE12" i="23"/>
  <c r="AR12" i="23"/>
  <c r="E13" i="23"/>
  <c r="H13" i="23"/>
  <c r="K13" i="23"/>
  <c r="N13" i="23"/>
  <c r="Q13" i="23"/>
  <c r="T13" i="23"/>
  <c r="AF13" i="23"/>
  <c r="AR13" i="23"/>
  <c r="E14" i="23"/>
  <c r="H14" i="23"/>
  <c r="K14" i="23"/>
  <c r="O14" i="23"/>
  <c r="P14" i="23"/>
  <c r="T14" i="23"/>
  <c r="AF14" i="23"/>
  <c r="AR14" i="23"/>
  <c r="H15" i="23"/>
  <c r="K15" i="23"/>
  <c r="Q15" i="23"/>
  <c r="T15" i="23"/>
  <c r="AF15" i="23"/>
  <c r="H16" i="23"/>
  <c r="K16" i="23"/>
  <c r="Q16" i="23"/>
  <c r="T16" i="23"/>
  <c r="H17" i="23"/>
  <c r="Q17" i="23"/>
  <c r="T17" i="23"/>
  <c r="H18" i="23"/>
  <c r="Q18" i="23"/>
  <c r="T18" i="23"/>
  <c r="H19" i="23"/>
  <c r="Q19" i="23"/>
  <c r="T19" i="23"/>
  <c r="H20" i="23"/>
  <c r="Q20" i="23"/>
  <c r="T20" i="23"/>
  <c r="H21" i="23"/>
  <c r="Q21" i="23"/>
  <c r="T21" i="23"/>
  <c r="H22" i="23"/>
  <c r="Q22" i="23"/>
  <c r="H23" i="23"/>
  <c r="Q23" i="23"/>
  <c r="H24" i="23"/>
  <c r="Q24" i="23"/>
  <c r="H25" i="23"/>
  <c r="Q25" i="23"/>
  <c r="H26" i="23"/>
  <c r="Q26" i="23"/>
  <c r="H27" i="23"/>
  <c r="Q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E6" i="22"/>
  <c r="H6" i="22"/>
  <c r="K6" i="22"/>
  <c r="N6" i="22"/>
  <c r="Q6" i="22"/>
  <c r="T6" i="22"/>
  <c r="W6" i="22"/>
  <c r="Z6" i="22"/>
  <c r="Z7" i="22"/>
  <c r="AC6" i="22"/>
  <c r="AF6" i="22"/>
  <c r="AI6" i="22"/>
  <c r="AL6" i="22"/>
  <c r="AO6" i="22"/>
  <c r="AR6" i="22"/>
  <c r="AU6" i="22"/>
  <c r="AX6" i="22"/>
  <c r="BA6" i="22"/>
  <c r="BD6" i="22"/>
  <c r="BG6" i="22"/>
  <c r="BJ6" i="22"/>
  <c r="BM6" i="22"/>
  <c r="BP6" i="22"/>
  <c r="BS6" i="22"/>
  <c r="E7" i="22"/>
  <c r="H7" i="22"/>
  <c r="K7" i="22"/>
  <c r="N7" i="22"/>
  <c r="Q7" i="22"/>
  <c r="T7" i="22"/>
  <c r="W7" i="22"/>
  <c r="Z8" i="22"/>
  <c r="AC7" i="22"/>
  <c r="AF7" i="22"/>
  <c r="AL7" i="22"/>
  <c r="AU7" i="22"/>
  <c r="BA7" i="22"/>
  <c r="BD7" i="22"/>
  <c r="BG7" i="22"/>
  <c r="BJ7" i="22"/>
  <c r="BM7" i="22"/>
  <c r="BP7" i="22"/>
  <c r="BS7" i="22"/>
  <c r="H8" i="22"/>
  <c r="N8" i="22"/>
  <c r="Q8" i="22"/>
  <c r="T8" i="22"/>
  <c r="Z9" i="22"/>
  <c r="AC8" i="22"/>
  <c r="AF8" i="22"/>
  <c r="BD8" i="22"/>
  <c r="BG8" i="22"/>
  <c r="BM8" i="22"/>
  <c r="BS8" i="22"/>
  <c r="H9" i="22"/>
  <c r="N9" i="22"/>
  <c r="Q9" i="22"/>
  <c r="T9" i="22"/>
  <c r="Z10" i="22"/>
  <c r="AC9" i="22"/>
  <c r="AF9" i="22"/>
  <c r="BD9" i="22"/>
  <c r="BG9" i="22"/>
  <c r="H10" i="22"/>
  <c r="Q10" i="22"/>
  <c r="T10" i="22"/>
  <c r="AC10" i="22"/>
  <c r="AF10" i="22"/>
  <c r="BD10" i="22"/>
  <c r="BG10" i="22"/>
  <c r="H11" i="22"/>
  <c r="Q11" i="22"/>
  <c r="T11" i="22"/>
  <c r="AC11" i="22"/>
  <c r="AF11" i="22"/>
  <c r="BD11" i="22"/>
  <c r="BG11" i="22"/>
  <c r="H12" i="22"/>
  <c r="Q12" i="22"/>
  <c r="T12" i="22"/>
  <c r="AF12" i="22"/>
  <c r="BD12" i="22"/>
  <c r="BG12" i="22"/>
  <c r="H13" i="22"/>
  <c r="Q13" i="22"/>
  <c r="T13" i="22"/>
  <c r="AF13" i="22"/>
  <c r="BD13" i="22"/>
  <c r="BG13" i="22"/>
  <c r="H14" i="22"/>
  <c r="Q14" i="22"/>
  <c r="AF14" i="22"/>
  <c r="BD14" i="22"/>
  <c r="BG14" i="22"/>
  <c r="H15" i="22"/>
  <c r="Q15" i="22"/>
  <c r="AF15" i="22"/>
  <c r="BD15" i="22"/>
  <c r="BG15" i="22"/>
  <c r="H16" i="22"/>
  <c r="Q16" i="22"/>
  <c r="AF16" i="22"/>
  <c r="BG16" i="22"/>
  <c r="H17" i="22"/>
  <c r="Q17" i="22"/>
  <c r="AF17" i="22"/>
  <c r="BG17" i="22"/>
  <c r="H18" i="22"/>
  <c r="Q18" i="22"/>
  <c r="AF18" i="22"/>
  <c r="BG18" i="22"/>
  <c r="H19" i="22"/>
  <c r="Q19" i="22"/>
  <c r="AF19" i="22"/>
  <c r="BG19" i="22"/>
  <c r="H20" i="22"/>
  <c r="Q20" i="22"/>
  <c r="AF20" i="22"/>
  <c r="BG20" i="22"/>
  <c r="H21" i="22"/>
  <c r="Q21" i="22"/>
  <c r="AF21" i="22"/>
  <c r="H22" i="22"/>
  <c r="Q22" i="22"/>
  <c r="AF22" i="22"/>
  <c r="H23" i="22"/>
  <c r="Q23" i="22"/>
  <c r="AF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E6" i="21"/>
  <c r="H6" i="21"/>
  <c r="K6" i="21"/>
  <c r="N6" i="21"/>
  <c r="Q6" i="21"/>
  <c r="T6" i="21"/>
  <c r="W6" i="21"/>
  <c r="Z6" i="21"/>
  <c r="AC6" i="21"/>
  <c r="AF6" i="21"/>
  <c r="AI6" i="21"/>
  <c r="AL6" i="21"/>
  <c r="AO6" i="21"/>
  <c r="AR6" i="21"/>
  <c r="AU6" i="21"/>
  <c r="AX6" i="21"/>
  <c r="BA6" i="21"/>
  <c r="BD6" i="21"/>
  <c r="BG6" i="21"/>
  <c r="BJ6" i="21"/>
  <c r="BM6" i="21"/>
  <c r="BP6" i="21"/>
  <c r="BS6" i="21"/>
  <c r="BV6" i="21"/>
  <c r="E7" i="21"/>
  <c r="H7" i="21"/>
  <c r="K7" i="21"/>
  <c r="N7" i="21"/>
  <c r="Q7" i="21"/>
  <c r="T7" i="21"/>
  <c r="W7" i="21"/>
  <c r="Z7" i="21"/>
  <c r="AC7" i="21"/>
  <c r="AF7" i="21"/>
  <c r="AI7" i="21"/>
  <c r="AO7" i="21"/>
  <c r="AR7" i="21"/>
  <c r="AU7" i="21"/>
  <c r="BA7" i="21"/>
  <c r="BD7" i="21"/>
  <c r="BG7" i="21"/>
  <c r="BM7" i="21"/>
  <c r="BS7" i="21"/>
  <c r="E8" i="21"/>
  <c r="H8" i="21"/>
  <c r="K8" i="21"/>
  <c r="N8" i="21"/>
  <c r="Q8" i="21"/>
  <c r="T8" i="21"/>
  <c r="W8" i="21"/>
  <c r="X8" i="21"/>
  <c r="Y8" i="21"/>
  <c r="AC8" i="21"/>
  <c r="AF8" i="21"/>
  <c r="AI8" i="21"/>
  <c r="AR8" i="21"/>
  <c r="AU8" i="21"/>
  <c r="E9" i="21"/>
  <c r="H9" i="21"/>
  <c r="K9" i="21"/>
  <c r="N9" i="21"/>
  <c r="Q9" i="21"/>
  <c r="T9" i="21"/>
  <c r="W9" i="21"/>
  <c r="Z9" i="21"/>
  <c r="AC9" i="21"/>
  <c r="AU9" i="21"/>
  <c r="E10" i="21"/>
  <c r="H10" i="21"/>
  <c r="K10" i="21"/>
  <c r="N10" i="21"/>
  <c r="Q10" i="21"/>
  <c r="W10" i="21"/>
  <c r="Z10" i="21"/>
  <c r="AC10" i="21"/>
  <c r="E11" i="21"/>
  <c r="H11" i="21"/>
  <c r="K11" i="21"/>
  <c r="N11" i="21"/>
  <c r="Q11" i="21"/>
  <c r="W11" i="21"/>
  <c r="AC11" i="21"/>
  <c r="E12" i="21"/>
  <c r="K12" i="21"/>
  <c r="N12" i="21"/>
  <c r="Q12" i="21"/>
  <c r="W12" i="21"/>
  <c r="AC12" i="21"/>
  <c r="E13" i="21"/>
  <c r="K13" i="21"/>
  <c r="N13" i="21"/>
  <c r="Q13" i="21"/>
  <c r="W13" i="21"/>
  <c r="E14" i="21"/>
  <c r="K14" i="21"/>
  <c r="N14" i="21"/>
  <c r="Q14" i="21"/>
  <c r="W14" i="21"/>
  <c r="E15" i="21"/>
  <c r="K15" i="21"/>
  <c r="N15" i="21"/>
  <c r="Q15" i="21"/>
  <c r="W15" i="21"/>
  <c r="E16" i="21"/>
  <c r="K16" i="21"/>
  <c r="N16" i="21"/>
  <c r="Q16" i="21"/>
  <c r="W16" i="21"/>
  <c r="E17" i="21"/>
  <c r="K17" i="21"/>
  <c r="N17" i="21"/>
  <c r="Q17" i="21"/>
  <c r="W17" i="21"/>
  <c r="E18" i="21"/>
  <c r="K18" i="21"/>
  <c r="N18" i="21"/>
  <c r="Q18" i="21"/>
  <c r="W18" i="21"/>
  <c r="E19" i="21"/>
  <c r="K19" i="21"/>
  <c r="N19" i="21"/>
  <c r="Q19" i="21"/>
  <c r="W19" i="21"/>
  <c r="E20" i="21"/>
  <c r="K20" i="21"/>
  <c r="N20" i="21"/>
  <c r="Q20" i="21"/>
  <c r="W20" i="21"/>
  <c r="E21" i="21"/>
  <c r="K21" i="21"/>
  <c r="N21" i="21"/>
  <c r="Q21" i="21"/>
  <c r="W21" i="21"/>
  <c r="E22" i="21"/>
  <c r="K22" i="21"/>
  <c r="N22" i="21"/>
  <c r="Q22" i="21"/>
  <c r="W22" i="21"/>
  <c r="E23" i="21"/>
  <c r="K23" i="21"/>
  <c r="N23" i="21"/>
  <c r="W23" i="21"/>
  <c r="K24" i="21"/>
  <c r="N24" i="21"/>
  <c r="W24" i="21"/>
  <c r="K25" i="21"/>
  <c r="N25" i="21"/>
  <c r="W25" i="21"/>
  <c r="K26" i="21"/>
  <c r="W26" i="21"/>
  <c r="K27" i="21"/>
  <c r="W27" i="21"/>
  <c r="W28" i="21"/>
  <c r="W29" i="21"/>
  <c r="W30" i="21"/>
  <c r="W31" i="21"/>
  <c r="E6" i="3"/>
  <c r="H6" i="3"/>
  <c r="K6" i="3"/>
  <c r="N6" i="3"/>
  <c r="Q6" i="3"/>
  <c r="T6" i="3"/>
  <c r="W6" i="3"/>
  <c r="Z6" i="3"/>
  <c r="AC6" i="3"/>
  <c r="AF6" i="3"/>
  <c r="AI6" i="3"/>
  <c r="AL6" i="3"/>
  <c r="AO6" i="3"/>
  <c r="AR6" i="3"/>
  <c r="AU6" i="3"/>
  <c r="AX6" i="3"/>
  <c r="BA6" i="3"/>
  <c r="BD6" i="3"/>
  <c r="E7" i="3"/>
  <c r="H7" i="3"/>
  <c r="K7" i="3"/>
  <c r="N7" i="3"/>
  <c r="Q7" i="3"/>
  <c r="T7" i="3"/>
  <c r="W7" i="3"/>
  <c r="Z7" i="3"/>
  <c r="AC7" i="3"/>
  <c r="AF7" i="3"/>
  <c r="AI7" i="3"/>
  <c r="AL7" i="3"/>
  <c r="AR7" i="3"/>
  <c r="AU7" i="3"/>
  <c r="E8" i="3"/>
  <c r="H8" i="3"/>
  <c r="K8" i="3"/>
  <c r="N8" i="3"/>
  <c r="Q8" i="3"/>
  <c r="T8" i="3"/>
  <c r="W8" i="3"/>
  <c r="Z8" i="3"/>
  <c r="AL8" i="3"/>
  <c r="AR8" i="3"/>
  <c r="AU8" i="3"/>
  <c r="E9" i="3"/>
  <c r="H9" i="3"/>
  <c r="K9" i="3"/>
  <c r="N9" i="3"/>
  <c r="Q9" i="3"/>
  <c r="Z9" i="3"/>
  <c r="AL9" i="3"/>
  <c r="AR9" i="3"/>
  <c r="AU9" i="3"/>
  <c r="E10" i="3"/>
  <c r="H10" i="3"/>
  <c r="K10" i="3"/>
  <c r="N10" i="3"/>
  <c r="Q10" i="3"/>
  <c r="Z10" i="3"/>
  <c r="AL10" i="3"/>
  <c r="AR10" i="3"/>
  <c r="E11" i="3"/>
  <c r="H11" i="3"/>
  <c r="K11" i="3"/>
  <c r="Q11" i="3"/>
  <c r="Z11" i="3"/>
  <c r="AL11" i="3"/>
  <c r="AR11" i="3"/>
  <c r="E12" i="3"/>
  <c r="H12" i="3"/>
  <c r="K12" i="3"/>
  <c r="Q12" i="3"/>
  <c r="AR12" i="3"/>
  <c r="E13" i="3"/>
  <c r="H13" i="3"/>
  <c r="K13" i="3"/>
  <c r="Q13" i="3"/>
  <c r="E14" i="3"/>
  <c r="H14" i="3"/>
  <c r="K14" i="3"/>
  <c r="Q14" i="3"/>
  <c r="H15" i="3"/>
  <c r="I15" i="3"/>
  <c r="J15" i="3"/>
  <c r="Q15" i="3"/>
  <c r="H16" i="3"/>
  <c r="K16" i="3"/>
  <c r="Q16" i="3"/>
  <c r="H17" i="3"/>
  <c r="K17" i="3"/>
  <c r="Q17" i="3"/>
  <c r="H18" i="3"/>
  <c r="K18" i="3"/>
  <c r="Q18" i="3"/>
  <c r="H19" i="3"/>
  <c r="K19" i="3"/>
  <c r="Q19" i="3"/>
  <c r="H20" i="3"/>
  <c r="Q20" i="3"/>
  <c r="H21" i="3"/>
  <c r="Q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BA4" i="35" l="1"/>
  <c r="BA3" i="35"/>
  <c r="BA2" i="35"/>
  <c r="CH4" i="35"/>
  <c r="CH3" i="35"/>
  <c r="CH2" i="35"/>
  <c r="CE3" i="35"/>
  <c r="CE4" i="35"/>
  <c r="CE2" i="35"/>
  <c r="AX3" i="35"/>
  <c r="AX4" i="35"/>
  <c r="AX2" i="35"/>
  <c r="CB4" i="35"/>
  <c r="CB3" i="35"/>
  <c r="CB2" i="35"/>
  <c r="BY2" i="35"/>
  <c r="BY3" i="35"/>
  <c r="BY4" i="35"/>
  <c r="BV3" i="35"/>
  <c r="BV2" i="35"/>
  <c r="BV4" i="35"/>
  <c r="BS4" i="35"/>
  <c r="BS2" i="35"/>
  <c r="BS3" i="35"/>
  <c r="BP3" i="35"/>
  <c r="BP4" i="35"/>
  <c r="BP2" i="35"/>
  <c r="BM3" i="35"/>
  <c r="BM4" i="35"/>
  <c r="BM2" i="35"/>
  <c r="BJ2" i="35"/>
  <c r="BJ4" i="35"/>
  <c r="BJ3" i="35"/>
  <c r="BG3" i="35"/>
  <c r="BG2" i="35"/>
  <c r="BG4" i="35"/>
  <c r="BD2" i="35"/>
  <c r="BD3" i="35"/>
  <c r="BD4" i="35"/>
  <c r="BA2" i="34"/>
  <c r="BA3" i="34"/>
  <c r="BA4" i="34"/>
  <c r="AX3" i="34"/>
  <c r="AX4" i="34"/>
  <c r="AX2" i="34"/>
  <c r="AU4" i="34"/>
  <c r="AU3" i="34"/>
  <c r="AU2" i="34"/>
  <c r="AR4" i="34"/>
  <c r="AR3" i="34"/>
  <c r="AR2" i="34"/>
  <c r="BM4" i="34"/>
  <c r="BM3" i="34"/>
  <c r="BM2" i="34"/>
  <c r="BJ4" i="34"/>
  <c r="BJ3" i="34"/>
  <c r="BJ2" i="34"/>
  <c r="BG4" i="34"/>
  <c r="BG2" i="34"/>
  <c r="BG3" i="34"/>
  <c r="BD3" i="34"/>
  <c r="BD2" i="34"/>
  <c r="BD4" i="34"/>
  <c r="N2" i="37"/>
  <c r="N4" i="37"/>
  <c r="K2" i="37"/>
  <c r="K3" i="37"/>
  <c r="K4" i="37"/>
  <c r="H4" i="37"/>
  <c r="H3" i="37"/>
  <c r="H2" i="37"/>
  <c r="E2" i="37"/>
  <c r="E4" i="37"/>
  <c r="E3" i="37"/>
  <c r="AL4" i="37"/>
  <c r="AL2" i="37"/>
  <c r="W3" i="37"/>
  <c r="AI4" i="37"/>
  <c r="AI3" i="37"/>
  <c r="AI2" i="37"/>
  <c r="AL3" i="37"/>
  <c r="Z2" i="37"/>
  <c r="Z4" i="37"/>
  <c r="Z3" i="37"/>
  <c r="Q4" i="36"/>
  <c r="T3" i="36"/>
  <c r="N3" i="36"/>
  <c r="N2" i="36"/>
  <c r="K4" i="36"/>
  <c r="K3" i="36"/>
  <c r="K2" i="36"/>
  <c r="H3" i="36"/>
  <c r="H2" i="36"/>
  <c r="E4" i="36"/>
  <c r="AL2" i="36"/>
  <c r="AL3" i="36"/>
  <c r="AI4" i="36"/>
  <c r="AI2" i="36"/>
  <c r="N4" i="35"/>
  <c r="N3" i="35"/>
  <c r="N2" i="35"/>
  <c r="AU2" i="35"/>
  <c r="AR4" i="35"/>
  <c r="AR2" i="35"/>
  <c r="AR3" i="35"/>
  <c r="AI4" i="35"/>
  <c r="AF2" i="35"/>
  <c r="AF4" i="35"/>
  <c r="AF3" i="35"/>
  <c r="Z3" i="35"/>
  <c r="Z2" i="35"/>
  <c r="Z4" i="35"/>
  <c r="W2" i="35"/>
  <c r="W3" i="35"/>
  <c r="W4" i="35"/>
  <c r="T3" i="35"/>
  <c r="T2" i="35"/>
  <c r="T4" i="35"/>
  <c r="Q3" i="35"/>
  <c r="Q4" i="35"/>
  <c r="Q2" i="35"/>
  <c r="N3" i="37"/>
  <c r="T2" i="37"/>
  <c r="AF2" i="37"/>
  <c r="Q3" i="37"/>
  <c r="AC2" i="37"/>
  <c r="AO4" i="37"/>
  <c r="H4" i="36"/>
  <c r="Q3" i="36"/>
  <c r="E3" i="36"/>
  <c r="N4" i="36"/>
  <c r="W3" i="36"/>
  <c r="AF2" i="36"/>
  <c r="AC2" i="36"/>
  <c r="AL4" i="36"/>
  <c r="Z2" i="36"/>
  <c r="AI3" i="36"/>
  <c r="H4" i="35"/>
  <c r="AL2" i="35"/>
  <c r="AI2" i="35"/>
  <c r="AU4" i="35"/>
  <c r="K3" i="35"/>
  <c r="AC3" i="35"/>
  <c r="AO4" i="35"/>
  <c r="E4" i="35"/>
  <c r="E3" i="34"/>
  <c r="E4" i="34"/>
  <c r="E2" i="34"/>
  <c r="AI2" i="34"/>
  <c r="AI4" i="34"/>
  <c r="AI3" i="34"/>
  <c r="AF2" i="34"/>
  <c r="AF4" i="34"/>
  <c r="AF3" i="34"/>
  <c r="AC2" i="34"/>
  <c r="AC3" i="34"/>
  <c r="AC4" i="34"/>
  <c r="N4" i="34"/>
  <c r="N3" i="34"/>
  <c r="T3" i="34"/>
  <c r="T2" i="34"/>
  <c r="T4" i="34"/>
  <c r="N2" i="34"/>
  <c r="Q2" i="34"/>
  <c r="Q3" i="34"/>
  <c r="Q4" i="34"/>
  <c r="H3" i="34"/>
  <c r="Z2" i="34"/>
  <c r="AL3" i="34"/>
  <c r="W3" i="34"/>
  <c r="K4" i="34"/>
  <c r="AO4" i="34"/>
  <c r="W4" i="33"/>
  <c r="W3" i="33"/>
  <c r="W2" i="33"/>
  <c r="AX3" i="32"/>
  <c r="AX4" i="32"/>
  <c r="AR4" i="32"/>
  <c r="AR3" i="32"/>
  <c r="AR2" i="32"/>
  <c r="AC2" i="32"/>
  <c r="T3" i="32"/>
  <c r="Q2" i="32"/>
  <c r="Q3" i="32"/>
  <c r="K2" i="32"/>
  <c r="K3" i="32"/>
  <c r="K4" i="32"/>
  <c r="BA4" i="32"/>
  <c r="BA3" i="32"/>
  <c r="BA2" i="32"/>
  <c r="H3" i="32"/>
  <c r="H2" i="32"/>
  <c r="H4" i="32"/>
  <c r="AU4" i="32"/>
  <c r="AU3" i="32"/>
  <c r="AU2" i="32"/>
  <c r="E4" i="32"/>
  <c r="Z4" i="32"/>
  <c r="N2" i="32"/>
  <c r="AL4" i="32"/>
  <c r="T4" i="32"/>
  <c r="AF2" i="32"/>
  <c r="AC4" i="32"/>
  <c r="AO4" i="32"/>
  <c r="E3" i="32"/>
  <c r="AI4" i="32"/>
  <c r="Q4" i="32"/>
  <c r="AO4" i="31"/>
  <c r="AO2" i="31"/>
  <c r="AO3" i="31"/>
  <c r="AL3" i="31"/>
  <c r="AL2" i="31"/>
  <c r="AL4" i="31"/>
  <c r="AI3" i="31"/>
  <c r="AI2" i="31"/>
  <c r="AI4" i="31"/>
  <c r="AF3" i="31"/>
  <c r="AF4" i="31"/>
  <c r="AF2" i="31"/>
  <c r="AC3" i="31"/>
  <c r="AC2" i="31"/>
  <c r="AC4" i="31"/>
  <c r="Z3" i="31"/>
  <c r="Z2" i="31"/>
  <c r="Z4" i="31"/>
  <c r="W3" i="31"/>
  <c r="W4" i="31"/>
  <c r="W2" i="31"/>
  <c r="T4" i="31"/>
  <c r="T3" i="31"/>
  <c r="T2" i="31"/>
  <c r="Q4" i="31"/>
  <c r="Q2" i="31"/>
  <c r="Q3" i="31"/>
  <c r="N4" i="31"/>
  <c r="N3" i="31"/>
  <c r="N2" i="31"/>
  <c r="K2" i="31"/>
  <c r="K4" i="31"/>
  <c r="K3" i="31"/>
  <c r="BA4" i="31"/>
  <c r="BA3" i="31"/>
  <c r="BA2" i="31"/>
  <c r="E4" i="31"/>
  <c r="E3" i="31"/>
  <c r="E2" i="31"/>
  <c r="AX4" i="31"/>
  <c r="AX3" i="31"/>
  <c r="AX2" i="31"/>
  <c r="AU4" i="31"/>
  <c r="AU3" i="31"/>
  <c r="AU2" i="31"/>
  <c r="AR4" i="31"/>
  <c r="AR3" i="31"/>
  <c r="AR2" i="31"/>
  <c r="AC3" i="30"/>
  <c r="AC2" i="30"/>
  <c r="AC4" i="30"/>
  <c r="Z3" i="30"/>
  <c r="Z2" i="30"/>
  <c r="Z4" i="30"/>
  <c r="W4" i="30"/>
  <c r="W3" i="30"/>
  <c r="W2" i="30"/>
  <c r="T3" i="30"/>
  <c r="T2" i="30"/>
  <c r="T4" i="30"/>
  <c r="Q3" i="30"/>
  <c r="Q4" i="30"/>
  <c r="Q2" i="30"/>
  <c r="N4" i="30"/>
  <c r="N3" i="30"/>
  <c r="N2" i="30"/>
  <c r="BJ4" i="30"/>
  <c r="BJ3" i="30"/>
  <c r="BJ2" i="30"/>
  <c r="K4" i="30"/>
  <c r="K3" i="30"/>
  <c r="K2" i="30"/>
  <c r="BG4" i="30"/>
  <c r="BG2" i="30"/>
  <c r="BG3" i="30"/>
  <c r="H3" i="30"/>
  <c r="H2" i="30"/>
  <c r="H4" i="30"/>
  <c r="BD2" i="30"/>
  <c r="BD4" i="30"/>
  <c r="BD3" i="30"/>
  <c r="E2" i="30"/>
  <c r="E4" i="30"/>
  <c r="E3" i="30"/>
  <c r="BA4" i="30"/>
  <c r="BA2" i="30"/>
  <c r="BA3" i="30"/>
  <c r="AU3" i="30"/>
  <c r="AU4" i="30"/>
  <c r="AU2" i="30"/>
  <c r="AF3" i="30"/>
  <c r="AF2" i="30"/>
  <c r="AF4" i="30"/>
  <c r="AR4" i="30"/>
  <c r="AR3" i="30"/>
  <c r="AR2" i="30"/>
  <c r="AO4" i="30"/>
  <c r="AO3" i="30"/>
  <c r="AO2" i="30"/>
  <c r="AL2" i="30"/>
  <c r="AL3" i="30"/>
  <c r="AL4" i="30"/>
  <c r="AI2" i="30"/>
  <c r="AI3" i="30"/>
  <c r="AI4" i="30"/>
  <c r="AU4" i="29"/>
  <c r="AU3" i="29"/>
  <c r="AU2" i="29"/>
  <c r="AO4" i="29"/>
  <c r="AO3" i="29"/>
  <c r="AO2" i="29"/>
  <c r="AR4" i="29"/>
  <c r="AR3" i="29"/>
  <c r="AR2" i="29"/>
  <c r="AL4" i="29"/>
  <c r="AL2" i="29"/>
  <c r="AL3" i="29"/>
  <c r="AI3" i="29"/>
  <c r="AI4" i="29"/>
  <c r="AI2" i="29"/>
  <c r="AF3" i="29"/>
  <c r="AC4" i="29"/>
  <c r="AC3" i="29"/>
  <c r="AC2" i="29"/>
  <c r="Z2" i="29"/>
  <c r="Z3" i="29"/>
  <c r="Z4" i="29"/>
  <c r="W3" i="29"/>
  <c r="W4" i="29"/>
  <c r="W2" i="29"/>
  <c r="T2" i="29"/>
  <c r="T4" i="29"/>
  <c r="T3" i="29"/>
  <c r="Q2" i="29"/>
  <c r="Q4" i="29"/>
  <c r="Q3" i="29"/>
  <c r="N3" i="29"/>
  <c r="N2" i="29"/>
  <c r="N4" i="29"/>
  <c r="K3" i="29"/>
  <c r="K4" i="29"/>
  <c r="K2" i="29"/>
  <c r="BD4" i="29"/>
  <c r="BD3" i="29"/>
  <c r="BD2" i="29"/>
  <c r="H2" i="29"/>
  <c r="BA4" i="29"/>
  <c r="BA3" i="29"/>
  <c r="BA2" i="29"/>
  <c r="AX4" i="29"/>
  <c r="AX2" i="29"/>
  <c r="AX3" i="29"/>
  <c r="AL2" i="28"/>
  <c r="AL4" i="28"/>
  <c r="AL3" i="28"/>
  <c r="AI2" i="28"/>
  <c r="AI3" i="28"/>
  <c r="AI4" i="28"/>
  <c r="AF3" i="28"/>
  <c r="AF2" i="28"/>
  <c r="AF4" i="28"/>
  <c r="AC3" i="28"/>
  <c r="AC2" i="28"/>
  <c r="AC4" i="28"/>
  <c r="Z3" i="28"/>
  <c r="Z2" i="28"/>
  <c r="Z4" i="28"/>
  <c r="W3" i="28"/>
  <c r="W2" i="28"/>
  <c r="W4" i="28"/>
  <c r="T3" i="28"/>
  <c r="T2" i="28"/>
  <c r="T4" i="28"/>
  <c r="BM4" i="28"/>
  <c r="BM3" i="28"/>
  <c r="BM2" i="28"/>
  <c r="Q4" i="28"/>
  <c r="Q3" i="28"/>
  <c r="Q2" i="28"/>
  <c r="BJ4" i="28"/>
  <c r="BJ3" i="28"/>
  <c r="BJ2" i="28"/>
  <c r="N4" i="28"/>
  <c r="N3" i="28"/>
  <c r="N2" i="28"/>
  <c r="BG4" i="28"/>
  <c r="BG3" i="28"/>
  <c r="BG2" i="28"/>
  <c r="AR2" i="28"/>
  <c r="AR4" i="28"/>
  <c r="AR3" i="28"/>
  <c r="BD4" i="28"/>
  <c r="BD2" i="28"/>
  <c r="BD3" i="28"/>
  <c r="H4" i="28"/>
  <c r="H2" i="28"/>
  <c r="H3" i="28"/>
  <c r="AO3" i="28"/>
  <c r="AO2" i="28"/>
  <c r="AO4" i="28"/>
  <c r="BA3" i="28"/>
  <c r="BA4" i="28"/>
  <c r="BA2" i="28"/>
  <c r="E4" i="28"/>
  <c r="E3" i="28"/>
  <c r="E2" i="28"/>
  <c r="AX4" i="28"/>
  <c r="AX2" i="28"/>
  <c r="AX3" i="28"/>
  <c r="AU2" i="28"/>
  <c r="AU4" i="28"/>
  <c r="AU3" i="28"/>
  <c r="H2" i="27"/>
  <c r="H3" i="27"/>
  <c r="H4" i="27"/>
  <c r="BA2" i="27"/>
  <c r="BA3" i="27"/>
  <c r="BA4" i="27"/>
  <c r="E2" i="27"/>
  <c r="E3" i="27"/>
  <c r="E4" i="27"/>
  <c r="AX2" i="27"/>
  <c r="AX3" i="27"/>
  <c r="AX4" i="27"/>
  <c r="AU2" i="27"/>
  <c r="AU3" i="27"/>
  <c r="AU4" i="27"/>
  <c r="K2" i="27"/>
  <c r="K3" i="27"/>
  <c r="K4" i="27"/>
  <c r="AR2" i="27"/>
  <c r="AR4" i="27"/>
  <c r="AR3" i="27"/>
  <c r="AO3" i="27"/>
  <c r="AO2" i="27"/>
  <c r="AO4" i="27"/>
  <c r="BD2" i="27"/>
  <c r="BD3" i="27"/>
  <c r="BD4" i="27"/>
  <c r="CH4" i="27"/>
  <c r="CH2" i="27"/>
  <c r="CH3" i="27"/>
  <c r="AL4" i="27"/>
  <c r="AL2" i="27"/>
  <c r="AL3" i="27"/>
  <c r="CE4" i="27"/>
  <c r="CE3" i="27"/>
  <c r="CE2" i="27"/>
  <c r="AI2" i="27"/>
  <c r="AI4" i="27"/>
  <c r="AI3" i="27"/>
  <c r="CB4" i="27"/>
  <c r="CB3" i="27"/>
  <c r="CB2" i="27"/>
  <c r="AF4" i="27"/>
  <c r="AF2" i="27"/>
  <c r="AF3" i="27"/>
  <c r="BY4" i="27"/>
  <c r="BY2" i="27"/>
  <c r="BY3" i="27"/>
  <c r="AC3" i="27"/>
  <c r="AC4" i="27"/>
  <c r="AC2" i="27"/>
  <c r="BV3" i="27"/>
  <c r="BV4" i="27"/>
  <c r="BV2" i="27"/>
  <c r="Z3" i="27"/>
  <c r="Z4" i="27"/>
  <c r="Z2" i="27"/>
  <c r="BS3" i="27"/>
  <c r="BS4" i="27"/>
  <c r="BS2" i="27"/>
  <c r="W3" i="27"/>
  <c r="W2" i="27"/>
  <c r="W4" i="27"/>
  <c r="BP2" i="27"/>
  <c r="BP3" i="27"/>
  <c r="BP4" i="27"/>
  <c r="T3" i="27"/>
  <c r="T4" i="27"/>
  <c r="T2" i="27"/>
  <c r="BG2" i="27"/>
  <c r="BG3" i="27"/>
  <c r="BG4" i="27"/>
  <c r="BM2" i="27"/>
  <c r="BM3" i="27"/>
  <c r="BM4" i="27"/>
  <c r="Q3" i="27"/>
  <c r="Q4" i="27"/>
  <c r="Q2" i="27"/>
  <c r="BJ2" i="27"/>
  <c r="BJ3" i="27"/>
  <c r="BJ4" i="27"/>
  <c r="N2" i="27"/>
  <c r="N3" i="27"/>
  <c r="N4" i="27"/>
  <c r="AU3" i="26"/>
  <c r="AU2" i="26"/>
  <c r="AU4" i="26"/>
  <c r="BA2" i="26"/>
  <c r="BA4" i="26"/>
  <c r="BA3" i="26"/>
  <c r="AR3" i="26"/>
  <c r="AR2" i="26"/>
  <c r="AR4" i="26"/>
  <c r="AO3" i="26"/>
  <c r="AO2" i="26"/>
  <c r="AO4" i="26"/>
  <c r="AL3" i="26"/>
  <c r="AL2" i="26"/>
  <c r="AL4" i="26"/>
  <c r="AX2" i="26"/>
  <c r="AX4" i="26"/>
  <c r="AX3" i="26"/>
  <c r="AI3" i="26"/>
  <c r="AI2" i="26"/>
  <c r="AI4" i="26"/>
  <c r="E2" i="26"/>
  <c r="E4" i="26"/>
  <c r="E3" i="26"/>
  <c r="AF3" i="26"/>
  <c r="AF4" i="26"/>
  <c r="AF2" i="26"/>
  <c r="AC4" i="26"/>
  <c r="AC2" i="26"/>
  <c r="AC3" i="26"/>
  <c r="Z2" i="26"/>
  <c r="Z3" i="26"/>
  <c r="Z4" i="26"/>
  <c r="BS4" i="26"/>
  <c r="BS2" i="26"/>
  <c r="BS3" i="26"/>
  <c r="W4" i="26"/>
  <c r="W2" i="26"/>
  <c r="W3" i="26"/>
  <c r="BP4" i="26"/>
  <c r="BP2" i="26"/>
  <c r="BP3" i="26"/>
  <c r="T4" i="26"/>
  <c r="T3" i="26"/>
  <c r="T2" i="26"/>
  <c r="BM2" i="26"/>
  <c r="BM4" i="26"/>
  <c r="BM3" i="26"/>
  <c r="Q2" i="26"/>
  <c r="Q4" i="26"/>
  <c r="Q3" i="26"/>
  <c r="BJ2" i="26"/>
  <c r="BJ4" i="26"/>
  <c r="BJ3" i="26"/>
  <c r="N2" i="26"/>
  <c r="N4" i="26"/>
  <c r="N3" i="26"/>
  <c r="BG2" i="26"/>
  <c r="BG4" i="26"/>
  <c r="BG3" i="26"/>
  <c r="K2" i="26"/>
  <c r="K4" i="26"/>
  <c r="K3" i="26"/>
  <c r="BD2" i="26"/>
  <c r="BD4" i="26"/>
  <c r="BD3" i="26"/>
  <c r="H2" i="26"/>
  <c r="H4" i="26"/>
  <c r="H3" i="26"/>
  <c r="Z3" i="25"/>
  <c r="Z4" i="25"/>
  <c r="Z2" i="25"/>
  <c r="W3" i="25"/>
  <c r="W2" i="25"/>
  <c r="W4" i="25"/>
  <c r="BJ4" i="25"/>
  <c r="BJ3" i="25"/>
  <c r="BJ2" i="25"/>
  <c r="N4" i="25"/>
  <c r="N3" i="25"/>
  <c r="N2" i="25"/>
  <c r="BG4" i="25"/>
  <c r="BG3" i="25"/>
  <c r="BG2" i="25"/>
  <c r="K4" i="25"/>
  <c r="K3" i="25"/>
  <c r="K2" i="25"/>
  <c r="T4" i="25"/>
  <c r="T3" i="25"/>
  <c r="T2" i="25"/>
  <c r="BD4" i="25"/>
  <c r="BD3" i="25"/>
  <c r="BD2" i="25"/>
  <c r="H4" i="25"/>
  <c r="H3" i="25"/>
  <c r="H2" i="25"/>
  <c r="BA2" i="25"/>
  <c r="BA4" i="25"/>
  <c r="BA3" i="25"/>
  <c r="E2" i="25"/>
  <c r="E4" i="25"/>
  <c r="E3" i="25"/>
  <c r="AX4" i="25"/>
  <c r="AX3" i="25"/>
  <c r="AX2" i="25"/>
  <c r="AU4" i="25"/>
  <c r="AU3" i="25"/>
  <c r="AU2" i="25"/>
  <c r="AR3" i="25"/>
  <c r="AR2" i="25"/>
  <c r="AR4" i="25"/>
  <c r="AO3" i="25"/>
  <c r="AO2" i="25"/>
  <c r="AO4" i="25"/>
  <c r="AL2" i="25"/>
  <c r="AL3" i="25"/>
  <c r="AL4" i="25"/>
  <c r="AI2" i="25"/>
  <c r="AI4" i="25"/>
  <c r="AI3" i="25"/>
  <c r="Q3" i="25"/>
  <c r="Q2" i="25"/>
  <c r="Q4" i="25"/>
  <c r="AF2" i="25"/>
  <c r="AF4" i="25"/>
  <c r="AF3" i="25"/>
  <c r="AC2" i="25"/>
  <c r="AC4" i="25"/>
  <c r="AC3" i="25"/>
  <c r="AR3" i="24"/>
  <c r="AR2" i="24"/>
  <c r="AR4" i="24"/>
  <c r="AO3" i="24"/>
  <c r="AO2" i="24"/>
  <c r="AO4" i="24"/>
  <c r="AL3" i="24"/>
  <c r="AL2" i="24"/>
  <c r="AL4" i="24"/>
  <c r="AI3" i="24"/>
  <c r="AI4" i="24"/>
  <c r="AI2" i="24"/>
  <c r="AF2" i="24"/>
  <c r="AF3" i="24"/>
  <c r="AF4" i="24"/>
  <c r="AC3" i="24"/>
  <c r="AC4" i="24"/>
  <c r="AC2" i="24"/>
  <c r="BD7" i="24"/>
  <c r="Z3" i="24"/>
  <c r="Z2" i="24"/>
  <c r="Z4" i="24"/>
  <c r="BS4" i="24"/>
  <c r="BS2" i="24"/>
  <c r="BS3" i="24"/>
  <c r="W4" i="24"/>
  <c r="W3" i="24"/>
  <c r="W2" i="24"/>
  <c r="BP4" i="24"/>
  <c r="BP3" i="24"/>
  <c r="BP2" i="24"/>
  <c r="T4" i="24"/>
  <c r="T2" i="24"/>
  <c r="T3" i="24"/>
  <c r="BM2" i="24"/>
  <c r="BM4" i="24"/>
  <c r="BM3" i="24"/>
  <c r="Q2" i="24"/>
  <c r="Q4" i="24"/>
  <c r="Q3" i="24"/>
  <c r="BJ2" i="24"/>
  <c r="BJ4" i="24"/>
  <c r="BJ3" i="24"/>
  <c r="N2" i="24"/>
  <c r="N3" i="24"/>
  <c r="N4" i="24"/>
  <c r="BG2" i="24"/>
  <c r="BG4" i="24"/>
  <c r="BG3" i="24"/>
  <c r="K3" i="24"/>
  <c r="K2" i="24"/>
  <c r="K4" i="24"/>
  <c r="BD2" i="24"/>
  <c r="BD4" i="24"/>
  <c r="BD3" i="24"/>
  <c r="H2" i="24"/>
  <c r="H4" i="24"/>
  <c r="H3" i="24"/>
  <c r="BA2" i="24"/>
  <c r="BA3" i="24"/>
  <c r="BA4" i="24"/>
  <c r="E2" i="24"/>
  <c r="E4" i="24"/>
  <c r="E3" i="24"/>
  <c r="B3" i="24" s="1"/>
  <c r="AX3" i="24"/>
  <c r="AX2" i="24"/>
  <c r="AX4" i="24"/>
  <c r="AU3" i="24"/>
  <c r="AU2" i="24"/>
  <c r="AU4" i="24"/>
  <c r="T2" i="23"/>
  <c r="H2" i="23"/>
  <c r="H3" i="23"/>
  <c r="K4" i="23"/>
  <c r="BA2" i="23"/>
  <c r="Q2" i="23"/>
  <c r="AR4" i="23"/>
  <c r="AF2" i="23"/>
  <c r="BA3" i="23"/>
  <c r="AC2" i="23"/>
  <c r="E3" i="23"/>
  <c r="N3" i="23"/>
  <c r="N2" i="23"/>
  <c r="K2" i="23"/>
  <c r="T4" i="23"/>
  <c r="E2" i="23"/>
  <c r="AR3" i="23"/>
  <c r="Z2" i="23"/>
  <c r="AC4" i="23"/>
  <c r="Z4" i="23"/>
  <c r="AF3" i="23"/>
  <c r="BJ2" i="22"/>
  <c r="BJ4" i="22"/>
  <c r="BJ3" i="22"/>
  <c r="BD2" i="22"/>
  <c r="BD4" i="22"/>
  <c r="BD3" i="22"/>
  <c r="K2" i="22"/>
  <c r="K4" i="22"/>
  <c r="K3" i="22"/>
  <c r="BA2" i="22"/>
  <c r="BA4" i="22"/>
  <c r="BA3" i="22"/>
  <c r="H2" i="22"/>
  <c r="H4" i="22"/>
  <c r="H3" i="22"/>
  <c r="AX2" i="22"/>
  <c r="AX4" i="22"/>
  <c r="AX3" i="22"/>
  <c r="E2" i="22"/>
  <c r="E4" i="22"/>
  <c r="E3" i="22"/>
  <c r="AU3" i="22"/>
  <c r="AU2" i="22"/>
  <c r="AU4" i="22"/>
  <c r="AR3" i="22"/>
  <c r="AR2" i="22"/>
  <c r="AR4" i="22"/>
  <c r="AO3" i="22"/>
  <c r="AO2" i="22"/>
  <c r="AO4" i="22"/>
  <c r="AL3" i="22"/>
  <c r="AL2" i="22"/>
  <c r="AL4" i="22"/>
  <c r="AF3" i="22"/>
  <c r="AF2" i="22"/>
  <c r="AF4" i="22"/>
  <c r="N2" i="22"/>
  <c r="N4" i="22"/>
  <c r="N3" i="22"/>
  <c r="AC4" i="22"/>
  <c r="AC3" i="22"/>
  <c r="AC2" i="22"/>
  <c r="Q2" i="22"/>
  <c r="Q4" i="22"/>
  <c r="Q3" i="22"/>
  <c r="AI3" i="22"/>
  <c r="AI2" i="22"/>
  <c r="AI4" i="22"/>
  <c r="BG2" i="22"/>
  <c r="BG4" i="22"/>
  <c r="BG3" i="22"/>
  <c r="BS4" i="22"/>
  <c r="BS3" i="22"/>
  <c r="BS2" i="22"/>
  <c r="Z3" i="22"/>
  <c r="Z2" i="22"/>
  <c r="Z4" i="22"/>
  <c r="BP4" i="22"/>
  <c r="BP3" i="22"/>
  <c r="BP2" i="22"/>
  <c r="W4" i="22"/>
  <c r="W3" i="22"/>
  <c r="W2" i="22"/>
  <c r="BM2" i="22"/>
  <c r="BM4" i="22"/>
  <c r="BM3" i="22"/>
  <c r="T4" i="22"/>
  <c r="T3" i="22"/>
  <c r="T2" i="22"/>
  <c r="BP3" i="21"/>
  <c r="BP2" i="21"/>
  <c r="BP4" i="21"/>
  <c r="T2" i="21"/>
  <c r="T4" i="21"/>
  <c r="T3" i="21"/>
  <c r="BM2" i="21"/>
  <c r="BM4" i="21"/>
  <c r="BM3" i="21"/>
  <c r="Q2" i="21"/>
  <c r="Q4" i="21"/>
  <c r="Q3" i="21"/>
  <c r="BD2" i="21"/>
  <c r="BD4" i="21"/>
  <c r="BD3" i="21"/>
  <c r="H2" i="21"/>
  <c r="H4" i="21"/>
  <c r="H3" i="21"/>
  <c r="BA2" i="21"/>
  <c r="BA4" i="21"/>
  <c r="BA3" i="21"/>
  <c r="E2" i="21"/>
  <c r="E4" i="21"/>
  <c r="E3" i="21"/>
  <c r="AX4" i="21"/>
  <c r="AX3" i="21"/>
  <c r="AX2" i="21"/>
  <c r="N2" i="21"/>
  <c r="N4" i="21"/>
  <c r="N3" i="21"/>
  <c r="BG2" i="21"/>
  <c r="BG4" i="21"/>
  <c r="BG3" i="21"/>
  <c r="AU2" i="21"/>
  <c r="AU3" i="21"/>
  <c r="AU4" i="21"/>
  <c r="AR4" i="21"/>
  <c r="AR3" i="21"/>
  <c r="AR2" i="21"/>
  <c r="AO2" i="21"/>
  <c r="AO3" i="21"/>
  <c r="AO4" i="21"/>
  <c r="K2" i="21"/>
  <c r="K4" i="21"/>
  <c r="K3" i="21"/>
  <c r="AL3" i="21"/>
  <c r="AL4" i="21"/>
  <c r="AL2" i="21"/>
  <c r="AI3" i="21"/>
  <c r="AI2" i="21"/>
  <c r="AI4" i="21"/>
  <c r="AF3" i="21"/>
  <c r="AF2" i="21"/>
  <c r="AF4" i="21"/>
  <c r="AC3" i="21"/>
  <c r="AC2" i="21"/>
  <c r="AC4" i="21"/>
  <c r="BV3" i="21"/>
  <c r="BV2" i="21"/>
  <c r="BV4" i="21"/>
  <c r="Z2" i="21"/>
  <c r="Z4" i="21"/>
  <c r="Z3" i="21"/>
  <c r="BJ2" i="21"/>
  <c r="BJ4" i="21"/>
  <c r="BJ3" i="21"/>
  <c r="BS3" i="21"/>
  <c r="BS2" i="21"/>
  <c r="BS4" i="21"/>
  <c r="W3" i="21"/>
  <c r="W2" i="21"/>
  <c r="W4" i="21"/>
  <c r="Z2" i="3"/>
  <c r="Z4" i="3"/>
  <c r="Z3" i="3"/>
  <c r="T2" i="3"/>
  <c r="T4" i="3"/>
  <c r="T3" i="3"/>
  <c r="Q2" i="3"/>
  <c r="Q3" i="3"/>
  <c r="Q4" i="3"/>
  <c r="N3" i="3"/>
  <c r="N2" i="3"/>
  <c r="N4" i="3"/>
  <c r="K3" i="3"/>
  <c r="K2" i="3"/>
  <c r="K4" i="3"/>
  <c r="BD4" i="3"/>
  <c r="BD3" i="3"/>
  <c r="BD2" i="3"/>
  <c r="H4" i="3"/>
  <c r="H3" i="3"/>
  <c r="H2" i="3"/>
  <c r="BA4" i="3"/>
  <c r="BA3" i="3"/>
  <c r="BA2" i="3"/>
  <c r="E4" i="3"/>
  <c r="E3" i="3"/>
  <c r="E2" i="3"/>
  <c r="AC4" i="3"/>
  <c r="AC3" i="3"/>
  <c r="AC2" i="3"/>
  <c r="W2" i="3"/>
  <c r="W4" i="3"/>
  <c r="W3" i="3"/>
  <c r="AX4" i="3"/>
  <c r="AX3" i="3"/>
  <c r="AX2" i="3"/>
  <c r="AU4" i="3"/>
  <c r="AU3" i="3"/>
  <c r="AU2" i="3"/>
  <c r="AR4" i="3"/>
  <c r="AR3" i="3"/>
  <c r="AR2" i="3"/>
  <c r="AO4" i="3"/>
  <c r="AO3" i="3"/>
  <c r="AO2" i="3"/>
  <c r="AL4" i="3"/>
  <c r="AL3" i="3"/>
  <c r="AL2" i="3"/>
  <c r="AI4" i="3"/>
  <c r="AI3" i="3"/>
  <c r="AI2" i="3"/>
  <c r="AF4" i="3"/>
  <c r="AF3" i="3"/>
  <c r="AF2" i="3"/>
  <c r="H16" i="31"/>
  <c r="H3" i="31" s="1"/>
  <c r="E43" i="29"/>
  <c r="E16" i="29"/>
  <c r="E4" i="29" s="1"/>
  <c r="H30" i="29"/>
  <c r="H4" i="29" s="1"/>
  <c r="AF30" i="29"/>
  <c r="AF2" i="29" s="1"/>
  <c r="H40" i="29"/>
  <c r="K36" i="28"/>
  <c r="K4" i="28" s="1"/>
  <c r="E21" i="24"/>
  <c r="Q14" i="23"/>
  <c r="Q3" i="23" s="1"/>
  <c r="AF12" i="23"/>
  <c r="AF4" i="23" s="1"/>
  <c r="K15" i="3"/>
  <c r="Z8" i="21"/>
  <c r="AF31" i="29"/>
  <c r="AO2" i="37" l="1"/>
  <c r="AO3" i="37"/>
  <c r="AC4" i="37"/>
  <c r="Q4" i="37"/>
  <c r="AC3" i="37"/>
  <c r="W4" i="37"/>
  <c r="Q2" i="37"/>
  <c r="W2" i="37"/>
  <c r="AF3" i="37"/>
  <c r="T4" i="37"/>
  <c r="AF4" i="37"/>
  <c r="T3" i="37"/>
  <c r="B3" i="37" s="1"/>
  <c r="E2" i="36"/>
  <c r="Q2" i="36"/>
  <c r="AF4" i="36"/>
  <c r="T4" i="36"/>
  <c r="AF3" i="36"/>
  <c r="T2" i="36"/>
  <c r="AC3" i="36"/>
  <c r="W4" i="36"/>
  <c r="AC4" i="36"/>
  <c r="W2" i="36"/>
  <c r="Z4" i="36"/>
  <c r="Z3" i="36"/>
  <c r="B3" i="36" s="1"/>
  <c r="AI3" i="35"/>
  <c r="AU3" i="35"/>
  <c r="AL3" i="35"/>
  <c r="AL4" i="35"/>
  <c r="AC4" i="35"/>
  <c r="AC2" i="35"/>
  <c r="AO2" i="35"/>
  <c r="H2" i="35"/>
  <c r="AO3" i="35"/>
  <c r="H3" i="35"/>
  <c r="E2" i="35"/>
  <c r="K2" i="35"/>
  <c r="E3" i="35"/>
  <c r="K4" i="35"/>
  <c r="W4" i="34"/>
  <c r="W2" i="34"/>
  <c r="AO3" i="34"/>
  <c r="AO2" i="34"/>
  <c r="Z4" i="34"/>
  <c r="Z3" i="34"/>
  <c r="H2" i="34"/>
  <c r="H4" i="34"/>
  <c r="AL2" i="34"/>
  <c r="K2" i="34"/>
  <c r="AL4" i="34"/>
  <c r="K3" i="34"/>
  <c r="AF3" i="32"/>
  <c r="AF4" i="32"/>
  <c r="T2" i="32"/>
  <c r="AI2" i="32"/>
  <c r="AI3" i="32"/>
  <c r="Z2" i="32"/>
  <c r="AL2" i="32"/>
  <c r="Z3" i="32"/>
  <c r="AL3" i="32"/>
  <c r="N4" i="32"/>
  <c r="AC3" i="32"/>
  <c r="AO2" i="32"/>
  <c r="E2" i="32"/>
  <c r="N3" i="32"/>
  <c r="AO3" i="32"/>
  <c r="B3" i="31"/>
  <c r="H4" i="31"/>
  <c r="H2" i="31"/>
  <c r="B2" i="31" s="1"/>
  <c r="B3" i="30"/>
  <c r="B2" i="30"/>
  <c r="H3" i="29"/>
  <c r="E2" i="29"/>
  <c r="B2" i="29" s="1"/>
  <c r="E3" i="29"/>
  <c r="B3" i="29" s="1"/>
  <c r="AF4" i="29"/>
  <c r="K3" i="28"/>
  <c r="B3" i="28" s="1"/>
  <c r="K2" i="28"/>
  <c r="B2" i="28" s="1"/>
  <c r="B2" i="27"/>
  <c r="B3" i="27"/>
  <c r="B3" i="26"/>
  <c r="B2" i="26"/>
  <c r="B2" i="25"/>
  <c r="B3" i="25"/>
  <c r="B2" i="24"/>
  <c r="B3" i="23"/>
  <c r="Q4" i="23"/>
  <c r="B2" i="23"/>
  <c r="B2" i="22"/>
  <c r="B3" i="22"/>
  <c r="B3" i="21"/>
  <c r="B2" i="21"/>
  <c r="B3" i="3"/>
  <c r="B2" i="3"/>
  <c r="B2" i="37" l="1"/>
  <c r="B2" i="35"/>
  <c r="B2" i="36"/>
  <c r="B3" i="35"/>
  <c r="B2" i="34"/>
  <c r="B3" i="34"/>
  <c r="W4" i="32"/>
  <c r="W3" i="32"/>
  <c r="B3" i="32" s="1"/>
  <c r="W2" i="32"/>
  <c r="B2" i="32" s="1"/>
  <c r="AL2" i="33" l="1"/>
  <c r="AL3" i="33"/>
  <c r="AL4" i="33"/>
  <c r="N2" i="33"/>
  <c r="N3" i="33"/>
  <c r="N4" i="33"/>
  <c r="Q3" i="33"/>
  <c r="Q4" i="33"/>
  <c r="Q2" i="33"/>
  <c r="AI2" i="33"/>
  <c r="AI4" i="33"/>
  <c r="AI3" i="33"/>
  <c r="AR4" i="33"/>
  <c r="AR3" i="33"/>
  <c r="AR2" i="33"/>
  <c r="T2" i="33"/>
  <c r="T4" i="33"/>
  <c r="T3" i="33"/>
  <c r="H4" i="33"/>
  <c r="H2" i="33"/>
  <c r="H3" i="33"/>
  <c r="K3" i="33"/>
  <c r="K2" i="33"/>
  <c r="K4" i="33"/>
  <c r="AX2" i="33"/>
  <c r="AX4" i="33"/>
  <c r="AX3" i="33"/>
  <c r="Z3" i="33"/>
  <c r="Z2" i="33"/>
  <c r="Z4" i="33"/>
  <c r="AO4" i="33"/>
  <c r="AO2" i="33"/>
  <c r="AO3" i="33"/>
  <c r="E4" i="33"/>
  <c r="E2" i="33"/>
  <c r="E3" i="33"/>
  <c r="AF3" i="33"/>
  <c r="AF2" i="33"/>
  <c r="AF4" i="33"/>
  <c r="AC2" i="33"/>
  <c r="AC3" i="33"/>
  <c r="AC4" i="33"/>
  <c r="AU3" i="33"/>
  <c r="AU2" i="33"/>
  <c r="AU4" i="33"/>
  <c r="B2" i="33" l="1"/>
  <c r="B3" i="33"/>
</calcChain>
</file>

<file path=xl/sharedStrings.xml><?xml version="1.0" encoding="utf-8"?>
<sst xmlns="http://schemas.openxmlformats.org/spreadsheetml/2006/main" count="2770" uniqueCount="70">
  <si>
    <t>mass</t>
    <phoneticPr fontId="1" type="noConversion"/>
  </si>
  <si>
    <t>width</t>
  </si>
  <si>
    <t>length</t>
    <phoneticPr fontId="1" type="noConversion"/>
  </si>
  <si>
    <t>Average mass</t>
    <phoneticPr fontId="1" type="noConversion"/>
  </si>
  <si>
    <t>Total biomass</t>
    <phoneticPr fontId="1" type="noConversion"/>
  </si>
  <si>
    <t>Abundance</t>
    <phoneticPr fontId="1" type="noConversion"/>
  </si>
  <si>
    <t>Nygolaimus</t>
    <phoneticPr fontId="1" type="noConversion"/>
  </si>
  <si>
    <t>Anaplectus</t>
    <phoneticPr fontId="1" type="noConversion"/>
  </si>
  <si>
    <t xml:space="preserve"> Prismatolaimus</t>
    <phoneticPr fontId="1" type="noConversion"/>
  </si>
  <si>
    <t>Coslenchus</t>
    <phoneticPr fontId="1" type="noConversion"/>
  </si>
  <si>
    <t>Heterodera</t>
    <phoneticPr fontId="1" type="noConversion"/>
  </si>
  <si>
    <t>Tylenchus</t>
    <phoneticPr fontId="1" type="noConversion"/>
  </si>
  <si>
    <t>Cephalobus</t>
    <phoneticPr fontId="1" type="noConversion"/>
  </si>
  <si>
    <t>Aporcelaimus</t>
    <phoneticPr fontId="1" type="noConversion"/>
  </si>
  <si>
    <t>Rhabditophanes</t>
    <phoneticPr fontId="1" type="noConversion"/>
  </si>
  <si>
    <t>Acrobeloides</t>
    <phoneticPr fontId="1" type="noConversion"/>
  </si>
  <si>
    <t>Rhabditis</t>
    <phoneticPr fontId="1" type="noConversion"/>
  </si>
  <si>
    <t>Meloidogyne</t>
    <phoneticPr fontId="1" type="noConversion"/>
  </si>
  <si>
    <t>Mononchus</t>
    <phoneticPr fontId="1" type="noConversion"/>
  </si>
  <si>
    <t>Caenorhabditis</t>
    <phoneticPr fontId="1" type="noConversion"/>
  </si>
  <si>
    <t>Prodorylaimus</t>
    <phoneticPr fontId="1" type="noConversion"/>
  </si>
  <si>
    <t>Aphelenchoides</t>
    <phoneticPr fontId="1" type="noConversion"/>
  </si>
  <si>
    <t>Chiloplacus</t>
    <phoneticPr fontId="1" type="noConversion"/>
  </si>
  <si>
    <t>Aphelenchus</t>
    <phoneticPr fontId="1" type="noConversion"/>
  </si>
  <si>
    <t>Prodorylaimus</t>
  </si>
  <si>
    <t>Boleodorus</t>
    <phoneticPr fontId="1" type="noConversion"/>
  </si>
  <si>
    <t>Acrobeles</t>
    <phoneticPr fontId="1" type="noConversion"/>
  </si>
  <si>
    <t>Eudorylaimus</t>
    <phoneticPr fontId="1" type="noConversion"/>
  </si>
  <si>
    <t>Tylenchorhynchus</t>
    <phoneticPr fontId="1" type="noConversion"/>
  </si>
  <si>
    <t>Monhystera</t>
    <phoneticPr fontId="1" type="noConversion"/>
  </si>
  <si>
    <t>Tylencholaimus</t>
    <phoneticPr fontId="1" type="noConversion"/>
  </si>
  <si>
    <t>Pratylenchus</t>
    <phoneticPr fontId="1" type="noConversion"/>
  </si>
  <si>
    <t>Mesodorylaimus</t>
    <phoneticPr fontId="1" type="noConversion"/>
  </si>
  <si>
    <t>Labronema</t>
    <phoneticPr fontId="1" type="noConversion"/>
  </si>
  <si>
    <t>Panagrellus</t>
    <phoneticPr fontId="1" type="noConversion"/>
  </si>
  <si>
    <t>PN-1</t>
    <phoneticPr fontId="1" type="noConversion"/>
  </si>
  <si>
    <t>PN-2</t>
    <phoneticPr fontId="1" type="noConversion"/>
  </si>
  <si>
    <t>PN-3</t>
    <phoneticPr fontId="1" type="noConversion"/>
  </si>
  <si>
    <t>length</t>
  </si>
  <si>
    <t>mass</t>
  </si>
  <si>
    <t>Leptonchus</t>
    <phoneticPr fontId="1" type="noConversion"/>
  </si>
  <si>
    <t>Plectus</t>
    <phoneticPr fontId="1" type="noConversion"/>
  </si>
  <si>
    <t>Alaimus</t>
    <phoneticPr fontId="1" type="noConversion"/>
  </si>
  <si>
    <t>Psilenchus</t>
    <phoneticPr fontId="1" type="noConversion"/>
  </si>
  <si>
    <t>Aglenchus</t>
    <phoneticPr fontId="1" type="noConversion"/>
  </si>
  <si>
    <t>PNV-1</t>
    <phoneticPr fontId="1" type="noConversion"/>
  </si>
  <si>
    <t>Eucephalobus</t>
    <phoneticPr fontId="1" type="noConversion"/>
  </si>
  <si>
    <t>PNV-2</t>
    <phoneticPr fontId="1" type="noConversion"/>
  </si>
  <si>
    <t>Filenchus</t>
    <phoneticPr fontId="1" type="noConversion"/>
  </si>
  <si>
    <t>Rotylenchus</t>
    <phoneticPr fontId="1" type="noConversion"/>
  </si>
  <si>
    <t>Criconemoides</t>
    <phoneticPr fontId="1" type="noConversion"/>
  </si>
  <si>
    <t>PNV-3</t>
    <phoneticPr fontId="1" type="noConversion"/>
  </si>
  <si>
    <t>PS-1</t>
    <phoneticPr fontId="1" type="noConversion"/>
  </si>
  <si>
    <t>Wilsonema</t>
    <phoneticPr fontId="1" type="noConversion"/>
  </si>
  <si>
    <t>Hirschmanniella</t>
    <phoneticPr fontId="1" type="noConversion"/>
  </si>
  <si>
    <t>SP-1</t>
    <phoneticPr fontId="1" type="noConversion"/>
  </si>
  <si>
    <t>SP-2</t>
    <phoneticPr fontId="1" type="noConversion"/>
  </si>
  <si>
    <t>SP-3</t>
    <phoneticPr fontId="1" type="noConversion"/>
  </si>
  <si>
    <t>PS-3</t>
    <phoneticPr fontId="1" type="noConversion"/>
  </si>
  <si>
    <t>PS-2</t>
    <phoneticPr fontId="1" type="noConversion"/>
  </si>
  <si>
    <t>SPV-1</t>
    <phoneticPr fontId="1" type="noConversion"/>
  </si>
  <si>
    <t>SPV-2</t>
    <phoneticPr fontId="1" type="noConversion"/>
  </si>
  <si>
    <t>SPV-3</t>
    <phoneticPr fontId="1" type="noConversion"/>
  </si>
  <si>
    <t>FA-1</t>
    <phoneticPr fontId="1" type="noConversion"/>
  </si>
  <si>
    <t>FA-2</t>
    <phoneticPr fontId="1" type="noConversion"/>
  </si>
  <si>
    <t>FA-3</t>
    <phoneticPr fontId="1" type="noConversion"/>
  </si>
  <si>
    <t>Helicotylenchus</t>
    <phoneticPr fontId="1" type="noConversion"/>
  </si>
  <si>
    <t>Tripyla</t>
    <phoneticPr fontId="1" type="noConversion"/>
  </si>
  <si>
    <t>Diphtherophora</t>
    <phoneticPr fontId="1" type="noConversion"/>
  </si>
  <si>
    <t>Tobrilus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</si>
</sst>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176" fontId="2" fillId="0" borderId="0" xfId="1" applyNumberFormat="1">
      <alignment vertical="center"/>
    </xf>
    <xf numFmtId="0" fontId="2" fillId="0" borderId="0" xfId="1" applyAlignment="1">
      <alignment horizontal="center" vertical="center"/>
    </xf>
    <xf numFmtId="0" fontId="3" fillId="0" borderId="0" xfId="1" applyFont="1">
      <alignment vertical="center"/>
    </xf>
    <xf numFmtId="0" fontId="2" fillId="0" borderId="0" xfId="1" applyAlignment="1"/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" fillId="0" borderId="0" xfId="1" applyFill="1">
      <alignment vertical="center"/>
    </xf>
    <xf numFmtId="176" fontId="2" fillId="0" borderId="0" xfId="1" applyNumberFormat="1" applyFill="1">
      <alignment vertical="center"/>
    </xf>
    <xf numFmtId="0" fontId="2" fillId="0" borderId="0" xfId="1" applyFill="1" applyAlignment="1"/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3" fillId="0" borderId="0" xfId="1" applyFont="1" applyFill="1">
      <alignment vertical="center"/>
    </xf>
    <xf numFmtId="0" fontId="2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ill="1" applyAlignment="1">
      <alignment horizontal="center" vertical="center"/>
    </xf>
  </cellXfs>
  <cellStyles count="2">
    <cellStyle name="常规" xfId="0" builtinId="0"/>
    <cellStyle name="常规 2" xfId="1" xr:uid="{58788A16-78C4-47BA-BE42-CE60D70081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45B4-0B1A-4F12-8181-F1D5B56E10DA}">
  <dimension ref="A1:BD78"/>
  <sheetViews>
    <sheetView tabSelected="1" zoomScaleNormal="100" workbookViewId="0">
      <selection activeCell="B7" sqref="B7"/>
    </sheetView>
  </sheetViews>
  <sheetFormatPr defaultColWidth="9" defaultRowHeight="14.25" x14ac:dyDescent="0.2"/>
  <cols>
    <col min="1" max="1" width="14.875" style="1" customWidth="1"/>
    <col min="2" max="2" width="9" style="1"/>
    <col min="3" max="3" width="9.5" style="1" customWidth="1"/>
    <col min="4" max="4" width="9" style="1" customWidth="1"/>
    <col min="5" max="5" width="9" style="1"/>
    <col min="6" max="6" width="9.5" style="1" customWidth="1"/>
    <col min="7" max="7" width="9" style="1" customWidth="1"/>
    <col min="8" max="8" width="9" style="1"/>
    <col min="9" max="9" width="9.5" style="1" customWidth="1"/>
    <col min="10" max="10" width="9" style="1" customWidth="1"/>
    <col min="11" max="11" width="9" style="1"/>
    <col min="12" max="12" width="10.5" style="1" customWidth="1"/>
    <col min="13" max="13" width="9" style="1" customWidth="1"/>
    <col min="14" max="14" width="9" style="1"/>
    <col min="15" max="15" width="9.5" style="1" customWidth="1"/>
    <col min="16" max="16" width="9" style="1" customWidth="1"/>
    <col min="17" max="17" width="9" style="1"/>
    <col min="18" max="18" width="9.5" style="1" customWidth="1"/>
    <col min="19" max="19" width="9" style="1" customWidth="1"/>
    <col min="20" max="20" width="9" style="1"/>
    <col min="21" max="21" width="9.5" style="1" customWidth="1"/>
    <col min="22" max="22" width="9" style="1" customWidth="1"/>
    <col min="23" max="23" width="9" style="1"/>
    <col min="24" max="24" width="9.5" style="1" customWidth="1"/>
    <col min="25" max="25" width="9" style="1" customWidth="1"/>
    <col min="26" max="26" width="9" style="1"/>
    <col min="27" max="27" width="9.5" style="1" customWidth="1"/>
    <col min="28" max="28" width="9" style="1" customWidth="1"/>
    <col min="29" max="29" width="9" style="1"/>
    <col min="30" max="30" width="9.5" style="1" customWidth="1"/>
    <col min="31" max="31" width="9" style="1" customWidth="1"/>
    <col min="32" max="32" width="9" style="1"/>
    <col min="33" max="33" width="10.5" style="1" customWidth="1"/>
    <col min="34" max="34" width="9.5" style="1" customWidth="1"/>
    <col min="35" max="35" width="9" style="1"/>
    <col min="36" max="36" width="9.5" style="1" customWidth="1"/>
    <col min="37" max="37" width="9" style="1" customWidth="1"/>
    <col min="38" max="38" width="9" style="1"/>
    <col min="39" max="39" width="9.5" style="1" customWidth="1"/>
    <col min="40" max="40" width="9" style="1" customWidth="1"/>
    <col min="41" max="41" width="9" style="1"/>
    <col min="42" max="42" width="9.5" style="1" customWidth="1"/>
    <col min="43" max="43" width="9" style="1" customWidth="1"/>
    <col min="44" max="44" width="9" style="1"/>
    <col min="45" max="45" width="9.5" style="1" customWidth="1"/>
    <col min="46" max="46" width="9" style="1" customWidth="1"/>
    <col min="47" max="47" width="9" style="1"/>
    <col min="48" max="48" width="9.5" style="1" customWidth="1"/>
    <col min="49" max="49" width="9" style="1" customWidth="1"/>
    <col min="50" max="50" width="9" style="1"/>
    <col min="51" max="51" width="9.5" style="1" customWidth="1"/>
    <col min="52" max="52" width="11.5" style="1" customWidth="1"/>
    <col min="53" max="53" width="9" style="1"/>
    <col min="54" max="54" width="9.5" style="1" customWidth="1"/>
    <col min="55" max="55" width="9" style="1" customWidth="1"/>
    <col min="56" max="16384" width="9" style="1"/>
  </cols>
  <sheetData>
    <row r="1" spans="1:56" s="5" customFormat="1" x14ac:dyDescent="0.2">
      <c r="A1" s="20" t="s">
        <v>35</v>
      </c>
      <c r="B1" s="20"/>
      <c r="C1" s="18" t="s">
        <v>23</v>
      </c>
      <c r="D1" s="18"/>
      <c r="E1" s="18"/>
      <c r="F1" s="18" t="s">
        <v>22</v>
      </c>
      <c r="G1" s="18"/>
      <c r="H1" s="18"/>
      <c r="I1" s="18" t="s">
        <v>21</v>
      </c>
      <c r="J1" s="18"/>
      <c r="K1" s="18"/>
      <c r="L1" s="18" t="s">
        <v>20</v>
      </c>
      <c r="M1" s="18"/>
      <c r="N1" s="18"/>
      <c r="O1" s="18" t="s">
        <v>19</v>
      </c>
      <c r="P1" s="18"/>
      <c r="Q1" s="18"/>
      <c r="R1" s="18" t="s">
        <v>18</v>
      </c>
      <c r="S1" s="18"/>
      <c r="T1" s="18"/>
      <c r="U1" s="18" t="s">
        <v>17</v>
      </c>
      <c r="V1" s="18"/>
      <c r="W1" s="18"/>
      <c r="X1" s="18" t="s">
        <v>16</v>
      </c>
      <c r="Y1" s="18"/>
      <c r="Z1" s="18"/>
      <c r="AA1" s="18" t="s">
        <v>15</v>
      </c>
      <c r="AB1" s="18"/>
      <c r="AC1" s="18"/>
      <c r="AD1" s="18" t="s">
        <v>14</v>
      </c>
      <c r="AE1" s="18"/>
      <c r="AF1" s="18"/>
      <c r="AG1" s="18" t="s">
        <v>13</v>
      </c>
      <c r="AH1" s="18"/>
      <c r="AI1" s="18"/>
      <c r="AJ1" s="18" t="s">
        <v>12</v>
      </c>
      <c r="AK1" s="18"/>
      <c r="AL1" s="18"/>
      <c r="AM1" s="18" t="s">
        <v>11</v>
      </c>
      <c r="AN1" s="18"/>
      <c r="AO1" s="18"/>
      <c r="AP1" s="18" t="s">
        <v>10</v>
      </c>
      <c r="AQ1" s="18"/>
      <c r="AR1" s="18"/>
      <c r="AS1" s="18" t="s">
        <v>9</v>
      </c>
      <c r="AT1" s="18"/>
      <c r="AU1" s="18"/>
      <c r="AV1" s="18" t="s">
        <v>8</v>
      </c>
      <c r="AW1" s="18"/>
      <c r="AX1" s="18"/>
      <c r="AY1" s="18" t="s">
        <v>7</v>
      </c>
      <c r="AZ1" s="18"/>
      <c r="BA1" s="18"/>
      <c r="BB1" s="18" t="s">
        <v>6</v>
      </c>
      <c r="BC1" s="18"/>
      <c r="BD1" s="18"/>
    </row>
    <row r="2" spans="1:56" x14ac:dyDescent="0.2">
      <c r="A2" s="1" t="s">
        <v>5</v>
      </c>
      <c r="B2" s="1">
        <f>SUM(C2:WN2)</f>
        <v>156</v>
      </c>
      <c r="C2" s="19" t="s">
        <v>5</v>
      </c>
      <c r="D2" s="19"/>
      <c r="E2" s="8">
        <f>COUNT(E6:E300)</f>
        <v>9</v>
      </c>
      <c r="F2" s="19" t="s">
        <v>5</v>
      </c>
      <c r="G2" s="19"/>
      <c r="H2" s="8">
        <f>COUNT(H6:H300)</f>
        <v>73</v>
      </c>
      <c r="I2" s="19" t="s">
        <v>5</v>
      </c>
      <c r="J2" s="19"/>
      <c r="K2" s="8">
        <f>COUNT(K6:K300)</f>
        <v>14</v>
      </c>
      <c r="L2" s="19" t="s">
        <v>5</v>
      </c>
      <c r="M2" s="19"/>
      <c r="N2" s="8">
        <f>COUNT(N6:N300)</f>
        <v>5</v>
      </c>
      <c r="O2" s="19" t="s">
        <v>5</v>
      </c>
      <c r="P2" s="19"/>
      <c r="Q2" s="8">
        <f>COUNT(Q6:Q300)</f>
        <v>16</v>
      </c>
      <c r="R2" s="19" t="s">
        <v>5</v>
      </c>
      <c r="S2" s="19"/>
      <c r="T2" s="8">
        <f>COUNT(T6:T300)</f>
        <v>3</v>
      </c>
      <c r="U2" s="19" t="s">
        <v>5</v>
      </c>
      <c r="V2" s="19"/>
      <c r="W2" s="8">
        <f>COUNT(W6:W300)</f>
        <v>3</v>
      </c>
      <c r="X2" s="19" t="s">
        <v>5</v>
      </c>
      <c r="Y2" s="19"/>
      <c r="Z2" s="8">
        <f>COUNT(Z6:Z300)</f>
        <v>6</v>
      </c>
      <c r="AA2" s="19" t="s">
        <v>5</v>
      </c>
      <c r="AB2" s="19"/>
      <c r="AC2" s="8">
        <f>COUNT(AC6:AC300)</f>
        <v>2</v>
      </c>
      <c r="AD2" s="19" t="s">
        <v>5</v>
      </c>
      <c r="AE2" s="19"/>
      <c r="AF2" s="8">
        <f>COUNT(AF6:AF300)</f>
        <v>2</v>
      </c>
      <c r="AG2" s="19" t="s">
        <v>5</v>
      </c>
      <c r="AH2" s="19"/>
      <c r="AI2" s="8">
        <f>COUNT(AI6:AI300)</f>
        <v>2</v>
      </c>
      <c r="AJ2" s="19" t="s">
        <v>5</v>
      </c>
      <c r="AK2" s="19"/>
      <c r="AL2" s="8">
        <f>COUNT(AL6:AL300)</f>
        <v>6</v>
      </c>
      <c r="AM2" s="19" t="s">
        <v>5</v>
      </c>
      <c r="AN2" s="19"/>
      <c r="AO2" s="8">
        <f>COUNT(AO6:AO300)</f>
        <v>1</v>
      </c>
      <c r="AP2" s="19" t="s">
        <v>5</v>
      </c>
      <c r="AQ2" s="19"/>
      <c r="AR2" s="8">
        <f>COUNT(AR6:AR300)</f>
        <v>7</v>
      </c>
      <c r="AS2" s="19" t="s">
        <v>5</v>
      </c>
      <c r="AT2" s="19"/>
      <c r="AU2" s="8">
        <f>COUNT(AU6:AU300)</f>
        <v>4</v>
      </c>
      <c r="AV2" s="19" t="s">
        <v>5</v>
      </c>
      <c r="AW2" s="19"/>
      <c r="AX2" s="8">
        <f>COUNT(AX6:AX300)</f>
        <v>1</v>
      </c>
      <c r="AY2" s="19" t="s">
        <v>5</v>
      </c>
      <c r="AZ2" s="19"/>
      <c r="BA2" s="8">
        <f>COUNT(BA6:BA300)</f>
        <v>1</v>
      </c>
      <c r="BB2" s="19" t="s">
        <v>5</v>
      </c>
      <c r="BC2" s="19"/>
      <c r="BD2" s="8">
        <f>COUNT(BD6:BD300)</f>
        <v>1</v>
      </c>
    </row>
    <row r="3" spans="1:56" x14ac:dyDescent="0.2">
      <c r="A3" s="1" t="s">
        <v>4</v>
      </c>
      <c r="B3" s="1">
        <f>SUM(C3:WN3)</f>
        <v>17.740535380001518</v>
      </c>
      <c r="C3" s="19" t="s">
        <v>4</v>
      </c>
      <c r="D3" s="19"/>
      <c r="E3" s="8">
        <f>SUM(E6:E300)</f>
        <v>0.46011989504999995</v>
      </c>
      <c r="F3" s="19" t="s">
        <v>4</v>
      </c>
      <c r="G3" s="19"/>
      <c r="H3" s="8">
        <f>SUM(H6:H300)</f>
        <v>4.4928138124093762</v>
      </c>
      <c r="I3" s="19" t="s">
        <v>4</v>
      </c>
      <c r="J3" s="19"/>
      <c r="K3" s="8">
        <f>SUM(K6:K300)</f>
        <v>1.0065653300390625</v>
      </c>
      <c r="L3" s="19" t="s">
        <v>4</v>
      </c>
      <c r="M3" s="19"/>
      <c r="N3" s="8">
        <f>SUM(N6:N300)</f>
        <v>1.6501149169287499</v>
      </c>
      <c r="O3" s="19" t="s">
        <v>4</v>
      </c>
      <c r="P3" s="19"/>
      <c r="Q3" s="8">
        <f>SUM(Q6:Q300)</f>
        <v>2.3476056674880752</v>
      </c>
      <c r="R3" s="19" t="s">
        <v>4</v>
      </c>
      <c r="S3" s="19"/>
      <c r="T3" s="8">
        <f>SUM(T6:T300)</f>
        <v>0.9305389899981249</v>
      </c>
      <c r="U3" s="19" t="s">
        <v>4</v>
      </c>
      <c r="V3" s="19"/>
      <c r="W3" s="8">
        <f>SUM(W6:W300)</f>
        <v>0.124497117409375</v>
      </c>
      <c r="X3" s="19" t="s">
        <v>4</v>
      </c>
      <c r="Y3" s="19"/>
      <c r="Z3" s="8">
        <f>SUM(Z6:Z300)</f>
        <v>1.44861033195375</v>
      </c>
      <c r="AA3" s="19" t="s">
        <v>4</v>
      </c>
      <c r="AB3" s="19"/>
      <c r="AC3" s="8">
        <f>SUM(AC6:AC300)</f>
        <v>9.9557913288749994E-2</v>
      </c>
      <c r="AD3" s="19" t="s">
        <v>4</v>
      </c>
      <c r="AE3" s="19"/>
      <c r="AF3" s="8">
        <f>SUM(AF6:AF300)</f>
        <v>0.49507649093625</v>
      </c>
      <c r="AG3" s="19" t="s">
        <v>4</v>
      </c>
      <c r="AH3" s="19"/>
      <c r="AI3" s="8">
        <f>SUM(AI6:AI300)</f>
        <v>2.0069365726406247</v>
      </c>
      <c r="AJ3" s="19" t="s">
        <v>4</v>
      </c>
      <c r="AK3" s="19"/>
      <c r="AL3" s="8">
        <f>SUM(AL6:AL300)</f>
        <v>0.62696954443624997</v>
      </c>
      <c r="AM3" s="19" t="s">
        <v>4</v>
      </c>
      <c r="AN3" s="19"/>
      <c r="AO3" s="8">
        <f>SUM(AO6:AO300)</f>
        <v>0.128738823634375</v>
      </c>
      <c r="AP3" s="19" t="s">
        <v>4</v>
      </c>
      <c r="AQ3" s="19"/>
      <c r="AR3" s="8">
        <f>SUM(AR6:AR300)</f>
        <v>0.41360036104000003</v>
      </c>
      <c r="AS3" s="19" t="s">
        <v>4</v>
      </c>
      <c r="AT3" s="19"/>
      <c r="AU3" s="8">
        <f>SUM(AU6:AU300)</f>
        <v>1.2453854021625002</v>
      </c>
      <c r="AV3" s="19" t="s">
        <v>4</v>
      </c>
      <c r="AW3" s="19"/>
      <c r="AX3" s="8">
        <f>SUM(AX6:AX300)</f>
        <v>4.5043813930000003E-2</v>
      </c>
      <c r="AY3" s="19" t="s">
        <v>4</v>
      </c>
      <c r="AZ3" s="19"/>
      <c r="BA3" s="8">
        <f>SUM(BA6:BA300)</f>
        <v>4.1202805656249994E-2</v>
      </c>
      <c r="BB3" s="19" t="s">
        <v>4</v>
      </c>
      <c r="BC3" s="19"/>
      <c r="BD3" s="8">
        <f>SUM(BD6:BD300)</f>
        <v>0.17715759100000003</v>
      </c>
    </row>
    <row r="4" spans="1:56" x14ac:dyDescent="0.2">
      <c r="C4" s="19" t="s">
        <v>3</v>
      </c>
      <c r="D4" s="19"/>
      <c r="E4" s="8">
        <f>AVERAGE(E6:E300)</f>
        <v>5.1124432783333326E-2</v>
      </c>
      <c r="F4" s="19" t="s">
        <v>3</v>
      </c>
      <c r="G4" s="19"/>
      <c r="H4" s="8">
        <f>AVERAGE(H6:H300)</f>
        <v>6.15453946905394E-2</v>
      </c>
      <c r="I4" s="19" t="s">
        <v>3</v>
      </c>
      <c r="J4" s="19"/>
      <c r="K4" s="8">
        <f>AVERAGE(K6:K300)</f>
        <v>7.1897523574218747E-2</v>
      </c>
      <c r="L4" s="19" t="s">
        <v>3</v>
      </c>
      <c r="M4" s="19"/>
      <c r="N4" s="8">
        <f>AVERAGE(N6:N300)</f>
        <v>0.33002298338574998</v>
      </c>
      <c r="O4" s="19" t="s">
        <v>3</v>
      </c>
      <c r="P4" s="19"/>
      <c r="Q4" s="8">
        <f>AVERAGE(Q6:Q300)</f>
        <v>0.1467253542180047</v>
      </c>
      <c r="R4" s="19" t="s">
        <v>3</v>
      </c>
      <c r="S4" s="19"/>
      <c r="T4" s="8">
        <f>AVERAGE(T6:T300)</f>
        <v>0.3101796633327083</v>
      </c>
      <c r="U4" s="19" t="s">
        <v>3</v>
      </c>
      <c r="V4" s="19"/>
      <c r="W4" s="8">
        <f>AVERAGE(W6:W300)</f>
        <v>4.1499039136458332E-2</v>
      </c>
      <c r="X4" s="19" t="s">
        <v>3</v>
      </c>
      <c r="Y4" s="19"/>
      <c r="Z4" s="8">
        <f>AVERAGE(Z6:Z300)</f>
        <v>0.24143505532562501</v>
      </c>
      <c r="AA4" s="19" t="s">
        <v>3</v>
      </c>
      <c r="AB4" s="19"/>
      <c r="AC4" s="8">
        <f>AVERAGE(AC6:AC300)</f>
        <v>4.9778956644374997E-2</v>
      </c>
      <c r="AD4" s="19" t="s">
        <v>3</v>
      </c>
      <c r="AE4" s="19"/>
      <c r="AF4" s="8">
        <f>AVERAGE(AF6:AF300)</f>
        <v>0.247538245468125</v>
      </c>
      <c r="AG4" s="19" t="s">
        <v>3</v>
      </c>
      <c r="AH4" s="19"/>
      <c r="AI4" s="8">
        <f>AVERAGE(AI6:AI300)</f>
        <v>1.0034682863203124</v>
      </c>
      <c r="AJ4" s="19" t="s">
        <v>3</v>
      </c>
      <c r="AK4" s="19"/>
      <c r="AL4" s="8">
        <f>AVERAGE(AL6:AL300)</f>
        <v>0.10449492407270833</v>
      </c>
      <c r="AM4" s="19" t="s">
        <v>3</v>
      </c>
      <c r="AN4" s="19"/>
      <c r="AO4" s="8">
        <f>AVERAGE(AO6:AO300)</f>
        <v>0.128738823634375</v>
      </c>
      <c r="AP4" s="19" t="s">
        <v>3</v>
      </c>
      <c r="AQ4" s="19"/>
      <c r="AR4" s="8">
        <f>AVERAGE(AR6:AR300)</f>
        <v>5.9085765862857145E-2</v>
      </c>
      <c r="AS4" s="19" t="s">
        <v>3</v>
      </c>
      <c r="AT4" s="19"/>
      <c r="AU4" s="8">
        <f>AVERAGE(AU6:AU300)</f>
        <v>0.31134635054062504</v>
      </c>
      <c r="AV4" s="19" t="s">
        <v>3</v>
      </c>
      <c r="AW4" s="19"/>
      <c r="AX4" s="8">
        <f>AVERAGE(AX6:AX300)</f>
        <v>4.5043813930000003E-2</v>
      </c>
      <c r="AY4" s="19" t="s">
        <v>3</v>
      </c>
      <c r="AZ4" s="19"/>
      <c r="BA4" s="8">
        <f>AVERAGE(BA6:BA300)</f>
        <v>4.1202805656249994E-2</v>
      </c>
      <c r="BB4" s="19" t="s">
        <v>3</v>
      </c>
      <c r="BC4" s="19"/>
      <c r="BD4" s="8">
        <f>AVERAGE(BD6:BD300)</f>
        <v>0.17715759100000003</v>
      </c>
    </row>
    <row r="5" spans="1:56" x14ac:dyDescent="0.2"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</row>
    <row r="6" spans="1:56" x14ac:dyDescent="0.2">
      <c r="C6" s="3">
        <v>437.83</v>
      </c>
      <c r="D6" s="3">
        <v>13.84</v>
      </c>
      <c r="E6" s="2">
        <f t="shared" ref="E6:E14" si="0">(C6*D6*D6)/1600000</f>
        <v>5.2415256279999996E-2</v>
      </c>
      <c r="F6" s="3">
        <v>265.77</v>
      </c>
      <c r="G6" s="3">
        <v>16.73</v>
      </c>
      <c r="H6" s="2">
        <f t="shared" ref="H6:H37" si="1">(F6*G6*G6)/1600000</f>
        <v>4.6491960020625001E-2</v>
      </c>
      <c r="I6" s="3">
        <v>435.65</v>
      </c>
      <c r="J6" s="3">
        <v>14.31</v>
      </c>
      <c r="K6" s="2">
        <f t="shared" ref="K6:K19" si="2">(I6*J6*J6)/1600000</f>
        <v>5.5756692478125008E-2</v>
      </c>
      <c r="L6" s="3">
        <v>881.45</v>
      </c>
      <c r="M6" s="3">
        <v>29.49</v>
      </c>
      <c r="N6" s="2">
        <f>(L6*M6*M6)/1600000</f>
        <v>0.479101184465625</v>
      </c>
      <c r="O6" s="3">
        <v>584.09</v>
      </c>
      <c r="P6" s="3">
        <v>26.53</v>
      </c>
      <c r="Q6" s="2">
        <f t="shared" ref="Q6:Q21" si="3">(O6*P6*P6)/1600000</f>
        <v>0.25694151955062505</v>
      </c>
      <c r="R6" s="3">
        <v>481.03</v>
      </c>
      <c r="S6" s="3">
        <v>22.55</v>
      </c>
      <c r="T6" s="2">
        <f>(R6*S6*S6)/1600000</f>
        <v>0.15287809848437497</v>
      </c>
      <c r="U6" s="3">
        <v>253.27</v>
      </c>
      <c r="V6" s="3">
        <v>13.98</v>
      </c>
      <c r="W6" s="2">
        <f>(U6*V6*V6)/1600000</f>
        <v>3.0936993817500001E-2</v>
      </c>
      <c r="X6" s="3">
        <v>314.44</v>
      </c>
      <c r="Y6" s="3">
        <v>15.87</v>
      </c>
      <c r="Z6" s="2">
        <f t="shared" ref="Z6:Z11" si="4">(X6*Y6*Y6)/1600000</f>
        <v>4.9496177272499997E-2</v>
      </c>
      <c r="AA6" s="3">
        <v>345.42</v>
      </c>
      <c r="AB6" s="3">
        <v>18.13</v>
      </c>
      <c r="AC6" s="2">
        <f>(AA6*AB6*AB6)/1600000</f>
        <v>7.0961551998749997E-2</v>
      </c>
      <c r="AD6" s="3">
        <v>569.38</v>
      </c>
      <c r="AE6" s="3">
        <v>29.43</v>
      </c>
      <c r="AF6" s="2">
        <f>(AD6*AE6*AE6)/1600000</f>
        <v>0.30822137222625001</v>
      </c>
      <c r="AG6" s="3">
        <v>1204.5999999999999</v>
      </c>
      <c r="AH6" s="3">
        <v>43.56</v>
      </c>
      <c r="AI6" s="2">
        <f>(AG6*AH6*AH6)/1600000</f>
        <v>1.4285604366</v>
      </c>
      <c r="AJ6" s="3">
        <v>355</v>
      </c>
      <c r="AK6" s="3">
        <v>13.96</v>
      </c>
      <c r="AL6" s="2">
        <f t="shared" ref="AL6:AL11" si="5">(AJ6*AK6*AK6)/1600000</f>
        <v>4.3239355000000007E-2</v>
      </c>
      <c r="AM6" s="3">
        <v>461.35</v>
      </c>
      <c r="AN6" s="3">
        <v>21.13</v>
      </c>
      <c r="AO6" s="2">
        <f>(AM6*AN6*AN6)/1600000</f>
        <v>0.128738823634375</v>
      </c>
      <c r="AP6" s="3">
        <v>419.23</v>
      </c>
      <c r="AQ6" s="3">
        <v>18.32</v>
      </c>
      <c r="AR6" s="2">
        <f t="shared" ref="AR6:AR12" si="6">(AP6*AQ6*AQ6)/1600000</f>
        <v>8.7939361720000012E-2</v>
      </c>
      <c r="AS6" s="3">
        <v>514.15</v>
      </c>
      <c r="AT6" s="3">
        <v>21.46</v>
      </c>
      <c r="AU6" s="2">
        <f>(AS6*AT6*AT6)/1600000</f>
        <v>0.14798895133750001</v>
      </c>
      <c r="AV6" s="3">
        <v>411.13</v>
      </c>
      <c r="AW6" s="3">
        <v>13.24</v>
      </c>
      <c r="AX6" s="2">
        <f>(AV6*AW6*AW6)/1600000</f>
        <v>4.5043813930000003E-2</v>
      </c>
      <c r="AY6" s="3">
        <v>364.42</v>
      </c>
      <c r="AZ6" s="3">
        <v>13.45</v>
      </c>
      <c r="BA6" s="2">
        <f>(AY6*AZ6*AZ6)/1600000</f>
        <v>4.1202805656249994E-2</v>
      </c>
      <c r="BB6" s="3">
        <v>596.44000000000005</v>
      </c>
      <c r="BC6" s="3">
        <v>21.8</v>
      </c>
      <c r="BD6" s="2">
        <f>(BB6*BC6*BC6)/1600000</f>
        <v>0.17715759100000003</v>
      </c>
    </row>
    <row r="7" spans="1:56" x14ac:dyDescent="0.2">
      <c r="C7" s="3">
        <v>405.73</v>
      </c>
      <c r="D7" s="3">
        <v>12.43</v>
      </c>
      <c r="E7" s="2">
        <f t="shared" si="0"/>
        <v>3.9179545673124996E-2</v>
      </c>
      <c r="F7" s="3">
        <v>227.76</v>
      </c>
      <c r="G7" s="3">
        <v>15.14</v>
      </c>
      <c r="H7" s="2">
        <f t="shared" si="1"/>
        <v>3.2629410060000003E-2</v>
      </c>
      <c r="I7" s="3">
        <v>241.04</v>
      </c>
      <c r="J7" s="3">
        <v>11.62</v>
      </c>
      <c r="K7" s="2">
        <f t="shared" si="2"/>
        <v>2.0341425859999998E-2</v>
      </c>
      <c r="L7" s="3">
        <v>524.54</v>
      </c>
      <c r="M7" s="3">
        <v>20.58</v>
      </c>
      <c r="N7" s="2">
        <f>(L7*M7*M7)/1600000</f>
        <v>0.13885111453499996</v>
      </c>
      <c r="O7" s="3">
        <v>754.06</v>
      </c>
      <c r="P7" s="3">
        <v>22.91</v>
      </c>
      <c r="Q7" s="2">
        <f t="shared" si="3"/>
        <v>0.24736377467874998</v>
      </c>
      <c r="R7" s="3">
        <v>801.98</v>
      </c>
      <c r="S7" s="3">
        <v>34.409999999999997</v>
      </c>
      <c r="T7" s="2">
        <f>(R7*S7*S7)/1600000</f>
        <v>0.5934893095237499</v>
      </c>
      <c r="U7" s="3">
        <v>402.77</v>
      </c>
      <c r="V7" s="3">
        <v>15.47</v>
      </c>
      <c r="W7" s="2">
        <f>(U7*V7*V7)/1600000</f>
        <v>6.0244549308124999E-2</v>
      </c>
      <c r="X7" s="3">
        <v>531.78</v>
      </c>
      <c r="Y7" s="3">
        <v>17.739999999999998</v>
      </c>
      <c r="Z7" s="2">
        <f t="shared" si="4"/>
        <v>0.10459700470499998</v>
      </c>
      <c r="AA7" s="3">
        <v>228.84</v>
      </c>
      <c r="AB7" s="3">
        <v>14.14</v>
      </c>
      <c r="AC7" s="2">
        <f>(AA7*AB7*AB7)/1600000</f>
        <v>2.8596361290000004E-2</v>
      </c>
      <c r="AD7" s="3">
        <v>470.04</v>
      </c>
      <c r="AE7" s="3">
        <v>25.22</v>
      </c>
      <c r="AF7" s="2">
        <f>(AD7*AE7*AE7)/1600000</f>
        <v>0.18685511870999999</v>
      </c>
      <c r="AG7" s="3">
        <v>863.85</v>
      </c>
      <c r="AH7" s="3">
        <v>32.729999999999997</v>
      </c>
      <c r="AI7" s="2">
        <f>(AG7*AH7*AH7)/1600000</f>
        <v>0.57837613604062488</v>
      </c>
      <c r="AJ7" s="3">
        <v>420.84</v>
      </c>
      <c r="AK7" s="3">
        <v>21.46</v>
      </c>
      <c r="AL7" s="2">
        <f t="shared" si="5"/>
        <v>0.12113132408999999</v>
      </c>
      <c r="AM7" s="3"/>
      <c r="AN7" s="3"/>
      <c r="AO7" s="2"/>
      <c r="AP7" s="3">
        <v>415.68</v>
      </c>
      <c r="AQ7" s="3">
        <v>14.7</v>
      </c>
      <c r="AR7" s="2">
        <f t="shared" si="6"/>
        <v>5.6140181999999997E-2</v>
      </c>
      <c r="AS7" s="3">
        <v>860.54</v>
      </c>
      <c r="AT7" s="3">
        <v>29.22</v>
      </c>
      <c r="AU7" s="2">
        <f>(AS7*AT7*AT7)/1600000</f>
        <v>0.45921017533499997</v>
      </c>
      <c r="AV7" s="3"/>
      <c r="AW7" s="3"/>
      <c r="AX7" s="2"/>
      <c r="AY7" s="3"/>
      <c r="AZ7" s="3"/>
      <c r="BA7" s="2"/>
      <c r="BB7" s="3"/>
      <c r="BC7" s="3"/>
      <c r="BD7" s="2"/>
    </row>
    <row r="8" spans="1:56" x14ac:dyDescent="0.2">
      <c r="C8" s="3">
        <v>319.36</v>
      </c>
      <c r="D8" s="3">
        <v>12.94</v>
      </c>
      <c r="E8" s="2">
        <f t="shared" si="0"/>
        <v>3.3421742559999995E-2</v>
      </c>
      <c r="F8" s="3">
        <v>392.62</v>
      </c>
      <c r="G8" s="3">
        <v>18.14</v>
      </c>
      <c r="H8" s="2">
        <f t="shared" si="1"/>
        <v>8.0747112595000003E-2</v>
      </c>
      <c r="I8" s="3">
        <v>499.94</v>
      </c>
      <c r="J8" s="3">
        <v>15.77</v>
      </c>
      <c r="K8" s="2">
        <f t="shared" si="2"/>
        <v>7.7707205266249996E-2</v>
      </c>
      <c r="L8" s="3">
        <v>940.76</v>
      </c>
      <c r="M8" s="3">
        <v>26.62</v>
      </c>
      <c r="N8" s="2">
        <f>(L8*M8*M8)/1600000</f>
        <v>0.41665343159000001</v>
      </c>
      <c r="O8" s="3">
        <v>370.14</v>
      </c>
      <c r="P8" s="3">
        <v>13.11</v>
      </c>
      <c r="Q8" s="2">
        <f t="shared" si="3"/>
        <v>3.9760461933749998E-2</v>
      </c>
      <c r="R8" s="3">
        <v>585.19000000000005</v>
      </c>
      <c r="S8" s="3">
        <v>22.44</v>
      </c>
      <c r="T8" s="2">
        <f>(R8*S8*S8)/1600000</f>
        <v>0.18417158199000006</v>
      </c>
      <c r="U8" s="3">
        <v>267.74</v>
      </c>
      <c r="V8" s="3">
        <v>14.11</v>
      </c>
      <c r="W8" s="2">
        <f>(U8*V8*V8)/1600000</f>
        <v>3.3315574283749996E-2</v>
      </c>
      <c r="X8" s="3">
        <v>682.71</v>
      </c>
      <c r="Y8" s="3">
        <v>41.07</v>
      </c>
      <c r="Z8" s="2">
        <f t="shared" si="4"/>
        <v>0.71972350667437512</v>
      </c>
      <c r="AA8" s="3"/>
      <c r="AB8" s="3"/>
      <c r="AC8" s="2"/>
      <c r="AD8" s="3"/>
      <c r="AE8" s="3"/>
      <c r="AF8" s="2"/>
      <c r="AH8" s="3"/>
      <c r="AI8" s="2"/>
      <c r="AJ8" s="3">
        <v>422.04</v>
      </c>
      <c r="AK8" s="3">
        <v>25.72</v>
      </c>
      <c r="AL8" s="2">
        <f t="shared" si="5"/>
        <v>0.17449201596</v>
      </c>
      <c r="AM8" s="3"/>
      <c r="AN8" s="3"/>
      <c r="AO8" s="2"/>
      <c r="AP8" s="3">
        <v>391.97</v>
      </c>
      <c r="AQ8" s="3">
        <v>15.25</v>
      </c>
      <c r="AR8" s="2">
        <f t="shared" si="6"/>
        <v>5.6973451953125004E-2</v>
      </c>
      <c r="AS8" s="3">
        <v>724.59</v>
      </c>
      <c r="AT8" s="3">
        <v>26.51</v>
      </c>
      <c r="AU8" s="2">
        <f>(AS8*AT8*AT8)/1600000</f>
        <v>0.31826714541187512</v>
      </c>
      <c r="AV8" s="3"/>
      <c r="AW8" s="3"/>
      <c r="AX8" s="2"/>
      <c r="AY8" s="3"/>
      <c r="AZ8" s="3"/>
      <c r="BA8" s="2"/>
      <c r="BB8" s="3"/>
      <c r="BC8" s="3"/>
      <c r="BD8" s="2"/>
    </row>
    <row r="9" spans="1:56" x14ac:dyDescent="0.2">
      <c r="C9" s="3">
        <v>461.22</v>
      </c>
      <c r="D9" s="3">
        <v>18.809999999999999</v>
      </c>
      <c r="E9" s="2">
        <f t="shared" si="0"/>
        <v>0.10199191352624999</v>
      </c>
      <c r="F9" s="3">
        <v>280.20999999999998</v>
      </c>
      <c r="G9" s="3">
        <v>19</v>
      </c>
      <c r="H9" s="2">
        <f t="shared" si="1"/>
        <v>6.3222381250000001E-2</v>
      </c>
      <c r="I9" s="3">
        <v>396.77</v>
      </c>
      <c r="J9" s="3">
        <v>13.64</v>
      </c>
      <c r="K9" s="2">
        <f t="shared" si="2"/>
        <v>4.6136812369999995E-2</v>
      </c>
      <c r="L9" s="3">
        <v>1004.21</v>
      </c>
      <c r="M9" s="3">
        <v>29.94</v>
      </c>
      <c r="N9" s="2">
        <f>(L9*M9*M9)/1600000</f>
        <v>0.56261091197250013</v>
      </c>
      <c r="O9" s="3">
        <v>888.81</v>
      </c>
      <c r="P9" s="3">
        <v>31.41</v>
      </c>
      <c r="Q9" s="2">
        <f t="shared" si="3"/>
        <v>0.54805585572562499</v>
      </c>
      <c r="R9" s="3"/>
      <c r="S9" s="3"/>
      <c r="T9" s="2"/>
      <c r="U9" s="3"/>
      <c r="V9" s="3"/>
      <c r="W9" s="2"/>
      <c r="X9" s="3">
        <v>655.42</v>
      </c>
      <c r="Y9" s="3">
        <v>25.82</v>
      </c>
      <c r="Z9" s="2">
        <f t="shared" si="4"/>
        <v>0.27309401525499999</v>
      </c>
      <c r="AA9" s="3"/>
      <c r="AB9" s="3"/>
      <c r="AC9" s="2"/>
      <c r="AD9" s="3"/>
      <c r="AE9" s="3"/>
      <c r="AF9" s="2"/>
      <c r="AG9" s="3"/>
      <c r="AH9" s="3"/>
      <c r="AI9" s="2"/>
      <c r="AJ9" s="3">
        <v>294.38</v>
      </c>
      <c r="AK9" s="3">
        <v>19</v>
      </c>
      <c r="AL9" s="2">
        <f t="shared" si="5"/>
        <v>6.6419487499999999E-2</v>
      </c>
      <c r="AM9" s="3"/>
      <c r="AN9" s="3"/>
      <c r="AO9" s="2"/>
      <c r="AP9" s="3">
        <v>398.06</v>
      </c>
      <c r="AQ9" s="3">
        <v>14.96</v>
      </c>
      <c r="AR9" s="2">
        <f t="shared" si="6"/>
        <v>5.5679040560000004E-2</v>
      </c>
      <c r="AS9" s="3">
        <v>689.33</v>
      </c>
      <c r="AT9" s="3">
        <v>27.25</v>
      </c>
      <c r="AU9" s="2">
        <f>(AS9*AT9*AT9)/1600000</f>
        <v>0.319919130078125</v>
      </c>
      <c r="AV9" s="3"/>
      <c r="AW9" s="3"/>
      <c r="AX9" s="2"/>
      <c r="AY9" s="3"/>
      <c r="AZ9" s="3"/>
      <c r="BA9" s="2"/>
      <c r="BB9" s="3"/>
      <c r="BC9" s="3"/>
      <c r="BD9" s="2"/>
    </row>
    <row r="10" spans="1:56" x14ac:dyDescent="0.2">
      <c r="C10" s="3">
        <v>295.58</v>
      </c>
      <c r="D10" s="3">
        <v>12.46</v>
      </c>
      <c r="E10" s="2">
        <f t="shared" si="0"/>
        <v>2.8680792455000007E-2</v>
      </c>
      <c r="F10" s="3">
        <v>296.02</v>
      </c>
      <c r="G10" s="3">
        <v>16.68</v>
      </c>
      <c r="H10" s="2">
        <f t="shared" si="1"/>
        <v>5.147462178E-2</v>
      </c>
      <c r="I10" s="3">
        <v>295.7</v>
      </c>
      <c r="J10" s="3">
        <v>13.16</v>
      </c>
      <c r="K10" s="2">
        <f t="shared" si="2"/>
        <v>3.2006863699999999E-2</v>
      </c>
      <c r="L10" s="3">
        <v>365.85</v>
      </c>
      <c r="M10" s="3">
        <v>15.21</v>
      </c>
      <c r="N10" s="2">
        <f>(L10*M10*M10)/1600000</f>
        <v>5.2898274365625012E-2</v>
      </c>
      <c r="O10" s="3">
        <v>304.79000000000002</v>
      </c>
      <c r="P10" s="3">
        <v>14.76</v>
      </c>
      <c r="Q10" s="2">
        <f t="shared" si="3"/>
        <v>4.1500511190000006E-2</v>
      </c>
      <c r="R10" s="3"/>
      <c r="S10" s="3"/>
      <c r="T10" s="2"/>
      <c r="U10" s="3"/>
      <c r="V10" s="3"/>
      <c r="W10" s="2"/>
      <c r="X10" s="3">
        <v>261.83</v>
      </c>
      <c r="Y10" s="3">
        <v>14.35</v>
      </c>
      <c r="Z10" s="2">
        <f t="shared" si="4"/>
        <v>3.3697930109374996E-2</v>
      </c>
      <c r="AA10" s="3"/>
      <c r="AB10" s="3"/>
      <c r="AC10" s="2"/>
      <c r="AD10" s="3"/>
      <c r="AE10" s="3"/>
      <c r="AF10" s="2"/>
      <c r="AG10" s="3"/>
      <c r="AH10" s="3"/>
      <c r="AI10" s="2"/>
      <c r="AJ10" s="3">
        <v>349.07</v>
      </c>
      <c r="AK10" s="3">
        <v>20.89</v>
      </c>
      <c r="AL10" s="2">
        <f t="shared" si="5"/>
        <v>9.5207118966875004E-2</v>
      </c>
      <c r="AM10" s="3"/>
      <c r="AN10" s="3"/>
      <c r="AO10" s="2"/>
      <c r="AP10" s="3">
        <v>344.45</v>
      </c>
      <c r="AQ10" s="3">
        <v>13.65</v>
      </c>
      <c r="AR10" s="2">
        <f t="shared" si="6"/>
        <v>4.0111740703125003E-2</v>
      </c>
      <c r="AS10" s="3"/>
      <c r="AT10" s="3"/>
      <c r="AU10" s="2"/>
      <c r="AV10" s="3"/>
      <c r="AW10" s="3"/>
      <c r="AX10" s="2"/>
      <c r="AY10" s="3"/>
      <c r="AZ10" s="3"/>
      <c r="BA10" s="2"/>
      <c r="BB10" s="3"/>
      <c r="BC10" s="3"/>
      <c r="BD10" s="2"/>
    </row>
    <row r="11" spans="1:56" x14ac:dyDescent="0.2">
      <c r="C11" s="3">
        <v>342.33</v>
      </c>
      <c r="D11" s="3">
        <v>14.25</v>
      </c>
      <c r="E11" s="2">
        <f t="shared" si="0"/>
        <v>4.3446491015624998E-2</v>
      </c>
      <c r="F11" s="3">
        <v>315.32</v>
      </c>
      <c r="G11" s="3">
        <v>17.649999999999999</v>
      </c>
      <c r="H11" s="2">
        <f t="shared" si="1"/>
        <v>6.1393296687499987E-2</v>
      </c>
      <c r="I11" s="3">
        <v>441.29</v>
      </c>
      <c r="J11" s="3">
        <v>14.09</v>
      </c>
      <c r="K11" s="2">
        <f t="shared" si="2"/>
        <v>5.4755290780625E-2</v>
      </c>
      <c r="L11" s="3"/>
      <c r="M11" s="3"/>
      <c r="N11" s="2"/>
      <c r="O11" s="3">
        <v>433.96</v>
      </c>
      <c r="P11" s="3">
        <v>24.67</v>
      </c>
      <c r="Q11" s="2">
        <f t="shared" si="3"/>
        <v>0.16506994890250001</v>
      </c>
      <c r="R11" s="3"/>
      <c r="S11" s="3"/>
      <c r="T11" s="2"/>
      <c r="U11" s="3"/>
      <c r="V11" s="3"/>
      <c r="W11" s="2"/>
      <c r="X11" s="3">
        <v>550.87</v>
      </c>
      <c r="Y11" s="3">
        <v>27.9</v>
      </c>
      <c r="Z11" s="2">
        <f t="shared" si="4"/>
        <v>0.26800169793749995</v>
      </c>
      <c r="AA11" s="3"/>
      <c r="AB11" s="3"/>
      <c r="AC11" s="2"/>
      <c r="AD11" s="3"/>
      <c r="AE11" s="3"/>
      <c r="AF11" s="2"/>
      <c r="AG11" s="3"/>
      <c r="AH11" s="3"/>
      <c r="AI11" s="2"/>
      <c r="AJ11" s="3">
        <v>420.79</v>
      </c>
      <c r="AK11" s="3">
        <v>21.93</v>
      </c>
      <c r="AL11" s="2">
        <f t="shared" si="5"/>
        <v>0.12648024291937499</v>
      </c>
      <c r="AM11" s="3"/>
      <c r="AN11" s="3"/>
      <c r="AO11" s="2"/>
      <c r="AP11" s="3">
        <v>412</v>
      </c>
      <c r="AQ11" s="3">
        <v>15.38</v>
      </c>
      <c r="AR11" s="2">
        <f t="shared" si="6"/>
        <v>6.0910183000000007E-2</v>
      </c>
      <c r="AS11" s="3"/>
      <c r="AT11" s="3"/>
      <c r="AU11" s="2"/>
      <c r="AV11" s="3"/>
      <c r="AW11" s="3"/>
      <c r="AX11" s="2"/>
      <c r="AY11" s="3"/>
      <c r="AZ11" s="3"/>
      <c r="BA11" s="2"/>
      <c r="BB11" s="3"/>
      <c r="BC11" s="3"/>
      <c r="BD11" s="2"/>
    </row>
    <row r="12" spans="1:56" x14ac:dyDescent="0.2">
      <c r="C12" s="3">
        <v>512.96</v>
      </c>
      <c r="D12" s="3">
        <v>15.51</v>
      </c>
      <c r="E12" s="2">
        <f t="shared" si="0"/>
        <v>7.7123568059999995E-2</v>
      </c>
      <c r="F12" s="3">
        <v>291.41000000000003</v>
      </c>
      <c r="G12" s="3">
        <v>16.3</v>
      </c>
      <c r="H12" s="2">
        <f t="shared" si="1"/>
        <v>4.8390451812500006E-2</v>
      </c>
      <c r="I12" s="3">
        <v>595.26</v>
      </c>
      <c r="J12" s="3">
        <v>20.945</v>
      </c>
      <c r="K12" s="2">
        <f t="shared" si="2"/>
        <v>0.16321025628843749</v>
      </c>
      <c r="L12" s="3"/>
      <c r="M12" s="3"/>
      <c r="N12" s="2"/>
      <c r="O12" s="3">
        <v>582.21</v>
      </c>
      <c r="P12" s="3">
        <v>19.11</v>
      </c>
      <c r="Q12" s="2">
        <f t="shared" si="3"/>
        <v>0.132886557838125</v>
      </c>
      <c r="R12" s="3"/>
      <c r="S12" s="3"/>
      <c r="T12" s="2"/>
      <c r="U12" s="3"/>
      <c r="V12" s="3"/>
      <c r="W12" s="2"/>
      <c r="X12" s="3"/>
      <c r="Y12" s="3"/>
      <c r="Z12" s="2"/>
      <c r="AA12" s="3"/>
      <c r="AB12" s="3"/>
      <c r="AC12" s="2"/>
      <c r="AD12" s="3"/>
      <c r="AE12" s="3"/>
      <c r="AF12" s="2"/>
      <c r="AG12" s="3"/>
      <c r="AH12" s="3"/>
      <c r="AI12" s="2"/>
      <c r="AJ12" s="3"/>
      <c r="AK12" s="3"/>
      <c r="AL12" s="2"/>
      <c r="AM12" s="3"/>
      <c r="AN12" s="3"/>
      <c r="AO12" s="2"/>
      <c r="AP12" s="3">
        <v>397.66</v>
      </c>
      <c r="AQ12" s="3">
        <v>14.99</v>
      </c>
      <c r="AR12" s="2">
        <f t="shared" si="6"/>
        <v>5.5846401103750005E-2</v>
      </c>
      <c r="AS12" s="3"/>
      <c r="AT12" s="3"/>
      <c r="AU12" s="2"/>
      <c r="AV12" s="3"/>
      <c r="AW12" s="3"/>
      <c r="AX12" s="2"/>
      <c r="AY12" s="3"/>
      <c r="AZ12" s="3"/>
      <c r="BA12" s="2"/>
      <c r="BB12" s="3"/>
      <c r="BC12" s="3"/>
      <c r="BD12" s="2"/>
    </row>
    <row r="13" spans="1:56" x14ac:dyDescent="0.2">
      <c r="C13" s="3">
        <v>362.14</v>
      </c>
      <c r="D13" s="3">
        <v>13.58</v>
      </c>
      <c r="E13" s="2">
        <f t="shared" si="0"/>
        <v>4.1740346935000006E-2</v>
      </c>
      <c r="F13" s="3">
        <v>495.02</v>
      </c>
      <c r="G13" s="3">
        <v>28.9</v>
      </c>
      <c r="H13" s="2">
        <f t="shared" si="1"/>
        <v>0.25840353387499998</v>
      </c>
      <c r="I13" s="3">
        <v>623.84</v>
      </c>
      <c r="J13" s="3">
        <v>22.29</v>
      </c>
      <c r="K13" s="2">
        <f t="shared" si="2"/>
        <v>0.19371951459</v>
      </c>
      <c r="L13" s="3"/>
      <c r="M13" s="3"/>
      <c r="N13" s="2"/>
      <c r="O13" s="3">
        <v>481.29</v>
      </c>
      <c r="P13" s="3">
        <v>17.010000000000002</v>
      </c>
      <c r="Q13" s="2">
        <f t="shared" si="3"/>
        <v>8.7035310455625028E-2</v>
      </c>
      <c r="R13" s="3"/>
      <c r="S13" s="3"/>
      <c r="T13" s="2"/>
      <c r="U13" s="3"/>
      <c r="V13" s="3"/>
      <c r="W13" s="2"/>
      <c r="X13" s="3"/>
      <c r="Y13" s="3"/>
      <c r="Z13" s="2"/>
      <c r="AA13" s="3"/>
      <c r="AB13" s="3"/>
      <c r="AC13" s="2"/>
      <c r="AD13" s="3"/>
      <c r="AE13" s="3"/>
      <c r="AF13" s="2"/>
      <c r="AG13" s="3"/>
      <c r="AH13" s="3"/>
      <c r="AI13" s="2"/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/>
      <c r="AW13" s="3"/>
      <c r="AX13" s="2"/>
      <c r="AY13" s="3"/>
      <c r="AZ13" s="3"/>
      <c r="BA13" s="2"/>
      <c r="BB13" s="3"/>
      <c r="BC13" s="3"/>
      <c r="BD13" s="2"/>
    </row>
    <row r="14" spans="1:56" x14ac:dyDescent="0.2">
      <c r="C14" s="3">
        <v>350.82</v>
      </c>
      <c r="D14" s="3">
        <v>13.86</v>
      </c>
      <c r="E14" s="2">
        <f t="shared" si="0"/>
        <v>4.2120238544999994E-2</v>
      </c>
      <c r="F14" s="3">
        <v>369.99</v>
      </c>
      <c r="G14" s="3">
        <v>20.84</v>
      </c>
      <c r="H14" s="2">
        <f t="shared" si="1"/>
        <v>0.10043045559</v>
      </c>
      <c r="I14" s="3">
        <v>207.28</v>
      </c>
      <c r="J14" s="3">
        <v>10.11</v>
      </c>
      <c r="K14" s="2">
        <f t="shared" si="2"/>
        <v>1.3241577554999997E-2</v>
      </c>
      <c r="L14" s="3"/>
      <c r="M14" s="3"/>
      <c r="N14" s="2"/>
      <c r="O14" s="3">
        <v>519.89</v>
      </c>
      <c r="P14" s="3">
        <v>15.38</v>
      </c>
      <c r="Q14" s="2">
        <f t="shared" si="3"/>
        <v>7.6860667572499999E-2</v>
      </c>
      <c r="R14" s="3"/>
      <c r="S14" s="3"/>
      <c r="T14" s="2"/>
      <c r="U14" s="3"/>
      <c r="V14" s="3"/>
      <c r="W14" s="2"/>
      <c r="X14" s="3"/>
      <c r="Y14" s="3"/>
      <c r="Z14" s="2"/>
      <c r="AA14" s="3"/>
      <c r="AB14" s="3"/>
      <c r="AC14" s="2"/>
      <c r="AD14" s="3"/>
      <c r="AE14" s="3"/>
      <c r="AF14" s="2"/>
      <c r="AG14" s="3"/>
      <c r="AH14" s="3"/>
      <c r="AI14" s="2"/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/>
      <c r="AW14" s="3"/>
      <c r="AX14" s="2"/>
      <c r="AY14" s="3"/>
      <c r="AZ14" s="3"/>
      <c r="BA14" s="2"/>
      <c r="BB14" s="3"/>
      <c r="BC14" s="3"/>
      <c r="BD14" s="2"/>
    </row>
    <row r="15" spans="1:56" x14ac:dyDescent="0.2">
      <c r="C15" s="3">
        <v>588.45000000000005</v>
      </c>
      <c r="D15" s="3">
        <v>15.98</v>
      </c>
      <c r="E15" s="2"/>
      <c r="F15" s="3">
        <v>399.22</v>
      </c>
      <c r="G15" s="3">
        <v>24.37</v>
      </c>
      <c r="H15" s="2">
        <f t="shared" si="1"/>
        <v>0.14818470026125002</v>
      </c>
      <c r="I15" s="3">
        <f>325.67*2</f>
        <v>651.34</v>
      </c>
      <c r="J15" s="3">
        <f>11.99*2</f>
        <v>23.98</v>
      </c>
      <c r="K15" s="2">
        <f t="shared" si="2"/>
        <v>0.234091758835</v>
      </c>
      <c r="L15" s="3"/>
      <c r="M15" s="3"/>
      <c r="N15" s="2"/>
      <c r="O15" s="3">
        <v>300.8</v>
      </c>
      <c r="P15" s="3">
        <v>13.93</v>
      </c>
      <c r="Q15" s="2">
        <f t="shared" si="3"/>
        <v>3.6480441199999998E-2</v>
      </c>
      <c r="R15" s="3"/>
      <c r="S15" s="3"/>
      <c r="T15" s="2"/>
      <c r="U15" s="3"/>
      <c r="V15" s="3"/>
      <c r="W15" s="2"/>
      <c r="X15" s="3"/>
      <c r="Y15" s="3"/>
      <c r="Z15" s="2"/>
      <c r="AA15" s="3"/>
      <c r="AB15" s="3"/>
      <c r="AC15" s="2"/>
      <c r="AD15" s="3"/>
      <c r="AE15" s="3"/>
      <c r="AF15" s="2"/>
      <c r="AG15" s="3"/>
      <c r="AH15" s="3"/>
      <c r="AI15" s="2"/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/>
      <c r="AW15" s="3"/>
      <c r="AX15" s="2"/>
      <c r="AY15" s="3"/>
      <c r="AZ15" s="3"/>
      <c r="BA15" s="2"/>
      <c r="BB15" s="3"/>
      <c r="BC15" s="3"/>
      <c r="BD15" s="2"/>
    </row>
    <row r="16" spans="1:56" x14ac:dyDescent="0.2">
      <c r="C16" s="3">
        <v>640.51</v>
      </c>
      <c r="D16" s="3">
        <v>18.399999999999999</v>
      </c>
      <c r="E16" s="2"/>
      <c r="F16" s="3">
        <v>391.39</v>
      </c>
      <c r="G16" s="3">
        <v>22.31</v>
      </c>
      <c r="H16" s="2">
        <f t="shared" si="1"/>
        <v>0.12175558261187498</v>
      </c>
      <c r="I16" s="3">
        <v>211.46</v>
      </c>
      <c r="J16" s="3">
        <v>11.79</v>
      </c>
      <c r="K16" s="2">
        <f t="shared" si="2"/>
        <v>1.8371129366249999E-2</v>
      </c>
      <c r="L16" s="3"/>
      <c r="M16" s="3"/>
      <c r="N16" s="2"/>
      <c r="O16" s="3">
        <v>453.52</v>
      </c>
      <c r="P16" s="3">
        <v>18.71</v>
      </c>
      <c r="Q16" s="2">
        <f t="shared" si="3"/>
        <v>9.9225669145000014E-2</v>
      </c>
      <c r="R16" s="3"/>
      <c r="S16" s="3"/>
      <c r="T16" s="2"/>
      <c r="U16" s="3"/>
      <c r="V16" s="3"/>
      <c r="W16" s="2"/>
      <c r="X16" s="3"/>
      <c r="Y16" s="3"/>
      <c r="Z16" s="2"/>
      <c r="AA16" s="3"/>
      <c r="AB16" s="3"/>
      <c r="AC16" s="2"/>
      <c r="AD16" s="3"/>
      <c r="AE16" s="3"/>
      <c r="AF16" s="2"/>
      <c r="AG16" s="3"/>
      <c r="AH16" s="3"/>
      <c r="AI16" s="2"/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/>
      <c r="AW16" s="3"/>
      <c r="AX16" s="2"/>
      <c r="AY16" s="3"/>
      <c r="AZ16" s="3"/>
      <c r="BA16" s="2"/>
      <c r="BB16" s="3"/>
      <c r="BC16" s="3"/>
      <c r="BD16" s="2"/>
    </row>
    <row r="17" spans="3:56" x14ac:dyDescent="0.2">
      <c r="C17" s="3">
        <v>323.29000000000002</v>
      </c>
      <c r="D17" s="3">
        <v>14.39</v>
      </c>
      <c r="E17" s="2"/>
      <c r="F17" s="3">
        <v>317.26</v>
      </c>
      <c r="G17" s="3">
        <v>21.05</v>
      </c>
      <c r="H17" s="2">
        <f t="shared" si="1"/>
        <v>8.7861686968750005E-2</v>
      </c>
      <c r="I17" s="3">
        <v>506.43</v>
      </c>
      <c r="J17" s="3">
        <v>13.79</v>
      </c>
      <c r="K17" s="2">
        <f t="shared" si="2"/>
        <v>6.019050322687499E-2</v>
      </c>
      <c r="L17" s="3"/>
      <c r="M17" s="3"/>
      <c r="N17" s="2"/>
      <c r="O17" s="3">
        <v>349.66</v>
      </c>
      <c r="P17" s="3">
        <v>17.079999999999998</v>
      </c>
      <c r="Q17" s="2">
        <f t="shared" si="3"/>
        <v>6.3753158140000002E-2</v>
      </c>
      <c r="R17" s="3"/>
      <c r="S17" s="3"/>
      <c r="T17" s="2"/>
      <c r="U17" s="3"/>
      <c r="V17" s="3"/>
      <c r="W17" s="2"/>
      <c r="X17" s="3"/>
      <c r="Y17" s="3"/>
      <c r="Z17" s="2"/>
      <c r="AA17" s="3"/>
      <c r="AB17" s="3"/>
      <c r="AC17" s="2"/>
      <c r="AD17" s="3"/>
      <c r="AE17" s="3"/>
      <c r="AF17" s="2"/>
      <c r="AG17" s="3"/>
      <c r="AH17" s="3"/>
      <c r="AI17" s="2"/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/>
      <c r="AW17" s="3"/>
      <c r="AX17" s="2"/>
      <c r="AY17" s="3"/>
      <c r="AZ17" s="3"/>
      <c r="BA17" s="2"/>
      <c r="BB17" s="3"/>
      <c r="BC17" s="3"/>
      <c r="BD17" s="2"/>
    </row>
    <row r="18" spans="3:56" x14ac:dyDescent="0.2">
      <c r="C18" s="3">
        <v>461.86</v>
      </c>
      <c r="D18" s="3">
        <v>14.86</v>
      </c>
      <c r="E18" s="2"/>
      <c r="F18" s="3">
        <v>284.19</v>
      </c>
      <c r="G18" s="3">
        <v>14.9</v>
      </c>
      <c r="H18" s="2">
        <f t="shared" si="1"/>
        <v>3.9433138687500008E-2</v>
      </c>
      <c r="I18" s="3">
        <v>286.17</v>
      </c>
      <c r="J18" s="3">
        <v>11.18</v>
      </c>
      <c r="K18" s="2">
        <f t="shared" si="2"/>
        <v>2.2355671942499999E-2</v>
      </c>
      <c r="L18" s="3"/>
      <c r="M18" s="3"/>
      <c r="N18" s="2"/>
      <c r="O18" s="3">
        <v>455.48</v>
      </c>
      <c r="P18" s="3">
        <v>22.46</v>
      </c>
      <c r="Q18" s="2">
        <f t="shared" si="3"/>
        <v>0.14360475923000005</v>
      </c>
      <c r="R18" s="3"/>
      <c r="S18" s="3"/>
      <c r="T18" s="2"/>
      <c r="U18" s="3"/>
      <c r="V18" s="3"/>
      <c r="W18" s="2"/>
      <c r="X18" s="3"/>
      <c r="Y18" s="3"/>
      <c r="Z18" s="2"/>
      <c r="AA18" s="3"/>
      <c r="AB18" s="3"/>
      <c r="AC18" s="2"/>
      <c r="AD18" s="3"/>
      <c r="AE18" s="3"/>
      <c r="AF18" s="2"/>
      <c r="AG18" s="3"/>
      <c r="AH18" s="3"/>
      <c r="AI18" s="2"/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/>
      <c r="AW18" s="3"/>
      <c r="AX18" s="2"/>
      <c r="AY18" s="3"/>
      <c r="AZ18" s="3"/>
      <c r="BA18" s="2"/>
      <c r="BB18" s="3"/>
      <c r="BC18" s="3"/>
      <c r="BD18" s="2"/>
    </row>
    <row r="19" spans="3:56" x14ac:dyDescent="0.2">
      <c r="C19" s="3">
        <v>411.14</v>
      </c>
      <c r="D19" s="3">
        <v>16.059999999999999</v>
      </c>
      <c r="E19" s="2"/>
      <c r="F19" s="3">
        <v>423.66</v>
      </c>
      <c r="G19" s="3">
        <v>22.83</v>
      </c>
      <c r="H19" s="2">
        <f t="shared" si="1"/>
        <v>0.13800960160874998</v>
      </c>
      <c r="I19" s="3">
        <v>300.58</v>
      </c>
      <c r="J19" s="3">
        <v>8.84</v>
      </c>
      <c r="K19" s="2">
        <f t="shared" si="2"/>
        <v>1.468062778E-2</v>
      </c>
      <c r="L19" s="3"/>
      <c r="M19" s="3"/>
      <c r="N19" s="2"/>
      <c r="O19" s="3">
        <v>308.91000000000003</v>
      </c>
      <c r="P19" s="3">
        <v>15.83</v>
      </c>
      <c r="Q19" s="2">
        <f t="shared" si="3"/>
        <v>4.8380885686875007E-2</v>
      </c>
      <c r="R19" s="3"/>
      <c r="S19" s="3"/>
      <c r="T19" s="2"/>
      <c r="U19" s="3"/>
      <c r="V19" s="3"/>
      <c r="W19" s="2"/>
      <c r="X19" s="3"/>
      <c r="Y19" s="3"/>
      <c r="Z19" s="2"/>
      <c r="AA19" s="3"/>
      <c r="AB19" s="3"/>
      <c r="AC19" s="2"/>
      <c r="AD19" s="3"/>
      <c r="AE19" s="3"/>
      <c r="AF19" s="2"/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/>
      <c r="AW19" s="3"/>
      <c r="AX19" s="2"/>
      <c r="AY19" s="3"/>
      <c r="AZ19" s="3"/>
      <c r="BA19" s="2"/>
      <c r="BB19" s="3"/>
      <c r="BC19" s="3"/>
      <c r="BD19" s="2"/>
    </row>
    <row r="20" spans="3:56" x14ac:dyDescent="0.2">
      <c r="C20" s="3">
        <v>518.03</v>
      </c>
      <c r="D20" s="3">
        <v>16.28</v>
      </c>
      <c r="E20" s="2"/>
      <c r="F20" s="3">
        <v>296.81</v>
      </c>
      <c r="G20" s="3">
        <v>16.61</v>
      </c>
      <c r="H20" s="2">
        <f t="shared" si="1"/>
        <v>5.1179708875624993E-2</v>
      </c>
      <c r="I20" s="3"/>
      <c r="J20" s="3"/>
      <c r="K20" s="2"/>
      <c r="L20" s="3"/>
      <c r="M20" s="3"/>
      <c r="N20" s="2"/>
      <c r="O20" s="3">
        <v>648.84</v>
      </c>
      <c r="P20" s="3">
        <v>24.28</v>
      </c>
      <c r="Q20" s="2">
        <f t="shared" si="3"/>
        <v>0.23906444916000005</v>
      </c>
      <c r="R20" s="3"/>
      <c r="S20" s="3"/>
      <c r="T20" s="2"/>
      <c r="U20" s="3"/>
      <c r="V20" s="3"/>
      <c r="W20" s="2"/>
      <c r="X20" s="3"/>
      <c r="Y20" s="3"/>
      <c r="Z20" s="2"/>
      <c r="AA20" s="3"/>
      <c r="AB20" s="3"/>
      <c r="AC20" s="2"/>
      <c r="AD20" s="3"/>
      <c r="AE20" s="3"/>
      <c r="AF20" s="2"/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</row>
    <row r="21" spans="3:56" x14ac:dyDescent="0.2">
      <c r="C21" s="3">
        <v>309.35000000000002</v>
      </c>
      <c r="D21" s="3">
        <v>15.45</v>
      </c>
      <c r="E21" s="2"/>
      <c r="F21" s="3">
        <v>248.56</v>
      </c>
      <c r="G21" s="3">
        <v>16.97</v>
      </c>
      <c r="H21" s="2">
        <f t="shared" si="1"/>
        <v>4.4737832814999989E-2</v>
      </c>
      <c r="I21" s="3"/>
      <c r="J21" s="3"/>
      <c r="K21" s="2"/>
      <c r="L21" s="3"/>
      <c r="M21" s="3"/>
      <c r="N21" s="2"/>
      <c r="O21" s="3">
        <v>495.76333333333298</v>
      </c>
      <c r="P21" s="3">
        <v>19.812000000000001</v>
      </c>
      <c r="Q21" s="2">
        <f t="shared" si="3"/>
        <v>0.12162169707869995</v>
      </c>
      <c r="R21" s="3"/>
      <c r="S21" s="3"/>
      <c r="T21" s="2"/>
      <c r="U21" s="3"/>
      <c r="V21" s="3"/>
      <c r="W21" s="2"/>
      <c r="X21" s="3"/>
      <c r="Y21" s="3"/>
      <c r="Z21" s="2"/>
      <c r="AA21" s="3"/>
      <c r="AB21" s="3"/>
      <c r="AC21" s="2"/>
      <c r="AD21" s="3"/>
      <c r="AE21" s="3"/>
      <c r="AF21" s="2"/>
      <c r="AG21" s="3"/>
      <c r="AH21" s="3"/>
      <c r="AI21" s="2"/>
      <c r="AJ21" s="3"/>
      <c r="AK21" s="3"/>
      <c r="AL21" s="2"/>
      <c r="AM21" s="3"/>
      <c r="AN21" s="3"/>
      <c r="AO21" s="2"/>
      <c r="AP21" s="3"/>
      <c r="AQ21" s="3"/>
      <c r="AR21" s="2"/>
      <c r="AS21" s="3"/>
      <c r="AT21" s="3"/>
      <c r="AU21" s="2"/>
      <c r="AV21" s="3"/>
      <c r="AW21" s="3"/>
      <c r="AX21" s="2"/>
      <c r="AY21" s="3"/>
      <c r="AZ21" s="3"/>
      <c r="BA21" s="2"/>
      <c r="BB21" s="3"/>
      <c r="BC21" s="3"/>
      <c r="BD21" s="2"/>
    </row>
    <row r="22" spans="3:56" x14ac:dyDescent="0.2">
      <c r="C22" s="3">
        <v>297.8</v>
      </c>
      <c r="D22" s="3">
        <v>12.09</v>
      </c>
      <c r="E22" s="2"/>
      <c r="F22" s="3">
        <v>226.76</v>
      </c>
      <c r="G22" s="3">
        <v>13.59</v>
      </c>
      <c r="H22" s="2">
        <f t="shared" si="1"/>
        <v>2.6174920972499998E-2</v>
      </c>
      <c r="I22" s="3"/>
      <c r="J22" s="3"/>
      <c r="K22" s="2"/>
      <c r="L22" s="3"/>
      <c r="M22" s="3"/>
      <c r="N22" s="2"/>
      <c r="O22" s="3"/>
      <c r="P22" s="3"/>
      <c r="Q22" s="2"/>
      <c r="R22" s="3"/>
      <c r="S22" s="3"/>
      <c r="T22" s="2"/>
      <c r="U22" s="3"/>
      <c r="V22" s="3"/>
      <c r="W22" s="2"/>
      <c r="X22" s="3"/>
      <c r="Y22" s="3"/>
      <c r="Z22" s="2"/>
      <c r="AA22" s="3"/>
      <c r="AB22" s="3"/>
      <c r="AC22" s="2"/>
      <c r="AD22" s="3"/>
      <c r="AE22" s="3"/>
      <c r="AF22" s="2"/>
      <c r="AG22" s="3"/>
      <c r="AH22" s="3"/>
      <c r="AI22" s="2"/>
      <c r="AJ22" s="3"/>
      <c r="AK22" s="3"/>
      <c r="AL22" s="2"/>
      <c r="AM22" s="3"/>
      <c r="AN22" s="3"/>
      <c r="AO22" s="2"/>
      <c r="AP22" s="3"/>
      <c r="AQ22" s="3"/>
      <c r="AR22" s="2"/>
      <c r="AS22" s="3"/>
      <c r="AT22" s="3"/>
      <c r="AU22" s="2"/>
      <c r="AV22" s="3"/>
      <c r="AW22" s="3"/>
      <c r="AX22" s="2"/>
      <c r="AY22" s="3"/>
      <c r="AZ22" s="3"/>
      <c r="BA22" s="2"/>
      <c r="BB22" s="3"/>
      <c r="BC22" s="3"/>
      <c r="BD22" s="2"/>
    </row>
    <row r="23" spans="3:56" x14ac:dyDescent="0.2">
      <c r="C23" s="3">
        <v>302.94</v>
      </c>
      <c r="D23" s="3">
        <v>12.22</v>
      </c>
      <c r="E23" s="2"/>
      <c r="F23" s="3">
        <v>403.14</v>
      </c>
      <c r="G23" s="3">
        <v>20.53</v>
      </c>
      <c r="H23" s="2">
        <f t="shared" si="1"/>
        <v>0.10619738126625002</v>
      </c>
      <c r="I23" s="3"/>
      <c r="J23" s="3"/>
      <c r="K23" s="2"/>
      <c r="L23" s="3"/>
      <c r="M23" s="3"/>
      <c r="N23" s="2"/>
      <c r="O23" s="3"/>
      <c r="P23" s="3"/>
      <c r="Q23" s="2"/>
      <c r="R23" s="3"/>
      <c r="S23" s="3"/>
      <c r="T23" s="2"/>
      <c r="U23" s="3"/>
      <c r="V23" s="3"/>
      <c r="W23" s="2"/>
      <c r="X23" s="3"/>
      <c r="Y23" s="3"/>
      <c r="Z23" s="2"/>
      <c r="AA23" s="3"/>
      <c r="AB23" s="3"/>
      <c r="AC23" s="2"/>
      <c r="AD23" s="3"/>
      <c r="AE23" s="3"/>
      <c r="AF23" s="2"/>
      <c r="AG23" s="3"/>
      <c r="AH23" s="3"/>
      <c r="AI23" s="2"/>
      <c r="AJ23" s="3"/>
      <c r="AK23" s="3"/>
      <c r="AL23" s="2"/>
      <c r="AM23" s="3"/>
      <c r="AN23" s="3"/>
      <c r="AO23" s="2"/>
      <c r="AP23" s="3"/>
      <c r="AQ23" s="3"/>
      <c r="AR23" s="2"/>
      <c r="AS23" s="3"/>
      <c r="AT23" s="3"/>
      <c r="AU23" s="2"/>
      <c r="AV23" s="3"/>
      <c r="AW23" s="3"/>
      <c r="AX23" s="2"/>
      <c r="AY23" s="3"/>
      <c r="AZ23" s="3"/>
      <c r="BA23" s="2"/>
      <c r="BB23" s="3"/>
      <c r="BC23" s="3"/>
      <c r="BD23" s="2"/>
    </row>
    <row r="24" spans="3:56" x14ac:dyDescent="0.2">
      <c r="C24" s="3"/>
      <c r="D24" s="3"/>
      <c r="E24" s="2"/>
      <c r="F24" s="3">
        <v>316.04000000000002</v>
      </c>
      <c r="G24" s="3">
        <v>17.989999999999998</v>
      </c>
      <c r="H24" s="2">
        <f t="shared" si="1"/>
        <v>6.3927010752499985E-2</v>
      </c>
      <c r="I24" s="3"/>
      <c r="J24" s="3"/>
      <c r="K24" s="2"/>
      <c r="L24" s="3"/>
      <c r="M24" s="3"/>
      <c r="N24" s="2"/>
      <c r="O24" s="3"/>
      <c r="P24" s="3"/>
      <c r="Q24" s="2"/>
      <c r="R24" s="3"/>
      <c r="S24" s="3"/>
      <c r="T24" s="2"/>
      <c r="U24" s="3"/>
      <c r="V24" s="3"/>
      <c r="W24" s="2"/>
      <c r="X24" s="3"/>
      <c r="Y24" s="3"/>
      <c r="Z24" s="2"/>
      <c r="AA24" s="3"/>
      <c r="AB24" s="3"/>
      <c r="AC24" s="2"/>
      <c r="AD24" s="3"/>
      <c r="AE24" s="3"/>
      <c r="AF24" s="2"/>
      <c r="AG24" s="3"/>
      <c r="AH24" s="3"/>
      <c r="AI24" s="2"/>
      <c r="AJ24" s="3"/>
      <c r="AK24" s="3"/>
      <c r="AL24" s="2"/>
      <c r="AM24" s="3"/>
      <c r="AN24" s="3"/>
      <c r="AO24" s="2"/>
      <c r="AP24" s="3"/>
      <c r="AQ24" s="3"/>
      <c r="AR24" s="2"/>
      <c r="AS24" s="3"/>
      <c r="AT24" s="3"/>
      <c r="AU24" s="2"/>
      <c r="AV24" s="3"/>
      <c r="AW24" s="3"/>
      <c r="AX24" s="2"/>
      <c r="AY24" s="3"/>
      <c r="AZ24" s="3"/>
      <c r="BA24" s="2"/>
      <c r="BB24" s="3"/>
      <c r="BC24" s="3"/>
      <c r="BD24" s="2"/>
    </row>
    <row r="25" spans="3:56" x14ac:dyDescent="0.2">
      <c r="C25" s="3"/>
      <c r="D25" s="3"/>
      <c r="E25" s="2"/>
      <c r="F25" s="3">
        <v>225.39</v>
      </c>
      <c r="G25" s="3">
        <v>17.04</v>
      </c>
      <c r="H25" s="2">
        <f t="shared" si="1"/>
        <v>4.0902875639999996E-2</v>
      </c>
      <c r="I25" s="3"/>
      <c r="J25" s="3"/>
      <c r="K25" s="2"/>
      <c r="L25" s="3"/>
      <c r="M25" s="3"/>
      <c r="N25" s="2"/>
      <c r="O25" s="3"/>
      <c r="P25" s="3"/>
      <c r="Q25" s="2"/>
      <c r="R25" s="3"/>
      <c r="S25" s="3"/>
      <c r="T25" s="2"/>
      <c r="U25" s="3"/>
      <c r="V25" s="3"/>
      <c r="W25" s="2"/>
      <c r="X25" s="3"/>
      <c r="Y25" s="3"/>
      <c r="Z25" s="2"/>
      <c r="AA25" s="3"/>
      <c r="AB25" s="3"/>
      <c r="AC25" s="2"/>
      <c r="AD25" s="3"/>
      <c r="AE25" s="3"/>
      <c r="AF25" s="2"/>
      <c r="AG25" s="3"/>
      <c r="AH25" s="3"/>
      <c r="AI25" s="2"/>
      <c r="AJ25" s="3"/>
      <c r="AK25" s="3"/>
      <c r="AL25" s="2"/>
      <c r="AM25" s="3"/>
      <c r="AN25" s="3"/>
      <c r="AO25" s="2"/>
      <c r="AP25" s="3"/>
      <c r="AQ25" s="3"/>
      <c r="AR25" s="2"/>
      <c r="AS25" s="3"/>
      <c r="AT25" s="3"/>
      <c r="AU25" s="2"/>
      <c r="AV25" s="3"/>
      <c r="AW25" s="3"/>
      <c r="AX25" s="2"/>
      <c r="AY25" s="3"/>
      <c r="AZ25" s="3"/>
      <c r="BA25" s="2"/>
      <c r="BB25" s="3"/>
      <c r="BC25" s="3"/>
      <c r="BD25" s="2"/>
    </row>
    <row r="26" spans="3:56" x14ac:dyDescent="0.2">
      <c r="C26" s="3"/>
      <c r="D26" s="3"/>
      <c r="E26" s="2"/>
      <c r="F26" s="3">
        <v>418.1</v>
      </c>
      <c r="G26" s="3">
        <v>23.22</v>
      </c>
      <c r="H26" s="2">
        <f t="shared" si="1"/>
        <v>0.14089144252499999</v>
      </c>
      <c r="I26" s="3"/>
      <c r="J26" s="3"/>
      <c r="K26" s="2"/>
      <c r="L26" s="3"/>
      <c r="M26" s="3"/>
      <c r="N26" s="2"/>
      <c r="O26" s="3"/>
      <c r="P26" s="3"/>
      <c r="Q26" s="2"/>
      <c r="R26" s="3"/>
      <c r="S26" s="3"/>
      <c r="T26" s="2"/>
      <c r="U26" s="3"/>
      <c r="V26" s="3"/>
      <c r="W26" s="2"/>
      <c r="X26" s="3"/>
      <c r="Y26" s="3"/>
      <c r="Z26" s="2"/>
      <c r="AA26" s="3"/>
      <c r="AB26" s="3"/>
      <c r="AC26" s="2"/>
      <c r="AD26" s="3"/>
      <c r="AE26" s="3"/>
      <c r="AF26" s="2"/>
      <c r="AG26" s="3"/>
      <c r="AH26" s="3"/>
      <c r="AI26" s="2"/>
      <c r="AJ26" s="3"/>
      <c r="AK26" s="3"/>
      <c r="AL26" s="2"/>
      <c r="AM26" s="3"/>
      <c r="AN26" s="3"/>
      <c r="AO26" s="2"/>
      <c r="AP26" s="3"/>
      <c r="AQ26" s="3"/>
      <c r="AR26" s="2"/>
      <c r="AS26" s="3"/>
      <c r="AT26" s="3"/>
      <c r="AU26" s="2"/>
      <c r="AV26" s="3"/>
      <c r="AW26" s="3"/>
      <c r="AX26" s="2"/>
      <c r="AY26" s="3"/>
      <c r="AZ26" s="3"/>
      <c r="BA26" s="2"/>
      <c r="BB26" s="3"/>
      <c r="BC26" s="3"/>
      <c r="BD26" s="2"/>
    </row>
    <row r="27" spans="3:56" x14ac:dyDescent="0.2">
      <c r="C27" s="3"/>
      <c r="D27" s="3"/>
      <c r="E27" s="2"/>
      <c r="F27" s="3">
        <v>230.51</v>
      </c>
      <c r="G27" s="3">
        <v>14.59</v>
      </c>
      <c r="H27" s="2">
        <f t="shared" si="1"/>
        <v>3.0667641081874999E-2</v>
      </c>
      <c r="I27" s="3"/>
      <c r="J27" s="3"/>
      <c r="K27" s="2"/>
      <c r="L27" s="3"/>
      <c r="M27" s="3"/>
      <c r="N27" s="2"/>
      <c r="O27" s="3"/>
      <c r="P27" s="3"/>
      <c r="Q27" s="2"/>
      <c r="R27" s="3"/>
      <c r="S27" s="3"/>
      <c r="T27" s="2"/>
      <c r="U27" s="3"/>
      <c r="V27" s="3"/>
      <c r="W27" s="2"/>
      <c r="X27" s="3"/>
      <c r="Y27" s="3"/>
      <c r="Z27" s="2"/>
      <c r="AA27" s="3"/>
      <c r="AB27" s="3"/>
      <c r="AC27" s="2"/>
      <c r="AD27" s="3"/>
      <c r="AE27" s="3"/>
      <c r="AF27" s="2"/>
      <c r="AG27" s="3"/>
      <c r="AH27" s="3"/>
      <c r="AI27" s="2"/>
      <c r="AJ27" s="3"/>
      <c r="AK27" s="3"/>
      <c r="AL27" s="2"/>
      <c r="AM27" s="3"/>
      <c r="AN27" s="3"/>
      <c r="AO27" s="2"/>
      <c r="AP27" s="3"/>
      <c r="AQ27" s="3"/>
      <c r="AR27" s="2"/>
      <c r="AS27" s="3"/>
      <c r="AT27" s="3"/>
      <c r="AU27" s="2"/>
      <c r="AV27" s="3"/>
      <c r="AW27" s="3"/>
      <c r="AX27" s="2"/>
      <c r="AY27" s="3"/>
      <c r="AZ27" s="3"/>
      <c r="BA27" s="2"/>
      <c r="BB27" s="3"/>
      <c r="BC27" s="3"/>
      <c r="BD27" s="2"/>
    </row>
    <row r="28" spans="3:56" x14ac:dyDescent="0.2">
      <c r="C28" s="3"/>
      <c r="D28" s="3"/>
      <c r="E28" s="2"/>
      <c r="F28" s="3">
        <v>325.61</v>
      </c>
      <c r="G28" s="3">
        <v>20.13</v>
      </c>
      <c r="H28" s="2">
        <f t="shared" si="1"/>
        <v>8.2464171755624996E-2</v>
      </c>
      <c r="I28" s="3"/>
      <c r="J28" s="3"/>
      <c r="K28" s="2"/>
      <c r="L28" s="3"/>
      <c r="M28" s="3"/>
      <c r="N28" s="2"/>
      <c r="O28" s="3"/>
      <c r="P28" s="3"/>
      <c r="Q28" s="2"/>
      <c r="R28" s="3"/>
      <c r="S28" s="3"/>
      <c r="T28" s="2"/>
      <c r="U28" s="3"/>
      <c r="V28" s="3"/>
      <c r="W28" s="2"/>
      <c r="X28" s="3"/>
      <c r="Y28" s="3"/>
      <c r="Z28" s="2"/>
      <c r="AA28" s="3"/>
      <c r="AB28" s="3"/>
      <c r="AC28" s="2"/>
      <c r="AD28" s="3"/>
      <c r="AE28" s="3"/>
      <c r="AF28" s="2"/>
      <c r="AG28" s="3"/>
      <c r="AH28" s="3"/>
      <c r="AI28" s="2"/>
      <c r="AJ28" s="3"/>
      <c r="AK28" s="3"/>
      <c r="AL28" s="2"/>
      <c r="AM28" s="3"/>
      <c r="AN28" s="3"/>
      <c r="AO28" s="2"/>
      <c r="AP28" s="3"/>
      <c r="AQ28" s="3"/>
      <c r="AR28" s="2"/>
      <c r="AS28" s="3"/>
      <c r="AT28" s="3"/>
      <c r="AU28" s="2"/>
      <c r="AV28" s="3"/>
      <c r="AW28" s="3"/>
      <c r="AX28" s="2"/>
      <c r="AY28" s="3"/>
      <c r="AZ28" s="3"/>
      <c r="BA28" s="2"/>
      <c r="BB28" s="3"/>
      <c r="BC28" s="3"/>
      <c r="BD28" s="2"/>
    </row>
    <row r="29" spans="3:56" x14ac:dyDescent="0.2">
      <c r="C29" s="3"/>
      <c r="D29" s="3"/>
      <c r="E29" s="2"/>
      <c r="F29" s="3">
        <v>220.69</v>
      </c>
      <c r="G29" s="3">
        <v>14.42</v>
      </c>
      <c r="H29" s="2">
        <f t="shared" si="1"/>
        <v>2.8680927572500001E-2</v>
      </c>
      <c r="I29" s="3"/>
      <c r="J29" s="3"/>
      <c r="K29" s="2"/>
      <c r="L29" s="3"/>
      <c r="M29" s="3"/>
      <c r="N29" s="2"/>
      <c r="O29" s="3"/>
      <c r="P29" s="3"/>
      <c r="Q29" s="2"/>
      <c r="R29" s="3"/>
      <c r="S29" s="3"/>
      <c r="T29" s="2"/>
      <c r="U29" s="3"/>
      <c r="V29" s="3"/>
      <c r="W29" s="2"/>
      <c r="X29" s="3"/>
      <c r="Y29" s="3"/>
      <c r="Z29" s="2"/>
      <c r="AA29" s="3"/>
      <c r="AB29" s="3"/>
      <c r="AC29" s="2"/>
      <c r="AD29" s="3"/>
      <c r="AE29" s="3"/>
      <c r="AF29" s="2"/>
      <c r="AG29" s="3"/>
      <c r="AH29" s="3"/>
      <c r="AI29" s="2"/>
      <c r="AJ29" s="3"/>
      <c r="AK29" s="3"/>
      <c r="AL29" s="2"/>
      <c r="AM29" s="3"/>
      <c r="AN29" s="3"/>
      <c r="AO29" s="2"/>
      <c r="AP29" s="3"/>
      <c r="AQ29" s="3"/>
      <c r="AR29" s="2"/>
      <c r="AS29" s="3"/>
      <c r="AT29" s="3"/>
      <c r="AU29" s="2"/>
      <c r="AV29" s="3"/>
      <c r="AW29" s="3"/>
      <c r="AX29" s="2"/>
      <c r="AY29" s="3"/>
      <c r="AZ29" s="3"/>
      <c r="BA29" s="2"/>
      <c r="BB29" s="3"/>
      <c r="BC29" s="3"/>
      <c r="BD29" s="2"/>
    </row>
    <row r="30" spans="3:56" x14ac:dyDescent="0.2">
      <c r="C30" s="3"/>
      <c r="D30" s="3"/>
      <c r="E30" s="2"/>
      <c r="F30" s="3">
        <v>362.37</v>
      </c>
      <c r="G30" s="3">
        <v>24.19</v>
      </c>
      <c r="H30" s="2">
        <f t="shared" si="1"/>
        <v>0.13252688497312501</v>
      </c>
      <c r="I30" s="3"/>
      <c r="J30" s="3"/>
      <c r="K30" s="2"/>
      <c r="L30" s="3"/>
      <c r="M30" s="3"/>
      <c r="N30" s="2"/>
      <c r="O30" s="3"/>
      <c r="P30" s="3"/>
      <c r="Q30" s="2"/>
      <c r="R30" s="3"/>
      <c r="S30" s="3"/>
      <c r="T30" s="2"/>
      <c r="U30" s="3"/>
      <c r="V30" s="3"/>
      <c r="W30" s="2"/>
      <c r="X30" s="3"/>
      <c r="Y30" s="3"/>
      <c r="Z30" s="2"/>
      <c r="AA30" s="3"/>
      <c r="AB30" s="3"/>
      <c r="AC30" s="2"/>
      <c r="AD30" s="3"/>
      <c r="AE30" s="3"/>
      <c r="AF30" s="2"/>
      <c r="AG30" s="3"/>
      <c r="AH30" s="3"/>
      <c r="AI30" s="2"/>
      <c r="AJ30" s="3"/>
      <c r="AK30" s="3"/>
      <c r="AL30" s="2"/>
      <c r="AM30" s="3"/>
      <c r="AN30" s="3"/>
      <c r="AO30" s="2"/>
      <c r="AP30" s="3"/>
      <c r="AQ30" s="3"/>
      <c r="AR30" s="2"/>
      <c r="AS30" s="3"/>
      <c r="AT30" s="3"/>
      <c r="AU30" s="2"/>
      <c r="AV30" s="3"/>
      <c r="AW30" s="3"/>
      <c r="AX30" s="2"/>
      <c r="AY30" s="3"/>
      <c r="AZ30" s="3"/>
      <c r="BA30" s="2"/>
      <c r="BB30" s="3"/>
      <c r="BC30" s="3"/>
      <c r="BD30" s="2"/>
    </row>
    <row r="31" spans="3:56" x14ac:dyDescent="0.2">
      <c r="C31" s="3"/>
      <c r="D31" s="3"/>
      <c r="E31" s="2"/>
      <c r="F31" s="3">
        <v>233.87</v>
      </c>
      <c r="G31" s="3">
        <v>10.73</v>
      </c>
      <c r="H31" s="2">
        <f t="shared" si="1"/>
        <v>1.6828832076875001E-2</v>
      </c>
      <c r="I31" s="3"/>
      <c r="J31" s="3"/>
      <c r="K31" s="2"/>
      <c r="L31" s="3"/>
      <c r="M31" s="3"/>
      <c r="N31" s="2"/>
      <c r="O31" s="3"/>
      <c r="P31" s="3"/>
      <c r="Q31" s="2"/>
      <c r="R31" s="3"/>
      <c r="S31" s="3"/>
      <c r="T31" s="2"/>
      <c r="U31" s="3"/>
      <c r="V31" s="3"/>
      <c r="W31" s="2"/>
      <c r="X31" s="3"/>
      <c r="Y31" s="3"/>
      <c r="Z31" s="2"/>
      <c r="AA31" s="3"/>
      <c r="AB31" s="3"/>
      <c r="AC31" s="2"/>
      <c r="AD31" s="3"/>
      <c r="AE31" s="3"/>
      <c r="AF31" s="2"/>
      <c r="AG31" s="3"/>
      <c r="AH31" s="3"/>
      <c r="AI31" s="2"/>
      <c r="AJ31" s="3"/>
      <c r="AK31" s="3"/>
      <c r="AL31" s="2"/>
      <c r="AM31" s="3"/>
      <c r="AN31" s="3"/>
      <c r="AO31" s="2"/>
      <c r="AP31" s="3"/>
      <c r="AQ31" s="3"/>
      <c r="AR31" s="2"/>
      <c r="AS31" s="3"/>
      <c r="AT31" s="3"/>
      <c r="AU31" s="2"/>
      <c r="AV31" s="3"/>
      <c r="AW31" s="3"/>
      <c r="AX31" s="2"/>
      <c r="AY31" s="3"/>
      <c r="AZ31" s="3"/>
      <c r="BA31" s="2"/>
      <c r="BB31" s="3"/>
      <c r="BC31" s="3"/>
      <c r="BD31" s="2"/>
    </row>
    <row r="32" spans="3:56" x14ac:dyDescent="0.2">
      <c r="C32" s="3"/>
      <c r="D32" s="3"/>
      <c r="E32" s="2"/>
      <c r="F32" s="3">
        <v>296.70999999999998</v>
      </c>
      <c r="G32" s="3">
        <v>15.7</v>
      </c>
      <c r="H32" s="2">
        <f t="shared" si="1"/>
        <v>4.5710029937499994E-2</v>
      </c>
      <c r="I32" s="3"/>
      <c r="J32" s="3"/>
      <c r="K32" s="2"/>
      <c r="L32" s="3"/>
      <c r="M32" s="3"/>
      <c r="N32" s="2"/>
      <c r="O32" s="3"/>
      <c r="P32" s="3"/>
      <c r="Q32" s="2"/>
      <c r="R32" s="3"/>
      <c r="S32" s="3"/>
      <c r="T32" s="2"/>
      <c r="U32" s="3"/>
      <c r="V32" s="3"/>
      <c r="W32" s="2"/>
      <c r="X32" s="3"/>
      <c r="Y32" s="3"/>
      <c r="Z32" s="2"/>
      <c r="AA32" s="3"/>
      <c r="AB32" s="3"/>
      <c r="AC32" s="2"/>
      <c r="AD32" s="3"/>
      <c r="AE32" s="3"/>
      <c r="AF32" s="2"/>
      <c r="AG32" s="3"/>
      <c r="AH32" s="3"/>
      <c r="AI32" s="2"/>
      <c r="AJ32" s="3"/>
      <c r="AK32" s="3"/>
      <c r="AL32" s="2"/>
      <c r="AM32" s="3"/>
      <c r="AN32" s="3"/>
      <c r="AO32" s="2"/>
      <c r="AP32" s="3"/>
      <c r="AQ32" s="3"/>
      <c r="AR32" s="2"/>
      <c r="AS32" s="3"/>
      <c r="AT32" s="3"/>
      <c r="AU32" s="2"/>
      <c r="AV32" s="3"/>
      <c r="AW32" s="3"/>
      <c r="AX32" s="2"/>
      <c r="AY32" s="3"/>
      <c r="AZ32" s="3"/>
      <c r="BA32" s="2"/>
      <c r="BB32" s="3"/>
      <c r="BC32" s="3"/>
      <c r="BD32" s="2"/>
    </row>
    <row r="33" spans="3:56" x14ac:dyDescent="0.2">
      <c r="C33" s="3"/>
      <c r="D33" s="3"/>
      <c r="E33" s="2"/>
      <c r="F33" s="3">
        <v>343.28</v>
      </c>
      <c r="G33" s="3">
        <v>18.63</v>
      </c>
      <c r="H33" s="2">
        <f t="shared" si="1"/>
        <v>7.4465348894999991E-2</v>
      </c>
      <c r="I33" s="3"/>
      <c r="J33" s="3"/>
      <c r="K33" s="2"/>
      <c r="L33" s="3"/>
      <c r="M33" s="3"/>
      <c r="N33" s="2"/>
      <c r="O33" s="3"/>
      <c r="P33" s="3"/>
      <c r="Q33" s="2"/>
      <c r="R33" s="3"/>
      <c r="S33" s="3"/>
      <c r="T33" s="2"/>
      <c r="U33" s="3"/>
      <c r="V33" s="3"/>
      <c r="W33" s="2"/>
      <c r="X33" s="3"/>
      <c r="Y33" s="3"/>
      <c r="Z33" s="2"/>
      <c r="AA33" s="3"/>
      <c r="AB33" s="3"/>
      <c r="AC33" s="2"/>
      <c r="AD33" s="3"/>
      <c r="AE33" s="3"/>
      <c r="AF33" s="2"/>
      <c r="AG33" s="3"/>
      <c r="AH33" s="3"/>
      <c r="AI33" s="2"/>
      <c r="AJ33" s="3"/>
      <c r="AK33" s="3"/>
      <c r="AL33" s="2"/>
      <c r="AM33" s="3"/>
      <c r="AN33" s="3"/>
      <c r="AO33" s="2"/>
      <c r="AP33" s="3"/>
      <c r="AQ33" s="3"/>
      <c r="AR33" s="2"/>
      <c r="AS33" s="3"/>
      <c r="AT33" s="3"/>
      <c r="AU33" s="2"/>
      <c r="AV33" s="3"/>
      <c r="AW33" s="3"/>
      <c r="AX33" s="2"/>
      <c r="AY33" s="3"/>
      <c r="AZ33" s="3"/>
      <c r="BA33" s="2"/>
      <c r="BB33" s="3"/>
      <c r="BC33" s="3"/>
      <c r="BD33" s="2"/>
    </row>
    <row r="34" spans="3:56" x14ac:dyDescent="0.2">
      <c r="C34" s="3"/>
      <c r="D34" s="3"/>
      <c r="E34" s="2"/>
      <c r="F34" s="3">
        <v>185.72</v>
      </c>
      <c r="G34" s="3">
        <v>14.21</v>
      </c>
      <c r="H34" s="2">
        <f t="shared" si="1"/>
        <v>2.3438339907500005E-2</v>
      </c>
      <c r="I34" s="3"/>
      <c r="J34" s="3"/>
      <c r="K34" s="2"/>
      <c r="L34" s="3"/>
      <c r="M34" s="3"/>
      <c r="N34" s="2"/>
      <c r="O34" s="3"/>
      <c r="P34" s="3"/>
      <c r="Q34" s="2"/>
      <c r="R34" s="3"/>
      <c r="S34" s="3"/>
      <c r="T34" s="2"/>
      <c r="U34" s="3"/>
      <c r="V34" s="3"/>
      <c r="W34" s="2"/>
      <c r="X34" s="3"/>
      <c r="Y34" s="3"/>
      <c r="Z34" s="2"/>
      <c r="AA34" s="3"/>
      <c r="AB34" s="3"/>
      <c r="AC34" s="2"/>
      <c r="AD34" s="3"/>
      <c r="AE34" s="3"/>
      <c r="AF34" s="2"/>
      <c r="AG34" s="3"/>
      <c r="AH34" s="3"/>
      <c r="AI34" s="2"/>
      <c r="AJ34" s="3"/>
      <c r="AK34" s="3"/>
      <c r="AL34" s="2"/>
      <c r="AM34" s="3"/>
      <c r="AN34" s="3"/>
      <c r="AO34" s="2"/>
      <c r="AP34" s="3"/>
      <c r="AQ34" s="3"/>
      <c r="AR34" s="2"/>
      <c r="AS34" s="3"/>
      <c r="AT34" s="3"/>
      <c r="AU34" s="2"/>
      <c r="AV34" s="3"/>
      <c r="AW34" s="3"/>
      <c r="AX34" s="2"/>
      <c r="AY34" s="3"/>
      <c r="AZ34" s="3"/>
      <c r="BA34" s="2"/>
      <c r="BB34" s="3"/>
      <c r="BC34" s="3"/>
      <c r="BD34" s="2"/>
    </row>
    <row r="35" spans="3:56" x14ac:dyDescent="0.2">
      <c r="C35" s="3"/>
      <c r="D35" s="3"/>
      <c r="E35" s="2"/>
      <c r="F35" s="3">
        <v>412.11</v>
      </c>
      <c r="G35" s="3">
        <v>20.98</v>
      </c>
      <c r="H35" s="2">
        <f t="shared" si="1"/>
        <v>0.11337156402750001</v>
      </c>
      <c r="I35" s="3"/>
      <c r="J35" s="3"/>
      <c r="K35" s="2"/>
      <c r="L35" s="3"/>
      <c r="M35" s="3"/>
      <c r="N35" s="2"/>
      <c r="O35" s="3"/>
      <c r="P35" s="3"/>
      <c r="Q35" s="2"/>
      <c r="R35" s="3"/>
      <c r="S35" s="3"/>
      <c r="T35" s="2"/>
      <c r="U35" s="3"/>
      <c r="V35" s="3"/>
      <c r="W35" s="2"/>
      <c r="X35" s="3"/>
      <c r="Y35" s="3"/>
      <c r="Z35" s="2"/>
      <c r="AA35" s="3"/>
      <c r="AB35" s="3"/>
      <c r="AC35" s="2"/>
      <c r="AD35" s="3"/>
      <c r="AE35" s="3"/>
      <c r="AF35" s="2"/>
      <c r="AG35" s="3"/>
      <c r="AH35" s="3"/>
      <c r="AI35" s="2"/>
      <c r="AJ35" s="3"/>
      <c r="AK35" s="3"/>
      <c r="AL35" s="2"/>
      <c r="AM35" s="3"/>
      <c r="AN35" s="3"/>
      <c r="AO35" s="2"/>
      <c r="AP35" s="3"/>
      <c r="AQ35" s="3"/>
      <c r="AR35" s="2"/>
      <c r="AS35" s="3"/>
      <c r="AT35" s="3"/>
      <c r="AU35" s="2"/>
      <c r="AV35" s="3"/>
      <c r="AW35" s="3"/>
      <c r="AX35" s="2"/>
      <c r="AY35" s="3"/>
      <c r="AZ35" s="3"/>
      <c r="BA35" s="2"/>
      <c r="BB35" s="3"/>
      <c r="BC35" s="3"/>
      <c r="BD35" s="2"/>
    </row>
    <row r="36" spans="3:56" x14ac:dyDescent="0.2">
      <c r="C36" s="3"/>
      <c r="D36" s="3"/>
      <c r="E36" s="2"/>
      <c r="F36" s="3">
        <v>190.59</v>
      </c>
      <c r="G36" s="3">
        <v>13.05</v>
      </c>
      <c r="H36" s="2">
        <f t="shared" si="1"/>
        <v>2.0286220921875004E-2</v>
      </c>
      <c r="I36" s="3"/>
      <c r="J36" s="3"/>
      <c r="K36" s="2"/>
      <c r="L36" s="3"/>
      <c r="M36" s="3"/>
      <c r="N36" s="2"/>
      <c r="O36" s="3"/>
      <c r="P36" s="3"/>
      <c r="Q36" s="2"/>
      <c r="R36" s="3"/>
      <c r="S36" s="3"/>
      <c r="T36" s="2"/>
      <c r="U36" s="3"/>
      <c r="V36" s="3"/>
      <c r="W36" s="2"/>
      <c r="X36" s="3"/>
      <c r="Y36" s="3"/>
      <c r="Z36" s="2"/>
      <c r="AA36" s="3"/>
      <c r="AB36" s="3"/>
      <c r="AC36" s="2"/>
      <c r="AD36" s="3"/>
      <c r="AE36" s="3"/>
      <c r="AF36" s="2"/>
      <c r="AG36" s="3"/>
      <c r="AH36" s="3"/>
      <c r="AI36" s="2"/>
      <c r="AJ36" s="3"/>
      <c r="AK36" s="3"/>
      <c r="AL36" s="2"/>
      <c r="AM36" s="3"/>
      <c r="AN36" s="3"/>
      <c r="AO36" s="2"/>
      <c r="AP36" s="3"/>
      <c r="AQ36" s="3"/>
      <c r="AR36" s="2"/>
      <c r="AS36" s="3"/>
      <c r="AT36" s="3"/>
      <c r="AU36" s="2"/>
      <c r="AV36" s="3"/>
      <c r="AW36" s="3"/>
      <c r="AX36" s="2"/>
      <c r="AY36" s="3"/>
      <c r="AZ36" s="3"/>
      <c r="BA36" s="2"/>
      <c r="BB36" s="3"/>
      <c r="BC36" s="3"/>
      <c r="BD36" s="2"/>
    </row>
    <row r="37" spans="3:56" x14ac:dyDescent="0.2">
      <c r="C37" s="3"/>
      <c r="D37" s="3"/>
      <c r="E37" s="2"/>
      <c r="F37" s="3">
        <v>275.77999999999997</v>
      </c>
      <c r="G37" s="3">
        <v>17.87</v>
      </c>
      <c r="H37" s="2">
        <f t="shared" si="1"/>
        <v>5.5041706426249996E-2</v>
      </c>
      <c r="I37" s="3"/>
      <c r="J37" s="3"/>
      <c r="K37" s="2"/>
      <c r="L37" s="3"/>
      <c r="M37" s="3"/>
      <c r="N37" s="2"/>
      <c r="O37" s="3"/>
      <c r="P37" s="3"/>
      <c r="Q37" s="2"/>
      <c r="R37" s="3"/>
      <c r="S37" s="3"/>
      <c r="T37" s="2"/>
      <c r="U37" s="3"/>
      <c r="V37" s="3"/>
      <c r="W37" s="2"/>
      <c r="X37" s="3"/>
      <c r="Y37" s="3"/>
      <c r="Z37" s="2"/>
      <c r="AA37" s="3"/>
      <c r="AB37" s="3"/>
      <c r="AC37" s="2"/>
      <c r="AD37" s="3"/>
      <c r="AE37" s="3"/>
      <c r="AF37" s="2"/>
      <c r="AG37" s="3"/>
      <c r="AH37" s="3"/>
      <c r="AI37" s="2"/>
      <c r="AJ37" s="3"/>
      <c r="AK37" s="3"/>
      <c r="AL37" s="2"/>
      <c r="AM37" s="3"/>
      <c r="AN37" s="3"/>
      <c r="AO37" s="2"/>
      <c r="AP37" s="3"/>
      <c r="AQ37" s="3"/>
      <c r="AR37" s="2"/>
      <c r="AS37" s="3"/>
      <c r="AT37" s="3"/>
      <c r="AU37" s="2"/>
      <c r="AV37" s="3"/>
      <c r="AW37" s="3"/>
      <c r="AX37" s="2"/>
      <c r="AY37" s="3"/>
      <c r="AZ37" s="3"/>
      <c r="BA37" s="2"/>
      <c r="BB37" s="3"/>
      <c r="BC37" s="3"/>
      <c r="BD37" s="2"/>
    </row>
    <row r="38" spans="3:56" x14ac:dyDescent="0.2">
      <c r="C38" s="3"/>
      <c r="D38" s="3"/>
      <c r="E38" s="2"/>
      <c r="F38" s="3">
        <v>348.86</v>
      </c>
      <c r="G38" s="3">
        <v>21.05</v>
      </c>
      <c r="H38" s="2">
        <f t="shared" ref="H38:H69" si="7">(F38*G38*G38)/1600000</f>
        <v>9.6612961343750012E-2</v>
      </c>
      <c r="I38" s="3"/>
      <c r="J38" s="3"/>
      <c r="K38" s="2"/>
      <c r="L38" s="3"/>
      <c r="M38" s="3"/>
      <c r="N38" s="2"/>
      <c r="O38" s="3"/>
      <c r="P38" s="3"/>
      <c r="Q38" s="2"/>
      <c r="R38" s="3"/>
      <c r="S38" s="3"/>
      <c r="T38" s="2"/>
      <c r="U38" s="3"/>
      <c r="V38" s="3"/>
      <c r="W38" s="2"/>
      <c r="X38" s="3"/>
      <c r="Y38" s="3"/>
      <c r="Z38" s="2"/>
      <c r="AA38" s="3"/>
      <c r="AB38" s="3"/>
      <c r="AC38" s="2"/>
      <c r="AD38" s="3"/>
      <c r="AE38" s="3"/>
      <c r="AF38" s="2"/>
      <c r="AG38" s="3"/>
      <c r="AH38" s="3"/>
      <c r="AI38" s="2"/>
      <c r="AJ38" s="3"/>
      <c r="AK38" s="3"/>
      <c r="AL38" s="2"/>
      <c r="AM38" s="3"/>
      <c r="AN38" s="3"/>
      <c r="AO38" s="2"/>
      <c r="AP38" s="3"/>
      <c r="AQ38" s="3"/>
      <c r="AR38" s="2"/>
      <c r="AS38" s="3"/>
      <c r="AT38" s="3"/>
      <c r="AU38" s="2"/>
      <c r="AV38" s="3"/>
      <c r="AW38" s="3"/>
      <c r="AX38" s="2"/>
      <c r="AY38" s="3"/>
      <c r="AZ38" s="3"/>
      <c r="BA38" s="2"/>
      <c r="BB38" s="3"/>
      <c r="BC38" s="3"/>
      <c r="BD38" s="2"/>
    </row>
    <row r="39" spans="3:56" x14ac:dyDescent="0.2">
      <c r="C39" s="3"/>
      <c r="D39" s="3"/>
      <c r="E39" s="2"/>
      <c r="F39" s="3">
        <v>290.18</v>
      </c>
      <c r="G39" s="3">
        <v>16.95</v>
      </c>
      <c r="H39" s="2">
        <f t="shared" si="7"/>
        <v>5.2105899656249996E-2</v>
      </c>
      <c r="I39" s="3"/>
      <c r="J39" s="3"/>
      <c r="K39" s="2"/>
      <c r="L39" s="3"/>
      <c r="M39" s="3"/>
      <c r="N39" s="2"/>
      <c r="O39" s="3"/>
      <c r="P39" s="3"/>
      <c r="Q39" s="2"/>
      <c r="R39" s="3"/>
      <c r="S39" s="3"/>
      <c r="T39" s="2"/>
      <c r="U39" s="3"/>
      <c r="V39" s="3"/>
      <c r="W39" s="2"/>
      <c r="X39" s="3"/>
      <c r="Y39" s="3"/>
      <c r="Z39" s="2"/>
      <c r="AA39" s="3"/>
      <c r="AB39" s="3"/>
      <c r="AC39" s="2"/>
      <c r="AD39" s="3"/>
      <c r="AE39" s="3"/>
      <c r="AF39" s="2"/>
      <c r="AG39" s="3"/>
      <c r="AH39" s="3"/>
      <c r="AI39" s="2"/>
      <c r="AJ39" s="3"/>
      <c r="AK39" s="3"/>
      <c r="AL39" s="2"/>
      <c r="AM39" s="3"/>
      <c r="AN39" s="3"/>
      <c r="AO39" s="2"/>
      <c r="AP39" s="3"/>
      <c r="AQ39" s="3"/>
      <c r="AR39" s="2"/>
      <c r="AS39" s="3"/>
      <c r="AT39" s="3"/>
      <c r="AU39" s="2"/>
      <c r="AV39" s="3"/>
      <c r="AW39" s="3"/>
      <c r="AX39" s="2"/>
      <c r="AY39" s="3"/>
      <c r="AZ39" s="3"/>
      <c r="BA39" s="2"/>
      <c r="BB39" s="3"/>
      <c r="BC39" s="3"/>
      <c r="BD39" s="2"/>
    </row>
    <row r="40" spans="3:56" x14ac:dyDescent="0.2">
      <c r="C40" s="3"/>
      <c r="D40" s="3"/>
      <c r="E40" s="2"/>
      <c r="F40" s="3">
        <v>189.71</v>
      </c>
      <c r="G40" s="3">
        <v>13.88</v>
      </c>
      <c r="H40" s="2">
        <f t="shared" si="7"/>
        <v>2.2842791390000002E-2</v>
      </c>
      <c r="I40" s="3"/>
      <c r="J40" s="3"/>
      <c r="K40" s="2"/>
      <c r="L40" s="3"/>
      <c r="M40" s="3"/>
      <c r="N40" s="2"/>
      <c r="O40" s="3"/>
      <c r="P40" s="3"/>
      <c r="Q40" s="2"/>
      <c r="R40" s="3"/>
      <c r="S40" s="3"/>
      <c r="T40" s="2"/>
      <c r="U40" s="3"/>
      <c r="V40" s="3"/>
      <c r="W40" s="2"/>
      <c r="X40" s="3"/>
      <c r="Y40" s="3"/>
      <c r="Z40" s="2"/>
      <c r="AA40" s="3"/>
      <c r="AB40" s="3"/>
      <c r="AC40" s="2"/>
      <c r="AD40" s="3"/>
      <c r="AE40" s="3"/>
      <c r="AF40" s="2"/>
      <c r="AG40" s="3"/>
      <c r="AH40" s="3"/>
      <c r="AI40" s="2"/>
      <c r="AJ40" s="3"/>
      <c r="AK40" s="3"/>
      <c r="AL40" s="2"/>
      <c r="AM40" s="3"/>
      <c r="AN40" s="3"/>
      <c r="AO40" s="2"/>
      <c r="AP40" s="3"/>
      <c r="AQ40" s="3"/>
      <c r="AR40" s="2"/>
      <c r="AS40" s="3"/>
      <c r="AT40" s="3"/>
      <c r="AU40" s="2"/>
      <c r="AV40" s="3"/>
      <c r="AW40" s="3"/>
      <c r="AX40" s="2"/>
      <c r="AY40" s="3"/>
      <c r="AZ40" s="3"/>
      <c r="BA40" s="2"/>
      <c r="BB40" s="3"/>
      <c r="BC40" s="3"/>
      <c r="BD40" s="2"/>
    </row>
    <row r="41" spans="3:56" x14ac:dyDescent="0.2">
      <c r="C41" s="3"/>
      <c r="D41" s="3"/>
      <c r="E41" s="2"/>
      <c r="F41" s="3">
        <v>442.76</v>
      </c>
      <c r="G41" s="3">
        <v>20.37</v>
      </c>
      <c r="H41" s="2">
        <f t="shared" si="7"/>
        <v>0.11482341365250003</v>
      </c>
      <c r="I41" s="3"/>
      <c r="J41" s="3"/>
      <c r="K41" s="2"/>
      <c r="L41" s="3"/>
      <c r="M41" s="3"/>
      <c r="N41" s="2"/>
      <c r="O41" s="3"/>
      <c r="P41" s="3"/>
      <c r="Q41" s="2"/>
      <c r="R41" s="3"/>
      <c r="S41" s="3"/>
      <c r="T41" s="2"/>
      <c r="U41" s="3"/>
      <c r="V41" s="3"/>
      <c r="W41" s="2"/>
      <c r="X41" s="3"/>
      <c r="Y41" s="3"/>
      <c r="Z41" s="2"/>
      <c r="AA41" s="3"/>
      <c r="AB41" s="3"/>
      <c r="AC41" s="2"/>
      <c r="AD41" s="3"/>
      <c r="AE41" s="3"/>
      <c r="AF41" s="2"/>
      <c r="AG41" s="3"/>
      <c r="AH41" s="3"/>
      <c r="AI41" s="2"/>
      <c r="AJ41" s="3"/>
      <c r="AK41" s="3"/>
      <c r="AL41" s="2"/>
      <c r="AM41" s="3"/>
      <c r="AN41" s="3"/>
      <c r="AO41" s="2"/>
      <c r="AP41" s="3"/>
      <c r="AQ41" s="3"/>
      <c r="AR41" s="2"/>
      <c r="AS41" s="3"/>
      <c r="AT41" s="3"/>
      <c r="AU41" s="2"/>
      <c r="AV41" s="3"/>
      <c r="AW41" s="3"/>
      <c r="AX41" s="2"/>
      <c r="AY41" s="3"/>
      <c r="AZ41" s="3"/>
      <c r="BA41" s="2"/>
      <c r="BB41" s="3"/>
      <c r="BC41" s="3"/>
      <c r="BD41" s="2"/>
    </row>
    <row r="42" spans="3:56" x14ac:dyDescent="0.2">
      <c r="C42" s="3"/>
      <c r="D42" s="3"/>
      <c r="E42" s="2"/>
      <c r="F42" s="3">
        <v>187.86</v>
      </c>
      <c r="G42" s="3">
        <v>15.53</v>
      </c>
      <c r="H42" s="2">
        <f t="shared" si="7"/>
        <v>2.8317652421249999E-2</v>
      </c>
      <c r="I42" s="3"/>
      <c r="J42" s="3"/>
      <c r="K42" s="2"/>
      <c r="L42" s="3"/>
      <c r="M42" s="3"/>
      <c r="N42" s="2"/>
      <c r="O42" s="3"/>
      <c r="P42" s="3"/>
      <c r="Q42" s="2"/>
      <c r="R42" s="3"/>
      <c r="S42" s="3"/>
      <c r="T42" s="2"/>
      <c r="U42" s="3"/>
      <c r="V42" s="3"/>
      <c r="W42" s="2"/>
      <c r="X42" s="3"/>
      <c r="Y42" s="3"/>
      <c r="Z42" s="2"/>
      <c r="AA42" s="3"/>
      <c r="AB42" s="3"/>
      <c r="AC42" s="2"/>
      <c r="AD42" s="3"/>
      <c r="AE42" s="3"/>
      <c r="AF42" s="2"/>
      <c r="AG42" s="3"/>
      <c r="AH42" s="3"/>
      <c r="AI42" s="2"/>
      <c r="AJ42" s="3"/>
      <c r="AK42" s="3"/>
      <c r="AL42" s="2"/>
      <c r="AM42" s="3"/>
      <c r="AN42" s="3"/>
      <c r="AO42" s="2"/>
      <c r="AP42" s="3"/>
      <c r="AQ42" s="3"/>
      <c r="AR42" s="2"/>
      <c r="AS42" s="3"/>
      <c r="AT42" s="3"/>
      <c r="AU42" s="2"/>
      <c r="AV42" s="3"/>
      <c r="AW42" s="3"/>
      <c r="AX42" s="2"/>
      <c r="AY42" s="3"/>
      <c r="AZ42" s="3"/>
      <c r="BA42" s="2"/>
      <c r="BB42" s="3"/>
      <c r="BC42" s="3"/>
      <c r="BD42" s="2"/>
    </row>
    <row r="43" spans="3:56" x14ac:dyDescent="0.2">
      <c r="C43" s="3"/>
      <c r="D43" s="3"/>
      <c r="E43" s="2"/>
      <c r="F43" s="3">
        <v>296.08</v>
      </c>
      <c r="G43" s="3">
        <v>14.39</v>
      </c>
      <c r="H43" s="2">
        <f t="shared" si="7"/>
        <v>3.8318692105000003E-2</v>
      </c>
      <c r="I43" s="3"/>
      <c r="J43" s="3"/>
      <c r="K43" s="2"/>
      <c r="L43" s="3"/>
      <c r="M43" s="3"/>
      <c r="N43" s="2"/>
      <c r="O43" s="3"/>
      <c r="P43" s="3"/>
      <c r="Q43" s="2"/>
      <c r="R43" s="3"/>
      <c r="S43" s="3"/>
      <c r="T43" s="2"/>
      <c r="U43" s="3"/>
      <c r="V43" s="3"/>
      <c r="W43" s="2"/>
      <c r="X43" s="3"/>
      <c r="Y43" s="3"/>
      <c r="Z43" s="2"/>
      <c r="AA43" s="3"/>
      <c r="AB43" s="3"/>
      <c r="AC43" s="2"/>
      <c r="AD43" s="3"/>
      <c r="AE43" s="3"/>
      <c r="AF43" s="2"/>
      <c r="AG43" s="3"/>
      <c r="AH43" s="3"/>
      <c r="AI43" s="2"/>
      <c r="AJ43" s="3"/>
      <c r="AK43" s="3"/>
      <c r="AL43" s="2"/>
      <c r="AM43" s="3"/>
      <c r="AN43" s="3"/>
      <c r="AO43" s="2"/>
      <c r="AP43" s="3"/>
      <c r="AQ43" s="3"/>
      <c r="AR43" s="2"/>
      <c r="AS43" s="3"/>
      <c r="AT43" s="3"/>
      <c r="AU43" s="2"/>
      <c r="AV43" s="3"/>
      <c r="AW43" s="3"/>
      <c r="AX43" s="2"/>
      <c r="AY43" s="3"/>
      <c r="AZ43" s="3"/>
      <c r="BA43" s="2"/>
      <c r="BB43" s="3"/>
      <c r="BC43" s="3"/>
      <c r="BD43" s="2"/>
    </row>
    <row r="44" spans="3:56" x14ac:dyDescent="0.2">
      <c r="C44" s="3"/>
      <c r="D44" s="3"/>
      <c r="E44" s="2"/>
      <c r="F44" s="3">
        <v>258.08</v>
      </c>
      <c r="G44" s="3">
        <v>13.82</v>
      </c>
      <c r="H44" s="2">
        <f t="shared" si="7"/>
        <v>3.0807074119999996E-2</v>
      </c>
      <c r="I44" s="3"/>
      <c r="J44" s="3"/>
      <c r="K44" s="2"/>
      <c r="L44" s="3"/>
      <c r="M44" s="3"/>
      <c r="N44" s="2"/>
      <c r="O44" s="3"/>
      <c r="P44" s="3"/>
      <c r="Q44" s="2"/>
      <c r="R44" s="3"/>
      <c r="S44" s="3"/>
      <c r="T44" s="2"/>
      <c r="U44" s="3"/>
      <c r="V44" s="3"/>
      <c r="W44" s="2"/>
      <c r="X44" s="3"/>
      <c r="Y44" s="3"/>
      <c r="Z44" s="2"/>
      <c r="AA44" s="3"/>
      <c r="AB44" s="3"/>
      <c r="AC44" s="2"/>
      <c r="AD44" s="3"/>
      <c r="AE44" s="3"/>
      <c r="AF44" s="2"/>
      <c r="AG44" s="3"/>
      <c r="AH44" s="3"/>
      <c r="AI44" s="2"/>
      <c r="AJ44" s="3"/>
      <c r="AK44" s="3"/>
      <c r="AL44" s="2"/>
      <c r="AM44" s="3"/>
      <c r="AN44" s="3"/>
      <c r="AO44" s="2"/>
      <c r="AP44" s="3"/>
      <c r="AQ44" s="3"/>
      <c r="AR44" s="2"/>
      <c r="AS44" s="3"/>
      <c r="AT44" s="3"/>
      <c r="AU44" s="2"/>
      <c r="AV44" s="3"/>
      <c r="AW44" s="3"/>
      <c r="AX44" s="2"/>
      <c r="AY44" s="3"/>
      <c r="AZ44" s="3"/>
      <c r="BA44" s="2"/>
      <c r="BB44" s="3"/>
      <c r="BC44" s="3"/>
      <c r="BD44" s="2"/>
    </row>
    <row r="45" spans="3:56" x14ac:dyDescent="0.2">
      <c r="C45" s="3"/>
      <c r="D45" s="3"/>
      <c r="E45" s="2"/>
      <c r="F45" s="3">
        <v>216.46</v>
      </c>
      <c r="G45" s="3">
        <v>12.58</v>
      </c>
      <c r="H45" s="2">
        <f t="shared" si="7"/>
        <v>2.1410112714999999E-2</v>
      </c>
      <c r="I45" s="3"/>
      <c r="J45" s="3"/>
      <c r="K45" s="2"/>
      <c r="L45" s="3"/>
      <c r="M45" s="3"/>
      <c r="N45" s="2"/>
      <c r="O45" s="3"/>
      <c r="P45" s="3"/>
      <c r="Q45" s="2"/>
      <c r="R45" s="3"/>
      <c r="S45" s="3"/>
      <c r="T45" s="2"/>
      <c r="U45" s="3"/>
      <c r="V45" s="3"/>
      <c r="W45" s="2"/>
      <c r="X45" s="3"/>
      <c r="Y45" s="3"/>
      <c r="Z45" s="2"/>
      <c r="AA45" s="3"/>
      <c r="AB45" s="3"/>
      <c r="AC45" s="2"/>
      <c r="AD45" s="3"/>
      <c r="AE45" s="3"/>
      <c r="AF45" s="2"/>
      <c r="AG45" s="3"/>
      <c r="AH45" s="3"/>
      <c r="AI45" s="2"/>
      <c r="AJ45" s="3"/>
      <c r="AK45" s="3"/>
      <c r="AL45" s="2"/>
      <c r="AM45" s="3"/>
      <c r="AN45" s="3"/>
      <c r="AO45" s="2"/>
      <c r="AP45" s="3"/>
      <c r="AQ45" s="3"/>
      <c r="AR45" s="2"/>
      <c r="AS45" s="3"/>
      <c r="AT45" s="3"/>
      <c r="AU45" s="2"/>
      <c r="AV45" s="3"/>
      <c r="AW45" s="3"/>
      <c r="AX45" s="2"/>
      <c r="AY45" s="3"/>
      <c r="AZ45" s="3"/>
      <c r="BA45" s="2"/>
      <c r="BB45" s="3"/>
      <c r="BC45" s="3"/>
      <c r="BD45" s="2"/>
    </row>
    <row r="46" spans="3:56" x14ac:dyDescent="0.2">
      <c r="C46" s="3"/>
      <c r="D46" s="3"/>
      <c r="E46" s="2"/>
      <c r="F46" s="3">
        <v>327.11</v>
      </c>
      <c r="G46" s="3">
        <v>17.440000000000001</v>
      </c>
      <c r="H46" s="2">
        <f t="shared" si="7"/>
        <v>6.2182302560000006E-2</v>
      </c>
      <c r="I46" s="3"/>
      <c r="J46" s="3"/>
      <c r="K46" s="2"/>
      <c r="L46" s="3"/>
      <c r="M46" s="3"/>
      <c r="N46" s="2"/>
      <c r="O46" s="3"/>
      <c r="P46" s="3"/>
      <c r="Q46" s="2"/>
      <c r="R46" s="3"/>
      <c r="S46" s="3"/>
      <c r="T46" s="2"/>
      <c r="U46" s="3"/>
      <c r="V46" s="3"/>
      <c r="W46" s="2"/>
      <c r="X46" s="3"/>
      <c r="Y46" s="3"/>
      <c r="Z46" s="2"/>
      <c r="AA46" s="3"/>
      <c r="AB46" s="3"/>
      <c r="AC46" s="2"/>
      <c r="AD46" s="3"/>
      <c r="AE46" s="3"/>
      <c r="AF46" s="2"/>
      <c r="AG46" s="3"/>
      <c r="AH46" s="3"/>
      <c r="AI46" s="2"/>
      <c r="AJ46" s="3"/>
      <c r="AK46" s="3"/>
      <c r="AL46" s="2"/>
      <c r="AM46" s="3"/>
      <c r="AN46" s="3"/>
      <c r="AO46" s="2"/>
      <c r="AP46" s="3"/>
      <c r="AQ46" s="3"/>
      <c r="AR46" s="2"/>
      <c r="AS46" s="3"/>
      <c r="AT46" s="3"/>
      <c r="AU46" s="2"/>
      <c r="AV46" s="3"/>
      <c r="AW46" s="3"/>
      <c r="AX46" s="2"/>
      <c r="AY46" s="3"/>
      <c r="AZ46" s="3"/>
      <c r="BA46" s="2"/>
      <c r="BB46" s="3"/>
      <c r="BC46" s="3"/>
      <c r="BD46" s="2"/>
    </row>
    <row r="47" spans="3:56" x14ac:dyDescent="0.2">
      <c r="C47" s="3"/>
      <c r="D47" s="3"/>
      <c r="E47" s="2"/>
      <c r="F47" s="3">
        <v>263.95</v>
      </c>
      <c r="G47" s="3">
        <v>17.25</v>
      </c>
      <c r="H47" s="2">
        <f t="shared" si="7"/>
        <v>4.9088513671875E-2</v>
      </c>
      <c r="I47" s="3"/>
      <c r="J47" s="3"/>
      <c r="K47" s="2"/>
      <c r="L47" s="3"/>
      <c r="M47" s="3"/>
      <c r="N47" s="2"/>
      <c r="O47" s="3"/>
      <c r="P47" s="3"/>
      <c r="Q47" s="2"/>
      <c r="R47" s="3"/>
      <c r="S47" s="3"/>
      <c r="T47" s="2"/>
      <c r="U47" s="3"/>
      <c r="V47" s="3"/>
      <c r="W47" s="2"/>
      <c r="X47" s="3"/>
      <c r="Y47" s="3"/>
      <c r="Z47" s="2"/>
      <c r="AA47" s="3"/>
      <c r="AB47" s="3"/>
      <c r="AC47" s="2"/>
      <c r="AD47" s="3"/>
      <c r="AE47" s="3"/>
      <c r="AF47" s="2"/>
      <c r="AG47" s="3"/>
      <c r="AH47" s="3"/>
      <c r="AI47" s="2"/>
      <c r="AJ47" s="3"/>
      <c r="AK47" s="3"/>
      <c r="AL47" s="2"/>
      <c r="AM47" s="3"/>
      <c r="AN47" s="3"/>
      <c r="AO47" s="2"/>
      <c r="AP47" s="3"/>
      <c r="AQ47" s="3"/>
      <c r="AR47" s="2"/>
      <c r="AS47" s="3"/>
      <c r="AT47" s="3"/>
      <c r="AU47" s="2"/>
      <c r="AV47" s="3"/>
      <c r="AW47" s="3"/>
      <c r="AX47" s="2"/>
      <c r="AY47" s="3"/>
      <c r="AZ47" s="3"/>
      <c r="BA47" s="2"/>
      <c r="BB47" s="3"/>
      <c r="BC47" s="3"/>
      <c r="BD47" s="2"/>
    </row>
    <row r="48" spans="3:56" x14ac:dyDescent="0.2">
      <c r="C48" s="3"/>
      <c r="D48" s="3"/>
      <c r="E48" s="2"/>
      <c r="F48" s="3">
        <v>361.66</v>
      </c>
      <c r="G48" s="3">
        <v>20.03</v>
      </c>
      <c r="H48" s="2">
        <f t="shared" si="7"/>
        <v>9.0686448433750011E-2</v>
      </c>
      <c r="I48" s="3"/>
      <c r="J48" s="3"/>
      <c r="K48" s="2"/>
      <c r="L48" s="3"/>
      <c r="M48" s="3"/>
      <c r="N48" s="2"/>
      <c r="O48" s="3"/>
      <c r="P48" s="3"/>
      <c r="Q48" s="2"/>
      <c r="R48" s="3"/>
      <c r="S48" s="3"/>
      <c r="T48" s="2"/>
      <c r="U48" s="3"/>
      <c r="V48" s="3"/>
      <c r="W48" s="2"/>
      <c r="X48" s="3"/>
      <c r="Y48" s="3"/>
      <c r="Z48" s="2"/>
      <c r="AA48" s="3"/>
      <c r="AB48" s="3"/>
      <c r="AC48" s="2"/>
      <c r="AD48" s="3"/>
      <c r="AE48" s="3"/>
      <c r="AF48" s="2"/>
      <c r="AG48" s="3"/>
      <c r="AH48" s="3"/>
      <c r="AI48" s="2"/>
      <c r="AJ48" s="3"/>
      <c r="AK48" s="3"/>
      <c r="AL48" s="2"/>
      <c r="AM48" s="3"/>
      <c r="AN48" s="3"/>
      <c r="AO48" s="2"/>
      <c r="AP48" s="3"/>
      <c r="AQ48" s="3"/>
      <c r="AR48" s="2"/>
      <c r="AS48" s="3"/>
      <c r="AT48" s="3"/>
      <c r="AU48" s="2"/>
      <c r="AV48" s="3"/>
      <c r="AW48" s="3"/>
      <c r="AX48" s="2"/>
      <c r="AY48" s="3"/>
      <c r="AZ48" s="3"/>
      <c r="BA48" s="2"/>
      <c r="BB48" s="3"/>
      <c r="BC48" s="3"/>
      <c r="BD48" s="2"/>
    </row>
    <row r="49" spans="3:56" x14ac:dyDescent="0.2">
      <c r="C49" s="3"/>
      <c r="D49" s="3"/>
      <c r="E49" s="2"/>
      <c r="F49" s="3">
        <v>415.75</v>
      </c>
      <c r="G49" s="3">
        <v>26.67</v>
      </c>
      <c r="H49" s="2">
        <f t="shared" si="7"/>
        <v>0.18482397510937501</v>
      </c>
      <c r="I49" s="3"/>
      <c r="J49" s="3"/>
      <c r="K49" s="2"/>
      <c r="L49" s="3"/>
      <c r="M49" s="3"/>
      <c r="N49" s="2"/>
      <c r="O49" s="3"/>
      <c r="P49" s="3"/>
      <c r="Q49" s="2"/>
      <c r="R49" s="3"/>
      <c r="S49" s="3"/>
      <c r="T49" s="2"/>
      <c r="U49" s="3"/>
      <c r="V49" s="3"/>
      <c r="W49" s="2"/>
      <c r="X49" s="3"/>
      <c r="Y49" s="3"/>
      <c r="Z49" s="2"/>
      <c r="AA49" s="3"/>
      <c r="AB49" s="3"/>
      <c r="AC49" s="2"/>
      <c r="AD49" s="3"/>
      <c r="AE49" s="3"/>
      <c r="AF49" s="2"/>
      <c r="AG49" s="3"/>
      <c r="AH49" s="3"/>
      <c r="AI49" s="2"/>
      <c r="AJ49" s="3"/>
      <c r="AK49" s="3"/>
      <c r="AL49" s="2"/>
      <c r="AM49" s="3"/>
      <c r="AN49" s="3"/>
      <c r="AO49" s="2"/>
      <c r="AP49" s="3"/>
      <c r="AQ49" s="3"/>
      <c r="AR49" s="2"/>
      <c r="AS49" s="3"/>
      <c r="AT49" s="3"/>
      <c r="AU49" s="2"/>
      <c r="AV49" s="3"/>
      <c r="AW49" s="3"/>
      <c r="AX49" s="2"/>
      <c r="AY49" s="3"/>
      <c r="AZ49" s="3"/>
      <c r="BA49" s="2"/>
      <c r="BB49" s="3"/>
      <c r="BC49" s="3"/>
      <c r="BD49" s="2"/>
    </row>
    <row r="50" spans="3:56" x14ac:dyDescent="0.2">
      <c r="C50" s="3"/>
      <c r="D50" s="3"/>
      <c r="E50" s="2"/>
      <c r="F50" s="3">
        <v>186.84</v>
      </c>
      <c r="G50" s="3">
        <v>14.54</v>
      </c>
      <c r="H50" s="2">
        <f t="shared" si="7"/>
        <v>2.4687589589999996E-2</v>
      </c>
      <c r="I50" s="3"/>
      <c r="J50" s="3"/>
      <c r="K50" s="2"/>
      <c r="L50" s="3"/>
      <c r="M50" s="3"/>
      <c r="N50" s="2"/>
      <c r="O50" s="3"/>
      <c r="P50" s="3"/>
      <c r="Q50" s="2"/>
      <c r="R50" s="3"/>
      <c r="S50" s="3"/>
      <c r="T50" s="2"/>
      <c r="U50" s="3"/>
      <c r="V50" s="3"/>
      <c r="W50" s="2"/>
      <c r="X50" s="3"/>
      <c r="Y50" s="3"/>
      <c r="Z50" s="2"/>
      <c r="AA50" s="3"/>
      <c r="AB50" s="3"/>
      <c r="AC50" s="2"/>
      <c r="AD50" s="3"/>
      <c r="AE50" s="3"/>
      <c r="AF50" s="2"/>
      <c r="AG50" s="3"/>
      <c r="AH50" s="3"/>
      <c r="AI50" s="2"/>
      <c r="AJ50" s="3"/>
      <c r="AK50" s="3"/>
      <c r="AL50" s="2"/>
      <c r="AM50" s="3"/>
      <c r="AN50" s="3"/>
      <c r="AO50" s="2"/>
      <c r="AP50" s="3"/>
      <c r="AQ50" s="3"/>
      <c r="AR50" s="2"/>
      <c r="AS50" s="3"/>
      <c r="AT50" s="3"/>
      <c r="AU50" s="2"/>
      <c r="AV50" s="3"/>
      <c r="AW50" s="3"/>
      <c r="AX50" s="2"/>
      <c r="AY50" s="3"/>
      <c r="AZ50" s="3"/>
      <c r="BA50" s="2"/>
      <c r="BB50" s="3"/>
      <c r="BC50" s="3"/>
      <c r="BD50" s="2"/>
    </row>
    <row r="51" spans="3:56" x14ac:dyDescent="0.2">
      <c r="C51" s="3"/>
      <c r="D51" s="3"/>
      <c r="E51" s="2"/>
      <c r="F51" s="3">
        <v>248.96</v>
      </c>
      <c r="G51" s="3">
        <v>14.65</v>
      </c>
      <c r="H51" s="2">
        <f t="shared" si="7"/>
        <v>3.3395261000000002E-2</v>
      </c>
      <c r="I51" s="3"/>
      <c r="J51" s="3"/>
      <c r="K51" s="2"/>
      <c r="L51" s="3"/>
      <c r="M51" s="3"/>
      <c r="N51" s="2"/>
      <c r="O51" s="3"/>
      <c r="P51" s="3"/>
      <c r="Q51" s="2"/>
      <c r="R51" s="3"/>
      <c r="S51" s="3"/>
      <c r="T51" s="2"/>
      <c r="U51" s="3"/>
      <c r="V51" s="3"/>
      <c r="W51" s="2"/>
      <c r="X51" s="3"/>
      <c r="Y51" s="3"/>
      <c r="Z51" s="2"/>
      <c r="AA51" s="3"/>
      <c r="AB51" s="3"/>
      <c r="AC51" s="2"/>
      <c r="AD51" s="3"/>
      <c r="AE51" s="3"/>
      <c r="AF51" s="2"/>
      <c r="AG51" s="3"/>
      <c r="AH51" s="3"/>
      <c r="AI51" s="2"/>
      <c r="AJ51" s="3"/>
      <c r="AK51" s="3"/>
      <c r="AL51" s="2"/>
      <c r="AM51" s="3"/>
      <c r="AN51" s="3"/>
      <c r="AO51" s="2"/>
      <c r="AP51" s="3"/>
      <c r="AQ51" s="3"/>
      <c r="AR51" s="2"/>
      <c r="AS51" s="3"/>
      <c r="AT51" s="3"/>
      <c r="AU51" s="2"/>
      <c r="AV51" s="3"/>
      <c r="AW51" s="3"/>
      <c r="AX51" s="2"/>
      <c r="AY51" s="3"/>
      <c r="AZ51" s="3"/>
      <c r="BA51" s="2"/>
      <c r="BB51" s="3"/>
      <c r="BC51" s="3"/>
      <c r="BD51" s="2"/>
    </row>
    <row r="52" spans="3:56" x14ac:dyDescent="0.2">
      <c r="C52" s="3"/>
      <c r="D52" s="3"/>
      <c r="E52" s="2"/>
      <c r="F52" s="3">
        <v>383.78</v>
      </c>
      <c r="G52" s="3">
        <v>21.57</v>
      </c>
      <c r="H52" s="2">
        <f t="shared" si="7"/>
        <v>0.11159960207625</v>
      </c>
      <c r="I52" s="3"/>
      <c r="J52" s="3"/>
      <c r="K52" s="2"/>
      <c r="L52" s="3"/>
      <c r="M52" s="3"/>
      <c r="N52" s="2"/>
      <c r="O52" s="3"/>
      <c r="P52" s="3"/>
      <c r="Q52" s="2"/>
      <c r="R52" s="3"/>
      <c r="S52" s="3"/>
      <c r="T52" s="2"/>
      <c r="U52" s="3"/>
      <c r="V52" s="3"/>
      <c r="W52" s="2"/>
      <c r="X52" s="3"/>
      <c r="Y52" s="3"/>
      <c r="Z52" s="2"/>
      <c r="AA52" s="3"/>
      <c r="AB52" s="3"/>
      <c r="AC52" s="2"/>
      <c r="AD52" s="3"/>
      <c r="AE52" s="3"/>
      <c r="AF52" s="2"/>
      <c r="AG52" s="3"/>
      <c r="AH52" s="3"/>
      <c r="AI52" s="2"/>
      <c r="AJ52" s="3"/>
      <c r="AK52" s="3"/>
      <c r="AL52" s="2"/>
      <c r="AM52" s="3"/>
      <c r="AN52" s="3"/>
      <c r="AO52" s="2"/>
      <c r="AP52" s="3"/>
      <c r="AQ52" s="3"/>
      <c r="AR52" s="2"/>
      <c r="AS52" s="3"/>
      <c r="AT52" s="3"/>
      <c r="AU52" s="2"/>
      <c r="AV52" s="3"/>
      <c r="AW52" s="3"/>
      <c r="AX52" s="2"/>
      <c r="AY52" s="3"/>
      <c r="AZ52" s="3"/>
      <c r="BA52" s="2"/>
      <c r="BB52" s="3"/>
      <c r="BC52" s="3"/>
      <c r="BD52" s="2"/>
    </row>
    <row r="53" spans="3:56" x14ac:dyDescent="0.2">
      <c r="C53" s="3"/>
      <c r="D53" s="3"/>
      <c r="E53" s="2"/>
      <c r="F53" s="3">
        <v>263.08999999999997</v>
      </c>
      <c r="G53" s="3">
        <v>12.78</v>
      </c>
      <c r="H53" s="2">
        <f t="shared" si="7"/>
        <v>2.6856292972499994E-2</v>
      </c>
      <c r="I53" s="3"/>
      <c r="J53" s="3"/>
      <c r="K53" s="2"/>
      <c r="L53" s="3"/>
      <c r="M53" s="3"/>
      <c r="N53" s="2"/>
      <c r="O53" s="3"/>
      <c r="P53" s="3"/>
      <c r="Q53" s="2"/>
      <c r="R53" s="3"/>
      <c r="S53" s="3"/>
      <c r="T53" s="2"/>
      <c r="U53" s="3"/>
      <c r="V53" s="3"/>
      <c r="W53" s="2"/>
      <c r="X53" s="3"/>
      <c r="Y53" s="3"/>
      <c r="Z53" s="2"/>
      <c r="AA53" s="3"/>
      <c r="AB53" s="3"/>
      <c r="AC53" s="2"/>
      <c r="AD53" s="3"/>
      <c r="AE53" s="3"/>
      <c r="AF53" s="2"/>
      <c r="AG53" s="3"/>
      <c r="AH53" s="3"/>
      <c r="AI53" s="2"/>
      <c r="AJ53" s="3"/>
      <c r="AK53" s="3"/>
      <c r="AL53" s="2"/>
      <c r="AM53" s="3"/>
      <c r="AN53" s="3"/>
      <c r="AO53" s="2"/>
      <c r="AP53" s="3"/>
      <c r="AQ53" s="3"/>
      <c r="AR53" s="2"/>
      <c r="AS53" s="3"/>
      <c r="AT53" s="3"/>
      <c r="AU53" s="2"/>
      <c r="AV53" s="3"/>
      <c r="AW53" s="3"/>
      <c r="AX53" s="2"/>
      <c r="AY53" s="3"/>
      <c r="AZ53" s="3"/>
      <c r="BA53" s="2"/>
      <c r="BB53" s="3"/>
      <c r="BC53" s="3"/>
      <c r="BD53" s="2"/>
    </row>
    <row r="54" spans="3:56" x14ac:dyDescent="0.2">
      <c r="C54" s="3"/>
      <c r="D54" s="3"/>
      <c r="E54" s="2"/>
      <c r="F54" s="3">
        <v>254.69</v>
      </c>
      <c r="G54" s="3">
        <v>14.51</v>
      </c>
      <c r="H54" s="2">
        <f t="shared" si="7"/>
        <v>3.3514036293125E-2</v>
      </c>
      <c r="I54" s="3"/>
      <c r="J54" s="3"/>
      <c r="K54" s="2"/>
      <c r="L54" s="3"/>
      <c r="M54" s="3"/>
      <c r="N54" s="2"/>
      <c r="O54" s="3"/>
      <c r="P54" s="3"/>
      <c r="Q54" s="2"/>
      <c r="R54" s="3"/>
      <c r="S54" s="3"/>
      <c r="T54" s="2"/>
      <c r="U54" s="3"/>
      <c r="V54" s="3"/>
      <c r="W54" s="2"/>
      <c r="X54" s="3"/>
      <c r="Y54" s="3"/>
      <c r="Z54" s="2"/>
      <c r="AA54" s="3"/>
      <c r="AB54" s="3"/>
      <c r="AC54" s="2"/>
      <c r="AD54" s="3"/>
      <c r="AE54" s="3"/>
      <c r="AF54" s="2"/>
      <c r="AG54" s="3"/>
      <c r="AH54" s="3"/>
      <c r="AI54" s="2"/>
      <c r="AJ54" s="3"/>
      <c r="AK54" s="3"/>
      <c r="AL54" s="2"/>
      <c r="AM54" s="3"/>
      <c r="AN54" s="3"/>
      <c r="AO54" s="2"/>
      <c r="AP54" s="3"/>
      <c r="AQ54" s="3"/>
      <c r="AR54" s="2"/>
      <c r="AS54" s="3"/>
      <c r="AT54" s="3"/>
      <c r="AU54" s="2"/>
      <c r="AV54" s="3"/>
      <c r="AW54" s="3"/>
      <c r="AX54" s="2"/>
      <c r="AY54" s="3"/>
      <c r="AZ54" s="3"/>
      <c r="BA54" s="2"/>
      <c r="BB54" s="3"/>
      <c r="BC54" s="3"/>
      <c r="BD54" s="2"/>
    </row>
    <row r="55" spans="3:56" x14ac:dyDescent="0.2">
      <c r="C55" s="3"/>
      <c r="D55" s="3"/>
      <c r="E55" s="2"/>
      <c r="F55" s="3">
        <v>191.47</v>
      </c>
      <c r="G55" s="3">
        <v>16.2</v>
      </c>
      <c r="H55" s="2">
        <f t="shared" si="7"/>
        <v>3.1405866749999997E-2</v>
      </c>
      <c r="I55" s="3"/>
      <c r="J55" s="3"/>
      <c r="K55" s="2"/>
      <c r="L55" s="3"/>
      <c r="M55" s="3"/>
      <c r="N55" s="2"/>
      <c r="O55" s="3"/>
      <c r="P55" s="3"/>
      <c r="Q55" s="2"/>
      <c r="R55" s="3"/>
      <c r="S55" s="3"/>
      <c r="T55" s="2"/>
      <c r="U55" s="3"/>
      <c r="V55" s="3"/>
      <c r="W55" s="2"/>
      <c r="X55" s="3"/>
      <c r="Y55" s="3"/>
      <c r="Z55" s="2"/>
      <c r="AA55" s="3"/>
      <c r="AB55" s="3"/>
      <c r="AC55" s="2"/>
      <c r="AD55" s="3"/>
      <c r="AE55" s="3"/>
      <c r="AF55" s="2"/>
      <c r="AG55" s="3"/>
      <c r="AH55" s="3"/>
      <c r="AI55" s="2"/>
      <c r="AJ55" s="3"/>
      <c r="AK55" s="3"/>
      <c r="AL55" s="2"/>
      <c r="AM55" s="3"/>
      <c r="AN55" s="3"/>
      <c r="AO55" s="2"/>
      <c r="AP55" s="3"/>
      <c r="AQ55" s="3"/>
      <c r="AR55" s="2"/>
      <c r="AS55" s="3"/>
      <c r="AT55" s="3"/>
      <c r="AU55" s="2"/>
      <c r="AV55" s="3"/>
      <c r="AW55" s="3"/>
      <c r="AX55" s="2"/>
      <c r="AY55" s="3"/>
      <c r="AZ55" s="3"/>
      <c r="BA55" s="2"/>
      <c r="BB55" s="3"/>
      <c r="BC55" s="3"/>
      <c r="BD55" s="2"/>
    </row>
    <row r="56" spans="3:56" x14ac:dyDescent="0.2">
      <c r="C56" s="3"/>
      <c r="D56" s="3"/>
      <c r="E56" s="2"/>
      <c r="F56" s="3">
        <v>180.16</v>
      </c>
      <c r="G56" s="3">
        <v>14.27</v>
      </c>
      <c r="H56" s="2">
        <f t="shared" si="7"/>
        <v>2.2929064539999999E-2</v>
      </c>
      <c r="I56" s="3"/>
      <c r="J56" s="3"/>
      <c r="K56" s="2"/>
      <c r="L56" s="3"/>
      <c r="M56" s="3"/>
      <c r="N56" s="2"/>
      <c r="O56" s="3"/>
      <c r="P56" s="3"/>
      <c r="Q56" s="2"/>
      <c r="R56" s="3"/>
      <c r="S56" s="3"/>
      <c r="T56" s="2"/>
      <c r="U56" s="3"/>
      <c r="V56" s="3"/>
      <c r="W56" s="2"/>
      <c r="X56" s="3"/>
      <c r="Y56" s="3"/>
      <c r="Z56" s="2"/>
      <c r="AA56" s="3"/>
      <c r="AB56" s="3"/>
      <c r="AC56" s="2"/>
      <c r="AD56" s="3"/>
      <c r="AE56" s="3"/>
      <c r="AF56" s="2"/>
      <c r="AG56" s="3"/>
      <c r="AH56" s="3"/>
      <c r="AI56" s="2"/>
      <c r="AJ56" s="3"/>
      <c r="AK56" s="3"/>
      <c r="AL56" s="2"/>
      <c r="AM56" s="3"/>
      <c r="AN56" s="3"/>
      <c r="AO56" s="2"/>
      <c r="AP56" s="3"/>
      <c r="AQ56" s="3"/>
      <c r="AR56" s="2"/>
      <c r="AS56" s="3"/>
      <c r="AT56" s="3"/>
      <c r="AU56" s="2"/>
      <c r="AV56" s="3"/>
      <c r="AW56" s="3"/>
      <c r="AX56" s="2"/>
      <c r="AY56" s="3"/>
      <c r="AZ56" s="3"/>
      <c r="BA56" s="2"/>
      <c r="BB56" s="3"/>
      <c r="BC56" s="3"/>
      <c r="BD56" s="2"/>
    </row>
    <row r="57" spans="3:56" x14ac:dyDescent="0.2">
      <c r="C57" s="3"/>
      <c r="D57" s="3"/>
      <c r="E57" s="2"/>
      <c r="F57" s="3">
        <v>209.97</v>
      </c>
      <c r="G57" s="3">
        <v>14.32</v>
      </c>
      <c r="H57" s="2">
        <f t="shared" si="7"/>
        <v>2.6910595079999999E-2</v>
      </c>
      <c r="I57" s="3"/>
      <c r="J57" s="3"/>
      <c r="K57" s="2"/>
      <c r="L57" s="3"/>
      <c r="M57" s="3"/>
      <c r="N57" s="2"/>
      <c r="O57" s="3"/>
      <c r="P57" s="3"/>
      <c r="Q57" s="2"/>
      <c r="R57" s="3"/>
      <c r="S57" s="3"/>
      <c r="T57" s="2"/>
      <c r="U57" s="3"/>
      <c r="V57" s="3"/>
      <c r="W57" s="2"/>
      <c r="X57" s="3"/>
      <c r="Y57" s="3"/>
      <c r="Z57" s="2"/>
      <c r="AA57" s="3"/>
      <c r="AB57" s="3"/>
      <c r="AC57" s="2"/>
      <c r="AD57" s="3"/>
      <c r="AE57" s="3"/>
      <c r="AF57" s="2"/>
      <c r="AG57" s="3"/>
      <c r="AH57" s="3"/>
      <c r="AI57" s="2"/>
      <c r="AJ57" s="3"/>
      <c r="AK57" s="3"/>
      <c r="AL57" s="2"/>
      <c r="AM57" s="3"/>
      <c r="AN57" s="3"/>
      <c r="AO57" s="2"/>
      <c r="AP57" s="3"/>
      <c r="AQ57" s="3"/>
      <c r="AR57" s="2"/>
      <c r="AS57" s="3"/>
      <c r="AT57" s="3"/>
      <c r="AU57" s="2"/>
      <c r="AV57" s="3"/>
      <c r="AW57" s="3"/>
      <c r="AX57" s="2"/>
      <c r="AY57" s="3"/>
      <c r="AZ57" s="3"/>
      <c r="BA57" s="2"/>
      <c r="BB57" s="3"/>
      <c r="BC57" s="3"/>
      <c r="BD57" s="2"/>
    </row>
    <row r="58" spans="3:56" x14ac:dyDescent="0.2">
      <c r="C58" s="3"/>
      <c r="D58" s="3"/>
      <c r="E58" s="2"/>
      <c r="F58" s="3">
        <v>305.29000000000002</v>
      </c>
      <c r="G58" s="3">
        <v>17.72</v>
      </c>
      <c r="H58" s="2">
        <f t="shared" si="7"/>
        <v>5.991285720999999E-2</v>
      </c>
      <c r="I58" s="3"/>
      <c r="J58" s="3"/>
      <c r="K58" s="2"/>
      <c r="L58" s="3"/>
      <c r="M58" s="3"/>
      <c r="N58" s="2"/>
      <c r="O58" s="3"/>
      <c r="P58" s="3"/>
      <c r="Q58" s="2"/>
      <c r="R58" s="3"/>
      <c r="S58" s="3"/>
      <c r="T58" s="2"/>
      <c r="U58" s="3"/>
      <c r="V58" s="3"/>
      <c r="W58" s="2"/>
      <c r="X58" s="3"/>
      <c r="Y58" s="3"/>
      <c r="Z58" s="2"/>
      <c r="AA58" s="3"/>
      <c r="AB58" s="3"/>
      <c r="AC58" s="2"/>
      <c r="AD58" s="3"/>
      <c r="AE58" s="3"/>
      <c r="AF58" s="2"/>
      <c r="AG58" s="3"/>
      <c r="AH58" s="3"/>
      <c r="AI58" s="2"/>
      <c r="AJ58" s="3"/>
      <c r="AK58" s="3"/>
      <c r="AL58" s="2"/>
      <c r="AM58" s="3"/>
      <c r="AN58" s="3"/>
      <c r="AO58" s="2"/>
      <c r="AP58" s="3"/>
      <c r="AQ58" s="3"/>
      <c r="AR58" s="2"/>
      <c r="AS58" s="3"/>
      <c r="AT58" s="3"/>
      <c r="AU58" s="2"/>
      <c r="AV58" s="3"/>
      <c r="AW58" s="3"/>
      <c r="AX58" s="2"/>
      <c r="AY58" s="3"/>
      <c r="AZ58" s="3"/>
      <c r="BA58" s="2"/>
      <c r="BB58" s="3"/>
      <c r="BC58" s="3"/>
      <c r="BD58" s="2"/>
    </row>
    <row r="59" spans="3:56" x14ac:dyDescent="0.2">
      <c r="C59" s="3"/>
      <c r="D59" s="3"/>
      <c r="E59" s="2"/>
      <c r="F59" s="3">
        <v>292.81</v>
      </c>
      <c r="G59" s="3">
        <v>15.16</v>
      </c>
      <c r="H59" s="2">
        <f t="shared" si="7"/>
        <v>4.2059521210000006E-2</v>
      </c>
      <c r="I59" s="3"/>
      <c r="J59" s="3"/>
      <c r="K59" s="2"/>
      <c r="L59" s="3"/>
      <c r="M59" s="3"/>
      <c r="N59" s="2"/>
      <c r="O59" s="3"/>
      <c r="P59" s="3"/>
      <c r="Q59" s="2"/>
      <c r="R59" s="3"/>
      <c r="S59" s="3"/>
      <c r="T59" s="2"/>
      <c r="U59" s="3"/>
      <c r="V59" s="3"/>
      <c r="W59" s="2"/>
      <c r="X59" s="3"/>
      <c r="Y59" s="3"/>
      <c r="Z59" s="2"/>
      <c r="AA59" s="3"/>
      <c r="AB59" s="3"/>
      <c r="AC59" s="2"/>
      <c r="AD59" s="3"/>
      <c r="AE59" s="3"/>
      <c r="AF59" s="2"/>
      <c r="AG59" s="3"/>
      <c r="AH59" s="3"/>
      <c r="AI59" s="2"/>
      <c r="AJ59" s="3"/>
      <c r="AK59" s="3"/>
      <c r="AL59" s="2"/>
      <c r="AM59" s="3"/>
      <c r="AN59" s="3"/>
      <c r="AO59" s="2"/>
      <c r="AP59" s="3"/>
      <c r="AQ59" s="3"/>
      <c r="AR59" s="2"/>
      <c r="AS59" s="3"/>
      <c r="AT59" s="3"/>
      <c r="AU59" s="2"/>
      <c r="AV59" s="3"/>
      <c r="AW59" s="3"/>
      <c r="AX59" s="2"/>
      <c r="AY59" s="3"/>
      <c r="AZ59" s="3"/>
      <c r="BA59" s="2"/>
      <c r="BB59" s="3"/>
      <c r="BC59" s="3"/>
      <c r="BD59" s="2"/>
    </row>
    <row r="60" spans="3:56" x14ac:dyDescent="0.2">
      <c r="C60" s="3"/>
      <c r="D60" s="3"/>
      <c r="E60" s="2"/>
      <c r="F60" s="3">
        <v>342.09</v>
      </c>
      <c r="G60" s="3">
        <v>16.21</v>
      </c>
      <c r="H60" s="2">
        <f t="shared" si="7"/>
        <v>5.6180606855625002E-2</v>
      </c>
      <c r="I60" s="3"/>
      <c r="J60" s="3"/>
      <c r="K60" s="2"/>
      <c r="L60" s="3"/>
      <c r="M60" s="3"/>
      <c r="N60" s="2"/>
      <c r="O60" s="3"/>
      <c r="P60" s="3"/>
      <c r="Q60" s="2"/>
      <c r="R60" s="3"/>
      <c r="S60" s="3"/>
      <c r="T60" s="2"/>
      <c r="U60" s="3"/>
      <c r="V60" s="3"/>
      <c r="W60" s="2"/>
      <c r="X60" s="3"/>
      <c r="Y60" s="3"/>
      <c r="Z60" s="2"/>
      <c r="AA60" s="3"/>
      <c r="AB60" s="3"/>
      <c r="AC60" s="2"/>
      <c r="AD60" s="3"/>
      <c r="AE60" s="3"/>
      <c r="AF60" s="2"/>
      <c r="AG60" s="3"/>
      <c r="AH60" s="3"/>
      <c r="AI60" s="2"/>
      <c r="AJ60" s="3"/>
      <c r="AK60" s="3"/>
      <c r="AL60" s="2"/>
      <c r="AM60" s="3"/>
      <c r="AN60" s="3"/>
      <c r="AO60" s="2"/>
      <c r="AP60" s="3"/>
      <c r="AQ60" s="3"/>
      <c r="AR60" s="2"/>
      <c r="AS60" s="3"/>
      <c r="AT60" s="3"/>
      <c r="AU60" s="2"/>
      <c r="AV60" s="3"/>
      <c r="AW60" s="3"/>
      <c r="AX60" s="2"/>
      <c r="AY60" s="3"/>
      <c r="AZ60" s="3"/>
      <c r="BA60" s="2"/>
      <c r="BB60" s="3"/>
      <c r="BC60" s="3"/>
      <c r="BD60" s="2"/>
    </row>
    <row r="61" spans="3:56" x14ac:dyDescent="0.2">
      <c r="C61" s="3"/>
      <c r="D61" s="3"/>
      <c r="E61" s="2"/>
      <c r="F61" s="3">
        <v>248.97</v>
      </c>
      <c r="G61" s="3">
        <v>15.01</v>
      </c>
      <c r="H61" s="2">
        <f t="shared" si="7"/>
        <v>3.5058103685624994E-2</v>
      </c>
      <c r="I61" s="3"/>
      <c r="J61" s="3"/>
      <c r="K61" s="2"/>
      <c r="L61" s="3"/>
      <c r="M61" s="3"/>
      <c r="N61" s="2"/>
      <c r="O61" s="3"/>
      <c r="P61" s="3"/>
      <c r="Q61" s="2"/>
      <c r="R61" s="3"/>
      <c r="S61" s="3"/>
      <c r="T61" s="2"/>
      <c r="U61" s="3"/>
      <c r="V61" s="3"/>
      <c r="W61" s="2"/>
      <c r="X61" s="3"/>
      <c r="Y61" s="3"/>
      <c r="Z61" s="2"/>
      <c r="AA61" s="3"/>
      <c r="AB61" s="3"/>
      <c r="AC61" s="2"/>
      <c r="AD61" s="3"/>
      <c r="AE61" s="3"/>
      <c r="AF61" s="2"/>
      <c r="AG61" s="3"/>
      <c r="AH61" s="3"/>
      <c r="AI61" s="2"/>
      <c r="AJ61" s="3"/>
      <c r="AK61" s="3"/>
      <c r="AL61" s="2"/>
      <c r="AM61" s="3"/>
      <c r="AN61" s="3"/>
      <c r="AO61" s="2"/>
      <c r="AP61" s="3"/>
      <c r="AQ61" s="3"/>
      <c r="AR61" s="2"/>
      <c r="AS61" s="3"/>
      <c r="AT61" s="3"/>
      <c r="AU61" s="2"/>
      <c r="AV61" s="3"/>
      <c r="AW61" s="3"/>
      <c r="AX61" s="2"/>
      <c r="AY61" s="3"/>
      <c r="AZ61" s="3"/>
      <c r="BA61" s="2"/>
      <c r="BB61" s="3"/>
      <c r="BC61" s="3"/>
      <c r="BD61" s="2"/>
    </row>
    <row r="62" spans="3:56" x14ac:dyDescent="0.2">
      <c r="C62" s="3"/>
      <c r="D62" s="3"/>
      <c r="E62" s="2"/>
      <c r="F62" s="3">
        <v>236.31</v>
      </c>
      <c r="G62" s="3">
        <v>19.72</v>
      </c>
      <c r="H62" s="2">
        <f t="shared" si="7"/>
        <v>5.7434909190000001E-2</v>
      </c>
      <c r="I62" s="3"/>
      <c r="J62" s="3"/>
      <c r="K62" s="2"/>
      <c r="L62" s="3"/>
      <c r="M62" s="3"/>
      <c r="N62" s="2"/>
      <c r="O62" s="3"/>
      <c r="P62" s="3"/>
      <c r="Q62" s="2"/>
      <c r="R62" s="3"/>
      <c r="S62" s="3"/>
      <c r="T62" s="2"/>
      <c r="U62" s="3"/>
      <c r="V62" s="3"/>
      <c r="W62" s="2"/>
      <c r="X62" s="3"/>
      <c r="Y62" s="3"/>
      <c r="Z62" s="2"/>
      <c r="AA62" s="3"/>
      <c r="AB62" s="3"/>
      <c r="AC62" s="2"/>
      <c r="AD62" s="3"/>
      <c r="AE62" s="3"/>
      <c r="AF62" s="2"/>
      <c r="AG62" s="3"/>
      <c r="AH62" s="3"/>
      <c r="AI62" s="2"/>
      <c r="AJ62" s="3"/>
      <c r="AK62" s="3"/>
      <c r="AL62" s="2"/>
      <c r="AM62" s="3"/>
      <c r="AN62" s="3"/>
      <c r="AO62" s="2"/>
      <c r="AP62" s="3"/>
      <c r="AQ62" s="3"/>
      <c r="AR62" s="2"/>
      <c r="AS62" s="3"/>
      <c r="AT62" s="3"/>
      <c r="AU62" s="2"/>
      <c r="AV62" s="3"/>
      <c r="AW62" s="3"/>
      <c r="AX62" s="2"/>
      <c r="AY62" s="3"/>
      <c r="AZ62" s="3"/>
      <c r="BA62" s="2"/>
      <c r="BB62" s="3"/>
      <c r="BC62" s="3"/>
      <c r="BD62" s="2"/>
    </row>
    <row r="63" spans="3:56" x14ac:dyDescent="0.2">
      <c r="C63" s="3"/>
      <c r="D63" s="3"/>
      <c r="E63" s="2"/>
      <c r="F63" s="3">
        <v>310.05</v>
      </c>
      <c r="G63" s="3">
        <v>15.57</v>
      </c>
      <c r="H63" s="2">
        <f t="shared" si="7"/>
        <v>4.6977400153125001E-2</v>
      </c>
      <c r="I63" s="3"/>
      <c r="J63" s="3"/>
      <c r="K63" s="2"/>
      <c r="L63" s="3"/>
      <c r="M63" s="3"/>
      <c r="N63" s="2"/>
      <c r="O63" s="3"/>
      <c r="P63" s="3"/>
      <c r="Q63" s="2"/>
      <c r="R63" s="3"/>
      <c r="S63" s="3"/>
      <c r="T63" s="2"/>
      <c r="U63" s="3"/>
      <c r="V63" s="3"/>
      <c r="W63" s="2"/>
      <c r="X63" s="3"/>
      <c r="Y63" s="3"/>
      <c r="Z63" s="2"/>
      <c r="AA63" s="3"/>
      <c r="AB63" s="3"/>
      <c r="AC63" s="2"/>
      <c r="AD63" s="3"/>
      <c r="AE63" s="3"/>
      <c r="AF63" s="2"/>
      <c r="AG63" s="3"/>
      <c r="AH63" s="3"/>
      <c r="AI63" s="2"/>
      <c r="AJ63" s="3"/>
      <c r="AK63" s="3"/>
      <c r="AL63" s="2"/>
      <c r="AM63" s="3"/>
      <c r="AN63" s="3"/>
      <c r="AO63" s="2"/>
      <c r="AP63" s="3"/>
      <c r="AQ63" s="3"/>
      <c r="AR63" s="2"/>
      <c r="AS63" s="3"/>
      <c r="AT63" s="3"/>
      <c r="AU63" s="2"/>
      <c r="AV63" s="3"/>
      <c r="AW63" s="3"/>
      <c r="AX63" s="2"/>
      <c r="AY63" s="3"/>
      <c r="AZ63" s="3"/>
      <c r="BA63" s="2"/>
      <c r="BB63" s="3"/>
      <c r="BC63" s="3"/>
      <c r="BD63" s="2"/>
    </row>
    <row r="64" spans="3:56" x14ac:dyDescent="0.2">
      <c r="C64" s="3"/>
      <c r="D64" s="3"/>
      <c r="E64" s="2"/>
      <c r="F64" s="3">
        <v>337.38</v>
      </c>
      <c r="G64" s="3">
        <v>17.41</v>
      </c>
      <c r="H64" s="2">
        <f t="shared" si="7"/>
        <v>6.3914131736250004E-2</v>
      </c>
      <c r="I64" s="3"/>
      <c r="J64" s="3"/>
      <c r="K64" s="2"/>
      <c r="L64" s="3"/>
      <c r="M64" s="3"/>
      <c r="N64" s="2"/>
      <c r="O64" s="3"/>
      <c r="P64" s="3"/>
      <c r="Q64" s="2"/>
      <c r="R64" s="3"/>
      <c r="S64" s="3"/>
      <c r="T64" s="2"/>
      <c r="U64" s="3"/>
      <c r="V64" s="3"/>
      <c r="W64" s="2"/>
      <c r="X64" s="3"/>
      <c r="Y64" s="3"/>
      <c r="Z64" s="2"/>
      <c r="AA64" s="3"/>
      <c r="AB64" s="3"/>
      <c r="AC64" s="2"/>
      <c r="AD64" s="3"/>
      <c r="AE64" s="3"/>
      <c r="AF64" s="2"/>
      <c r="AG64" s="3"/>
      <c r="AH64" s="3"/>
      <c r="AI64" s="2"/>
      <c r="AJ64" s="3"/>
      <c r="AK64" s="3"/>
      <c r="AL64" s="2"/>
      <c r="AM64" s="3"/>
      <c r="AN64" s="3"/>
      <c r="AO64" s="2"/>
      <c r="AP64" s="3"/>
      <c r="AQ64" s="3"/>
      <c r="AR64" s="2"/>
      <c r="AS64" s="3"/>
      <c r="AT64" s="3"/>
      <c r="AU64" s="2"/>
      <c r="AV64" s="3"/>
      <c r="AW64" s="3"/>
      <c r="AX64" s="2"/>
      <c r="AY64" s="3"/>
      <c r="AZ64" s="3"/>
      <c r="BA64" s="2"/>
      <c r="BB64" s="3"/>
      <c r="BC64" s="3"/>
      <c r="BD64" s="2"/>
    </row>
    <row r="65" spans="3:56" x14ac:dyDescent="0.2">
      <c r="C65" s="3"/>
      <c r="D65" s="3"/>
      <c r="E65" s="2"/>
      <c r="F65" s="3">
        <v>295.76</v>
      </c>
      <c r="G65" s="3">
        <v>16.97</v>
      </c>
      <c r="H65" s="2">
        <f t="shared" si="7"/>
        <v>5.3233269364999988E-2</v>
      </c>
      <c r="I65" s="3"/>
      <c r="J65" s="3"/>
      <c r="K65" s="2"/>
      <c r="L65" s="3"/>
      <c r="M65" s="3"/>
      <c r="N65" s="2"/>
      <c r="O65" s="3"/>
      <c r="P65" s="3"/>
      <c r="Q65" s="2"/>
      <c r="R65" s="3"/>
      <c r="S65" s="3"/>
      <c r="T65" s="2"/>
      <c r="U65" s="3"/>
      <c r="V65" s="3"/>
      <c r="W65" s="2"/>
      <c r="X65" s="3"/>
      <c r="Y65" s="3"/>
      <c r="Z65" s="2"/>
      <c r="AA65" s="3"/>
      <c r="AB65" s="3"/>
      <c r="AC65" s="2"/>
      <c r="AD65" s="3"/>
      <c r="AE65" s="3"/>
      <c r="AF65" s="2"/>
      <c r="AG65" s="3"/>
      <c r="AH65" s="3"/>
      <c r="AI65" s="2"/>
      <c r="AJ65" s="3"/>
      <c r="AK65" s="3"/>
      <c r="AL65" s="2"/>
      <c r="AM65" s="3"/>
      <c r="AN65" s="3"/>
      <c r="AO65" s="2"/>
      <c r="AP65" s="3"/>
      <c r="AQ65" s="3"/>
      <c r="AR65" s="2"/>
      <c r="AS65" s="3"/>
      <c r="AT65" s="3"/>
      <c r="AU65" s="2"/>
      <c r="AV65" s="3"/>
      <c r="AW65" s="3"/>
      <c r="AX65" s="2"/>
      <c r="AY65" s="3"/>
      <c r="AZ65" s="3"/>
      <c r="BA65" s="2"/>
      <c r="BB65" s="3"/>
      <c r="BC65" s="3"/>
      <c r="BD65" s="2"/>
    </row>
    <row r="66" spans="3:56" x14ac:dyDescent="0.2">
      <c r="C66" s="3"/>
      <c r="D66" s="3"/>
      <c r="E66" s="2"/>
      <c r="F66" s="3">
        <v>212.19</v>
      </c>
      <c r="G66" s="3">
        <v>14.58</v>
      </c>
      <c r="H66" s="2">
        <f t="shared" si="7"/>
        <v>2.8191616447500002E-2</v>
      </c>
      <c r="I66" s="3"/>
      <c r="J66" s="3"/>
      <c r="K66" s="2"/>
      <c r="L66" s="3"/>
      <c r="M66" s="3"/>
      <c r="N66" s="2"/>
      <c r="O66" s="3"/>
      <c r="P66" s="3"/>
      <c r="Q66" s="2"/>
      <c r="R66" s="3"/>
      <c r="S66" s="3"/>
      <c r="T66" s="2"/>
      <c r="U66" s="3"/>
      <c r="V66" s="3"/>
      <c r="W66" s="2"/>
      <c r="X66" s="3"/>
      <c r="Y66" s="3"/>
      <c r="Z66" s="2"/>
      <c r="AA66" s="3"/>
      <c r="AB66" s="3"/>
      <c r="AC66" s="2"/>
      <c r="AD66" s="3"/>
      <c r="AE66" s="3"/>
      <c r="AF66" s="2"/>
      <c r="AG66" s="3"/>
      <c r="AH66" s="3"/>
      <c r="AI66" s="2"/>
      <c r="AJ66" s="3"/>
      <c r="AK66" s="3"/>
      <c r="AL66" s="2"/>
      <c r="AM66" s="3"/>
      <c r="AN66" s="3"/>
      <c r="AO66" s="2"/>
      <c r="AP66" s="3"/>
      <c r="AQ66" s="3"/>
      <c r="AR66" s="2"/>
      <c r="AS66" s="3"/>
      <c r="AT66" s="3"/>
      <c r="AU66" s="2"/>
      <c r="AV66" s="3"/>
      <c r="AW66" s="3"/>
      <c r="AX66" s="2"/>
      <c r="AY66" s="3"/>
      <c r="AZ66" s="3"/>
      <c r="BA66" s="2"/>
      <c r="BB66" s="3"/>
      <c r="BC66" s="3"/>
      <c r="BD66" s="2"/>
    </row>
    <row r="67" spans="3:56" x14ac:dyDescent="0.2">
      <c r="C67" s="3"/>
      <c r="D67" s="3"/>
      <c r="E67" s="2"/>
      <c r="F67" s="3">
        <v>203.77</v>
      </c>
      <c r="G67" s="3">
        <v>13.51</v>
      </c>
      <c r="H67" s="2">
        <f t="shared" si="7"/>
        <v>2.3245075485625002E-2</v>
      </c>
      <c r="I67" s="3"/>
      <c r="J67" s="3"/>
      <c r="K67" s="2"/>
      <c r="L67" s="3"/>
      <c r="M67" s="3"/>
      <c r="N67" s="2"/>
      <c r="O67" s="3"/>
      <c r="P67" s="3"/>
      <c r="Q67" s="2"/>
      <c r="R67" s="3"/>
      <c r="S67" s="3"/>
      <c r="T67" s="2"/>
      <c r="U67" s="3"/>
      <c r="V67" s="3"/>
      <c r="W67" s="2"/>
      <c r="X67" s="3"/>
      <c r="Y67" s="3"/>
      <c r="Z67" s="2"/>
      <c r="AA67" s="3"/>
      <c r="AB67" s="3"/>
      <c r="AC67" s="2"/>
      <c r="AD67" s="3"/>
      <c r="AE67" s="3"/>
      <c r="AF67" s="2"/>
      <c r="AG67" s="3"/>
      <c r="AH67" s="3"/>
      <c r="AI67" s="2"/>
      <c r="AJ67" s="3"/>
      <c r="AK67" s="3"/>
      <c r="AL67" s="2"/>
      <c r="AM67" s="3"/>
      <c r="AN67" s="3"/>
      <c r="AO67" s="2"/>
      <c r="AP67" s="3"/>
      <c r="AQ67" s="3"/>
      <c r="AR67" s="2"/>
      <c r="AS67" s="3"/>
      <c r="AT67" s="3"/>
      <c r="AU67" s="2"/>
      <c r="AV67" s="3"/>
      <c r="AW67" s="3"/>
      <c r="AX67" s="2"/>
      <c r="AY67" s="3"/>
      <c r="AZ67" s="3"/>
      <c r="BA67" s="2"/>
      <c r="BB67" s="3"/>
      <c r="BC67" s="3"/>
      <c r="BD67" s="2"/>
    </row>
    <row r="68" spans="3:56" x14ac:dyDescent="0.2">
      <c r="C68" s="3"/>
      <c r="D68" s="3"/>
      <c r="E68" s="2"/>
      <c r="F68" s="3">
        <v>405.03</v>
      </c>
      <c r="G68" s="3">
        <v>21.34</v>
      </c>
      <c r="H68" s="2">
        <f t="shared" si="7"/>
        <v>0.11528054991749997</v>
      </c>
      <c r="I68" s="3"/>
      <c r="J68" s="3"/>
      <c r="K68" s="2"/>
      <c r="L68" s="3"/>
      <c r="M68" s="3"/>
      <c r="N68" s="2"/>
      <c r="O68" s="3"/>
      <c r="P68" s="3"/>
      <c r="Q68" s="2"/>
      <c r="R68" s="3"/>
      <c r="S68" s="3"/>
      <c r="T68" s="2"/>
      <c r="U68" s="3"/>
      <c r="V68" s="3"/>
      <c r="W68" s="2"/>
      <c r="X68" s="3"/>
      <c r="Y68" s="3"/>
      <c r="Z68" s="2"/>
      <c r="AA68" s="3"/>
      <c r="AB68" s="3"/>
      <c r="AC68" s="2"/>
      <c r="AD68" s="3"/>
      <c r="AE68" s="3"/>
      <c r="AF68" s="2"/>
      <c r="AG68" s="3"/>
      <c r="AH68" s="3"/>
      <c r="AI68" s="2"/>
      <c r="AJ68" s="3"/>
      <c r="AK68" s="3"/>
      <c r="AL68" s="2"/>
      <c r="AM68" s="3"/>
      <c r="AN68" s="3"/>
      <c r="AO68" s="2"/>
      <c r="AP68" s="3"/>
      <c r="AQ68" s="3"/>
      <c r="AR68" s="2"/>
      <c r="AS68" s="3"/>
      <c r="AT68" s="3"/>
      <c r="AU68" s="2"/>
      <c r="AV68" s="3"/>
      <c r="AW68" s="3"/>
      <c r="AX68" s="2"/>
      <c r="AY68" s="3"/>
      <c r="AZ68" s="3"/>
      <c r="BA68" s="2"/>
      <c r="BB68" s="3"/>
      <c r="BC68" s="3"/>
      <c r="BD68" s="2"/>
    </row>
    <row r="69" spans="3:56" x14ac:dyDescent="0.2">
      <c r="C69" s="3"/>
      <c r="D69" s="3"/>
      <c r="E69" s="2"/>
      <c r="F69" s="3">
        <v>264.83</v>
      </c>
      <c r="G69" s="3">
        <v>16.54</v>
      </c>
      <c r="H69" s="2">
        <f t="shared" si="7"/>
        <v>4.5281229267499994E-2</v>
      </c>
      <c r="I69" s="3"/>
      <c r="J69" s="3"/>
      <c r="K69" s="2"/>
      <c r="L69" s="3"/>
      <c r="M69" s="3"/>
      <c r="N69" s="2"/>
      <c r="O69" s="3"/>
      <c r="P69" s="3"/>
      <c r="Q69" s="2"/>
      <c r="R69" s="3"/>
      <c r="S69" s="3"/>
      <c r="T69" s="2"/>
      <c r="U69" s="3"/>
      <c r="V69" s="3"/>
      <c r="W69" s="2"/>
      <c r="X69" s="3"/>
      <c r="Y69" s="3"/>
      <c r="Z69" s="2"/>
      <c r="AA69" s="3"/>
      <c r="AB69" s="3"/>
      <c r="AC69" s="2"/>
      <c r="AD69" s="3"/>
      <c r="AE69" s="3"/>
      <c r="AF69" s="2"/>
      <c r="AG69" s="3"/>
      <c r="AH69" s="3"/>
      <c r="AI69" s="2"/>
      <c r="AJ69" s="3"/>
      <c r="AK69" s="3"/>
      <c r="AL69" s="2"/>
      <c r="AM69" s="3"/>
      <c r="AN69" s="3"/>
      <c r="AO69" s="2"/>
      <c r="AP69" s="3"/>
      <c r="AQ69" s="3"/>
      <c r="AR69" s="2"/>
      <c r="AS69" s="3"/>
      <c r="AT69" s="3"/>
      <c r="AU69" s="2"/>
      <c r="AV69" s="3"/>
      <c r="AW69" s="3"/>
      <c r="AX69" s="2"/>
      <c r="AY69" s="3"/>
      <c r="AZ69" s="3"/>
      <c r="BA69" s="2"/>
      <c r="BB69" s="3"/>
      <c r="BC69" s="3"/>
      <c r="BD69" s="2"/>
    </row>
    <row r="70" spans="3:56" x14ac:dyDescent="0.2">
      <c r="C70" s="3"/>
      <c r="D70" s="3"/>
      <c r="E70" s="2"/>
      <c r="F70" s="3">
        <v>328.21</v>
      </c>
      <c r="G70" s="3">
        <v>17.88</v>
      </c>
      <c r="H70" s="2">
        <f t="shared" ref="H70:H78" si="8">(F70*G70*G70)/1600000</f>
        <v>6.5579311889999992E-2</v>
      </c>
      <c r="I70" s="3"/>
      <c r="J70" s="3"/>
      <c r="K70" s="2"/>
      <c r="L70" s="3"/>
      <c r="M70" s="3"/>
      <c r="N70" s="2"/>
      <c r="O70" s="3"/>
      <c r="P70" s="3"/>
      <c r="Q70" s="2"/>
      <c r="R70" s="3"/>
      <c r="S70" s="3"/>
      <c r="T70" s="2"/>
      <c r="U70" s="3"/>
      <c r="V70" s="3"/>
      <c r="W70" s="2"/>
      <c r="X70" s="3"/>
      <c r="Y70" s="3"/>
      <c r="Z70" s="2"/>
      <c r="AA70" s="3"/>
      <c r="AB70" s="3"/>
      <c r="AC70" s="2"/>
      <c r="AD70" s="3"/>
      <c r="AE70" s="3"/>
      <c r="AF70" s="2"/>
      <c r="AG70" s="3"/>
      <c r="AH70" s="3"/>
      <c r="AI70" s="2"/>
      <c r="AJ70" s="3"/>
      <c r="AK70" s="3"/>
      <c r="AL70" s="2"/>
      <c r="AM70" s="3"/>
      <c r="AN70" s="3"/>
      <c r="AO70" s="2"/>
      <c r="AP70" s="3"/>
      <c r="AQ70" s="3"/>
      <c r="AR70" s="2"/>
      <c r="AS70" s="3"/>
      <c r="AT70" s="3"/>
      <c r="AU70" s="2"/>
      <c r="AV70" s="3"/>
      <c r="AW70" s="3"/>
      <c r="AX70" s="2"/>
      <c r="AY70" s="3"/>
      <c r="AZ70" s="3"/>
      <c r="BA70" s="2"/>
      <c r="BB70" s="3"/>
      <c r="BC70" s="3"/>
      <c r="BD70" s="2"/>
    </row>
    <row r="71" spans="3:56" x14ac:dyDescent="0.2">
      <c r="C71" s="3"/>
      <c r="D71" s="3"/>
      <c r="E71" s="2"/>
      <c r="F71" s="3">
        <v>234.79</v>
      </c>
      <c r="G71" s="3">
        <v>15.26</v>
      </c>
      <c r="H71" s="2">
        <f t="shared" si="8"/>
        <v>3.4171864877499999E-2</v>
      </c>
      <c r="I71" s="3"/>
      <c r="J71" s="3"/>
      <c r="K71" s="2"/>
      <c r="L71" s="3"/>
      <c r="M71" s="3"/>
      <c r="N71" s="2"/>
      <c r="O71" s="3"/>
      <c r="P71" s="3"/>
      <c r="Q71" s="2"/>
      <c r="R71" s="3"/>
      <c r="S71" s="3"/>
      <c r="T71" s="2"/>
      <c r="U71" s="3"/>
      <c r="V71" s="3"/>
      <c r="W71" s="2"/>
      <c r="X71" s="3"/>
      <c r="Y71" s="3"/>
      <c r="Z71" s="2"/>
      <c r="AA71" s="3"/>
      <c r="AB71" s="3"/>
      <c r="AC71" s="2"/>
      <c r="AD71" s="3"/>
      <c r="AE71" s="3"/>
      <c r="AF71" s="2"/>
      <c r="AG71" s="3"/>
      <c r="AH71" s="3"/>
      <c r="AI71" s="2"/>
      <c r="AJ71" s="3"/>
      <c r="AK71" s="3"/>
      <c r="AL71" s="2"/>
      <c r="AM71" s="3"/>
      <c r="AN71" s="3"/>
      <c r="AO71" s="2"/>
      <c r="AP71" s="3"/>
      <c r="AQ71" s="3"/>
      <c r="AR71" s="2"/>
      <c r="AS71" s="3"/>
      <c r="AT71" s="3"/>
      <c r="AU71" s="2"/>
      <c r="AV71" s="3"/>
      <c r="AW71" s="3"/>
      <c r="AX71" s="2"/>
      <c r="AY71" s="3"/>
      <c r="AZ71" s="3"/>
      <c r="BA71" s="2"/>
      <c r="BB71" s="3"/>
      <c r="BC71" s="3"/>
      <c r="BD71" s="2"/>
    </row>
    <row r="72" spans="3:56" x14ac:dyDescent="0.2">
      <c r="C72" s="3"/>
      <c r="D72" s="3"/>
      <c r="E72" s="2"/>
      <c r="F72" s="3">
        <v>233.2</v>
      </c>
      <c r="G72" s="3">
        <v>15.68</v>
      </c>
      <c r="H72" s="2">
        <f t="shared" si="8"/>
        <v>3.5834444799999997E-2</v>
      </c>
      <c r="I72" s="3"/>
      <c r="J72" s="3"/>
      <c r="K72" s="2"/>
      <c r="L72" s="3"/>
      <c r="M72" s="3"/>
      <c r="N72" s="2"/>
      <c r="O72" s="3"/>
      <c r="P72" s="3"/>
      <c r="Q72" s="2"/>
      <c r="R72" s="3"/>
      <c r="S72" s="3"/>
      <c r="T72" s="2"/>
      <c r="U72" s="3"/>
      <c r="V72" s="3"/>
      <c r="W72" s="2"/>
      <c r="X72" s="3"/>
      <c r="Y72" s="3"/>
      <c r="Z72" s="2"/>
      <c r="AA72" s="3"/>
      <c r="AB72" s="3"/>
      <c r="AC72" s="2"/>
      <c r="AD72" s="3"/>
      <c r="AE72" s="3"/>
      <c r="AF72" s="2"/>
      <c r="AG72" s="3"/>
      <c r="AH72" s="3"/>
      <c r="AI72" s="2"/>
      <c r="AJ72" s="3"/>
      <c r="AK72" s="3"/>
      <c r="AL72" s="2"/>
      <c r="AM72" s="3"/>
      <c r="AN72" s="3"/>
      <c r="AO72" s="2"/>
      <c r="AP72" s="3"/>
      <c r="AQ72" s="3"/>
      <c r="AR72" s="2"/>
      <c r="AS72" s="3"/>
      <c r="AT72" s="3"/>
      <c r="AU72" s="2"/>
      <c r="AV72" s="3"/>
      <c r="AW72" s="3"/>
      <c r="AX72" s="2"/>
      <c r="AY72" s="3"/>
      <c r="AZ72" s="3"/>
      <c r="BA72" s="2"/>
      <c r="BB72" s="3"/>
      <c r="BC72" s="3"/>
      <c r="BD72" s="2"/>
    </row>
    <row r="73" spans="3:56" x14ac:dyDescent="0.2">
      <c r="C73" s="3"/>
      <c r="D73" s="3"/>
      <c r="E73" s="2"/>
      <c r="F73" s="3">
        <v>196.98</v>
      </c>
      <c r="G73" s="3">
        <v>14.61</v>
      </c>
      <c r="H73" s="2">
        <f t="shared" si="8"/>
        <v>2.6278621661249994E-2</v>
      </c>
      <c r="I73" s="3"/>
      <c r="J73" s="3"/>
      <c r="K73" s="2"/>
      <c r="L73" s="3"/>
      <c r="M73" s="3"/>
      <c r="N73" s="2"/>
      <c r="O73" s="3"/>
      <c r="P73" s="3"/>
      <c r="Q73" s="2"/>
      <c r="R73" s="3"/>
      <c r="S73" s="3"/>
      <c r="T73" s="2"/>
      <c r="U73" s="3"/>
      <c r="V73" s="3"/>
      <c r="W73" s="2"/>
      <c r="X73" s="3"/>
      <c r="Y73" s="3"/>
      <c r="Z73" s="2"/>
      <c r="AA73" s="3"/>
      <c r="AB73" s="3"/>
      <c r="AC73" s="2"/>
      <c r="AD73" s="3"/>
      <c r="AE73" s="3"/>
      <c r="AF73" s="2"/>
      <c r="AG73" s="3"/>
      <c r="AH73" s="3"/>
      <c r="AI73" s="2"/>
      <c r="AJ73" s="3"/>
      <c r="AK73" s="3"/>
      <c r="AL73" s="2"/>
      <c r="AM73" s="3"/>
      <c r="AN73" s="3"/>
      <c r="AO73" s="2"/>
      <c r="AP73" s="3"/>
      <c r="AQ73" s="3"/>
      <c r="AR73" s="2"/>
      <c r="AS73" s="3"/>
      <c r="AT73" s="3"/>
      <c r="AU73" s="2"/>
      <c r="AV73" s="3"/>
      <c r="AW73" s="3"/>
      <c r="AX73" s="2"/>
      <c r="AY73" s="3"/>
      <c r="AZ73" s="3"/>
      <c r="BA73" s="2"/>
      <c r="BB73" s="3"/>
      <c r="BC73" s="3"/>
      <c r="BD73" s="2"/>
    </row>
    <row r="74" spans="3:56" x14ac:dyDescent="0.2">
      <c r="C74" s="3"/>
      <c r="D74" s="3"/>
      <c r="E74" s="2"/>
      <c r="F74" s="3">
        <v>302.89</v>
      </c>
      <c r="G74" s="3">
        <v>15.28</v>
      </c>
      <c r="H74" s="2">
        <f t="shared" si="8"/>
        <v>4.4198920359999991E-2</v>
      </c>
      <c r="I74" s="3"/>
      <c r="J74" s="3"/>
      <c r="K74" s="2"/>
      <c r="L74" s="3"/>
      <c r="M74" s="3"/>
      <c r="N74" s="2"/>
      <c r="O74" s="3"/>
      <c r="P74" s="3"/>
      <c r="Q74" s="2"/>
      <c r="R74" s="3"/>
      <c r="S74" s="3"/>
      <c r="T74" s="2"/>
      <c r="U74" s="3"/>
      <c r="V74" s="3"/>
      <c r="W74" s="2"/>
      <c r="X74" s="3"/>
      <c r="Y74" s="3"/>
      <c r="Z74" s="2"/>
      <c r="AA74" s="3"/>
      <c r="AB74" s="3"/>
      <c r="AC74" s="2"/>
      <c r="AD74" s="3"/>
      <c r="AE74" s="3"/>
      <c r="AF74" s="2"/>
      <c r="AG74" s="3"/>
      <c r="AH74" s="3"/>
      <c r="AI74" s="2"/>
      <c r="AJ74" s="3"/>
      <c r="AK74" s="3"/>
      <c r="AL74" s="2"/>
      <c r="AM74" s="3"/>
      <c r="AN74" s="3"/>
      <c r="AO74" s="2"/>
      <c r="AP74" s="3"/>
      <c r="AQ74" s="3"/>
      <c r="AR74" s="2"/>
      <c r="AS74" s="3"/>
      <c r="AT74" s="3"/>
      <c r="AU74" s="2"/>
      <c r="AV74" s="3"/>
      <c r="AW74" s="3"/>
      <c r="AX74" s="2"/>
      <c r="AY74" s="3"/>
      <c r="AZ74" s="3"/>
      <c r="BA74" s="2"/>
      <c r="BB74" s="3"/>
      <c r="BC74" s="3"/>
      <c r="BD74" s="2"/>
    </row>
    <row r="75" spans="3:56" x14ac:dyDescent="0.2">
      <c r="C75" s="3"/>
      <c r="D75" s="3"/>
      <c r="E75" s="2"/>
      <c r="F75" s="3">
        <v>398.59</v>
      </c>
      <c r="G75" s="3">
        <v>19.68</v>
      </c>
      <c r="H75" s="2">
        <f t="shared" si="8"/>
        <v>9.6484289759999994E-2</v>
      </c>
      <c r="I75" s="3"/>
      <c r="J75" s="3"/>
      <c r="K75" s="2"/>
      <c r="L75" s="3"/>
      <c r="M75" s="3"/>
      <c r="N75" s="2"/>
      <c r="O75" s="3"/>
      <c r="P75" s="3"/>
      <c r="Q75" s="2"/>
      <c r="R75" s="3"/>
      <c r="S75" s="3"/>
      <c r="T75" s="2"/>
      <c r="U75" s="3"/>
      <c r="V75" s="3"/>
      <c r="W75" s="2"/>
      <c r="X75" s="3"/>
      <c r="Y75" s="3"/>
      <c r="Z75" s="2"/>
      <c r="AA75" s="3"/>
      <c r="AB75" s="3"/>
      <c r="AC75" s="2"/>
      <c r="AD75" s="3"/>
      <c r="AE75" s="3"/>
      <c r="AF75" s="2"/>
      <c r="AG75" s="3"/>
      <c r="AH75" s="3"/>
      <c r="AI75" s="2"/>
      <c r="AJ75" s="3"/>
      <c r="AK75" s="3"/>
      <c r="AL75" s="2"/>
      <c r="AM75" s="3"/>
      <c r="AN75" s="3"/>
      <c r="AO75" s="2"/>
      <c r="AP75" s="3"/>
      <c r="AQ75" s="3"/>
      <c r="AR75" s="2"/>
      <c r="AS75" s="3"/>
      <c r="AT75" s="3"/>
      <c r="AU75" s="2"/>
      <c r="AV75" s="3"/>
      <c r="AW75" s="3"/>
      <c r="AX75" s="2"/>
      <c r="AY75" s="3"/>
      <c r="AZ75" s="3"/>
      <c r="BA75" s="2"/>
      <c r="BB75" s="3"/>
      <c r="BC75" s="3"/>
      <c r="BD75" s="2"/>
    </row>
    <row r="76" spans="3:56" x14ac:dyDescent="0.2">
      <c r="E76" s="2"/>
      <c r="F76" s="3">
        <v>241.65</v>
      </c>
      <c r="G76" s="3">
        <v>14.94</v>
      </c>
      <c r="H76" s="2">
        <f t="shared" si="8"/>
        <v>3.3710718712499997E-2</v>
      </c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</row>
    <row r="77" spans="3:56" x14ac:dyDescent="0.2">
      <c r="E77" s="2"/>
      <c r="F77" s="3">
        <v>198.95</v>
      </c>
      <c r="G77" s="3">
        <v>9.8800000000000008</v>
      </c>
      <c r="H77" s="2">
        <f t="shared" si="8"/>
        <v>1.2137740550000001E-2</v>
      </c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</row>
    <row r="78" spans="3:56" x14ac:dyDescent="0.2">
      <c r="E78" s="2"/>
      <c r="F78" s="3">
        <v>269.52999999999997</v>
      </c>
      <c r="G78" s="3">
        <v>15.1</v>
      </c>
      <c r="H78" s="2">
        <f t="shared" si="8"/>
        <v>3.8409709562499991E-2</v>
      </c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</row>
  </sheetData>
  <mergeCells count="73">
    <mergeCell ref="L1:N1"/>
    <mergeCell ref="L4:M4"/>
    <mergeCell ref="A1:B1"/>
    <mergeCell ref="C2:D2"/>
    <mergeCell ref="F2:G2"/>
    <mergeCell ref="I2:J2"/>
    <mergeCell ref="L2:M2"/>
    <mergeCell ref="C1:E1"/>
    <mergeCell ref="C4:D4"/>
    <mergeCell ref="F1:H1"/>
    <mergeCell ref="F4:G4"/>
    <mergeCell ref="I1:K1"/>
    <mergeCell ref="I4:J4"/>
    <mergeCell ref="C3:D3"/>
    <mergeCell ref="F3:G3"/>
    <mergeCell ref="I3:J3"/>
    <mergeCell ref="L3:M3"/>
    <mergeCell ref="AD2:AE2"/>
    <mergeCell ref="AG2:AH2"/>
    <mergeCell ref="O2:P2"/>
    <mergeCell ref="R2:S2"/>
    <mergeCell ref="U2:V2"/>
    <mergeCell ref="X2:Y2"/>
    <mergeCell ref="O1:Q1"/>
    <mergeCell ref="O3:P3"/>
    <mergeCell ref="O4:P4"/>
    <mergeCell ref="R1:T1"/>
    <mergeCell ref="R3:S3"/>
    <mergeCell ref="R4:S4"/>
    <mergeCell ref="U1:W1"/>
    <mergeCell ref="U3:V3"/>
    <mergeCell ref="U4:V4"/>
    <mergeCell ref="X1:Z1"/>
    <mergeCell ref="X3:Y3"/>
    <mergeCell ref="X4:Y4"/>
    <mergeCell ref="AA1:AC1"/>
    <mergeCell ref="AA3:AB3"/>
    <mergeCell ref="AA4:AB4"/>
    <mergeCell ref="AD1:AF1"/>
    <mergeCell ref="AD3:AE3"/>
    <mergeCell ref="AD4:AE4"/>
    <mergeCell ref="AA2:AB2"/>
    <mergeCell ref="AG1:AI1"/>
    <mergeCell ref="AG3:AH3"/>
    <mergeCell ref="AG4:AH4"/>
    <mergeCell ref="AJ1:AL1"/>
    <mergeCell ref="AJ3:AK3"/>
    <mergeCell ref="AJ4:AK4"/>
    <mergeCell ref="AJ2:AK2"/>
    <mergeCell ref="AM1:AO1"/>
    <mergeCell ref="AM3:AN3"/>
    <mergeCell ref="AM4:AN4"/>
    <mergeCell ref="AP1:AR1"/>
    <mergeCell ref="AP3:AQ3"/>
    <mergeCell ref="AP4:AQ4"/>
    <mergeCell ref="AM2:AN2"/>
    <mergeCell ref="AP2:AQ2"/>
    <mergeCell ref="AS1:AU1"/>
    <mergeCell ref="AS3:AT3"/>
    <mergeCell ref="AS4:AT4"/>
    <mergeCell ref="AV1:AX1"/>
    <mergeCell ref="AV3:AW3"/>
    <mergeCell ref="AV4:AW4"/>
    <mergeCell ref="AS2:AT2"/>
    <mergeCell ref="AV2:AW2"/>
    <mergeCell ref="AY1:BA1"/>
    <mergeCell ref="AY3:AZ3"/>
    <mergeCell ref="AY4:AZ4"/>
    <mergeCell ref="BB1:BD1"/>
    <mergeCell ref="BB3:BC3"/>
    <mergeCell ref="BB4:BC4"/>
    <mergeCell ref="AY2:AZ2"/>
    <mergeCell ref="BB2:B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4456-25C3-462F-B839-48A097E0B60E}">
  <dimension ref="A1:BV135"/>
  <sheetViews>
    <sheetView zoomScaleNormal="100" workbookViewId="0">
      <selection activeCell="A5" sqref="A5"/>
    </sheetView>
  </sheetViews>
  <sheetFormatPr defaultColWidth="9" defaultRowHeight="14.25" x14ac:dyDescent="0.2"/>
  <cols>
    <col min="1" max="1" width="14.875" style="1" customWidth="1"/>
    <col min="2" max="2" width="9" style="1"/>
    <col min="3" max="3" width="9.625" style="1" customWidth="1"/>
    <col min="4" max="4" width="9" style="1" customWidth="1"/>
    <col min="5" max="5" width="9" style="1"/>
    <col min="6" max="6" width="9.625" style="1" customWidth="1"/>
    <col min="7" max="7" width="9" style="1" customWidth="1"/>
    <col min="8" max="8" width="9" style="1"/>
    <col min="9" max="9" width="9.625" style="1" customWidth="1"/>
    <col min="10" max="10" width="9" style="1" customWidth="1"/>
    <col min="11" max="11" width="9" style="1"/>
    <col min="12" max="12" width="10.75" style="1" customWidth="1"/>
    <col min="13" max="13" width="9" style="1" customWidth="1"/>
    <col min="14" max="14" width="9" style="1"/>
    <col min="15" max="15" width="9.625" style="1" customWidth="1"/>
    <col min="16" max="16" width="9" style="1" customWidth="1"/>
    <col min="17" max="17" width="9" style="1"/>
    <col min="18" max="18" width="10.75" style="1" customWidth="1"/>
    <col min="19" max="19" width="9" style="1" customWidth="1"/>
    <col min="20" max="20" width="9" style="1"/>
    <col min="21" max="21" width="9.625" style="1" customWidth="1"/>
    <col min="22" max="22" width="9" style="1" customWidth="1"/>
    <col min="23" max="23" width="9" style="1"/>
    <col min="24" max="24" width="9.625" style="1" customWidth="1"/>
    <col min="25" max="25" width="9" style="1" customWidth="1"/>
    <col min="26" max="26" width="9" style="1"/>
    <col min="27" max="27" width="9.625" style="1" customWidth="1"/>
    <col min="28" max="28" width="9" style="1" customWidth="1"/>
    <col min="29" max="29" width="9" style="1"/>
    <col min="30" max="30" width="9.625" style="1" customWidth="1"/>
    <col min="31" max="31" width="9" style="1" customWidth="1"/>
    <col min="32" max="32" width="9" style="1"/>
    <col min="33" max="33" width="9.625" style="1" customWidth="1"/>
    <col min="34" max="34" width="9" style="1" customWidth="1"/>
    <col min="35" max="35" width="9" style="1"/>
    <col min="36" max="36" width="9.625" style="1" customWidth="1"/>
    <col min="37" max="37" width="9" style="1" customWidth="1"/>
    <col min="38" max="38" width="9" style="1"/>
    <col min="39" max="39" width="9.625" style="1" customWidth="1"/>
    <col min="40" max="40" width="9" style="1" customWidth="1"/>
    <col min="41" max="41" width="9" style="1"/>
    <col min="42" max="42" width="9.625" style="1" customWidth="1"/>
    <col min="43" max="43" width="9" style="1" customWidth="1"/>
    <col min="44" max="44" width="9" style="1"/>
    <col min="45" max="45" width="9.625" style="1" customWidth="1"/>
    <col min="46" max="46" width="9" style="1" customWidth="1"/>
    <col min="47" max="47" width="9" style="1"/>
    <col min="48" max="48" width="9.625" style="1" customWidth="1"/>
    <col min="49" max="49" width="9" style="1" customWidth="1"/>
    <col min="50" max="50" width="9" style="1"/>
    <col min="51" max="51" width="9.625" style="1" customWidth="1"/>
    <col min="52" max="52" width="9" style="1" customWidth="1"/>
    <col min="53" max="53" width="9" style="1"/>
    <col min="54" max="54" width="9.625" style="1" customWidth="1"/>
    <col min="55" max="55" width="9" style="1" customWidth="1"/>
    <col min="56" max="56" width="9" style="1"/>
    <col min="57" max="57" width="9.625" style="1" customWidth="1"/>
    <col min="58" max="58" width="9" style="1" customWidth="1"/>
    <col min="59" max="59" width="9" style="1"/>
    <col min="60" max="61" width="9.625" style="1" customWidth="1"/>
    <col min="62" max="62" width="9" style="1"/>
    <col min="63" max="63" width="9.625" style="1" customWidth="1"/>
    <col min="64" max="64" width="9" style="1" customWidth="1"/>
    <col min="65" max="65" width="9" style="1"/>
    <col min="66" max="66" width="9.625" style="1" customWidth="1"/>
    <col min="67" max="67" width="9" style="1" customWidth="1"/>
    <col min="68" max="68" width="9" style="1"/>
    <col min="69" max="69" width="9.625" style="1" customWidth="1"/>
    <col min="70" max="70" width="9" style="1" customWidth="1"/>
    <col min="71" max="71" width="9" style="1"/>
    <col min="72" max="72" width="10.75" style="1" customWidth="1"/>
    <col min="73" max="73" width="9" style="1" customWidth="1"/>
    <col min="74" max="16384" width="9" style="1"/>
  </cols>
  <sheetData>
    <row r="1" spans="1:74" s="5" customFormat="1" x14ac:dyDescent="0.2">
      <c r="A1" s="20" t="s">
        <v>36</v>
      </c>
      <c r="B1" s="20"/>
      <c r="C1" s="18" t="s">
        <v>24</v>
      </c>
      <c r="D1" s="18"/>
      <c r="E1" s="18"/>
      <c r="F1" s="18" t="s">
        <v>11</v>
      </c>
      <c r="G1" s="18"/>
      <c r="H1" s="18"/>
      <c r="I1" s="18" t="s">
        <v>12</v>
      </c>
      <c r="J1" s="18"/>
      <c r="K1" s="18"/>
      <c r="L1" s="18" t="s">
        <v>9</v>
      </c>
      <c r="M1" s="18"/>
      <c r="N1" s="18"/>
      <c r="O1" s="18" t="s">
        <v>22</v>
      </c>
      <c r="P1" s="18"/>
      <c r="Q1" s="18"/>
      <c r="R1" s="18" t="s">
        <v>13</v>
      </c>
      <c r="S1" s="18"/>
      <c r="T1" s="18"/>
      <c r="U1" s="18" t="s">
        <v>21</v>
      </c>
      <c r="V1" s="18"/>
      <c r="W1" s="18"/>
      <c r="X1" s="18" t="s">
        <v>25</v>
      </c>
      <c r="Y1" s="18"/>
      <c r="Z1" s="18"/>
      <c r="AA1" s="18" t="s">
        <v>19</v>
      </c>
      <c r="AB1" s="18"/>
      <c r="AC1" s="18"/>
      <c r="AD1" s="18" t="s">
        <v>16</v>
      </c>
      <c r="AE1" s="18"/>
      <c r="AF1" s="18"/>
      <c r="AG1" s="18" t="s">
        <v>26</v>
      </c>
      <c r="AH1" s="18"/>
      <c r="AI1" s="18"/>
      <c r="AJ1" s="18" t="s">
        <v>17</v>
      </c>
      <c r="AK1" s="18"/>
      <c r="AL1" s="18"/>
      <c r="AM1" s="18" t="s">
        <v>27</v>
      </c>
      <c r="AN1" s="18"/>
      <c r="AO1" s="18"/>
      <c r="AP1" s="18" t="s">
        <v>28</v>
      </c>
      <c r="AQ1" s="18"/>
      <c r="AR1" s="18"/>
      <c r="AS1" s="18" t="s">
        <v>23</v>
      </c>
      <c r="AT1" s="18"/>
      <c r="AU1" s="18"/>
      <c r="AV1" s="18" t="s">
        <v>29</v>
      </c>
      <c r="AW1" s="18"/>
      <c r="AX1" s="18"/>
      <c r="AY1" s="18" t="s">
        <v>30</v>
      </c>
      <c r="AZ1" s="18"/>
      <c r="BA1" s="18"/>
      <c r="BB1" s="18" t="s">
        <v>31</v>
      </c>
      <c r="BC1" s="18"/>
      <c r="BD1" s="18"/>
      <c r="BE1" s="18" t="s">
        <v>8</v>
      </c>
      <c r="BF1" s="18"/>
      <c r="BG1" s="18"/>
      <c r="BH1" s="18" t="s">
        <v>6</v>
      </c>
      <c r="BI1" s="18"/>
      <c r="BJ1" s="18"/>
      <c r="BK1" s="18" t="s">
        <v>32</v>
      </c>
      <c r="BL1" s="18"/>
      <c r="BM1" s="18"/>
      <c r="BN1" s="18" t="s">
        <v>33</v>
      </c>
      <c r="BO1" s="18"/>
      <c r="BP1" s="18"/>
      <c r="BQ1" s="18" t="s">
        <v>34</v>
      </c>
      <c r="BR1" s="18"/>
      <c r="BS1" s="18"/>
      <c r="BT1" s="18" t="s">
        <v>18</v>
      </c>
      <c r="BU1" s="18"/>
      <c r="BV1" s="18"/>
    </row>
    <row r="2" spans="1:74" x14ac:dyDescent="0.2">
      <c r="A2" s="1" t="s">
        <v>5</v>
      </c>
      <c r="B2" s="1">
        <f>SUM(C2:XF2)</f>
        <v>157</v>
      </c>
      <c r="C2" s="19" t="s">
        <v>5</v>
      </c>
      <c r="D2" s="19"/>
      <c r="E2" s="8">
        <f>COUNT(E6:E300)</f>
        <v>18</v>
      </c>
      <c r="F2" s="19" t="s">
        <v>5</v>
      </c>
      <c r="G2" s="19"/>
      <c r="H2" s="8">
        <f>COUNT(H6:H300)</f>
        <v>6</v>
      </c>
      <c r="I2" s="19" t="s">
        <v>5</v>
      </c>
      <c r="J2" s="19"/>
      <c r="K2" s="8">
        <f>COUNT(K6:K300)</f>
        <v>22</v>
      </c>
      <c r="L2" s="19" t="s">
        <v>5</v>
      </c>
      <c r="M2" s="19"/>
      <c r="N2" s="8">
        <f>COUNT(N6:N300)</f>
        <v>20</v>
      </c>
      <c r="O2" s="19" t="s">
        <v>5</v>
      </c>
      <c r="P2" s="19"/>
      <c r="Q2" s="8">
        <f>COUNT(Q6:Q300)</f>
        <v>17</v>
      </c>
      <c r="R2" s="19" t="s">
        <v>5</v>
      </c>
      <c r="S2" s="19"/>
      <c r="T2" s="8">
        <f>COUNT(T6:T300)</f>
        <v>4</v>
      </c>
      <c r="U2" s="19" t="s">
        <v>5</v>
      </c>
      <c r="V2" s="19"/>
      <c r="W2" s="8">
        <f>COUNT(W6:W300)</f>
        <v>27</v>
      </c>
      <c r="X2" s="19" t="s">
        <v>5</v>
      </c>
      <c r="Y2" s="19"/>
      <c r="Z2" s="8">
        <f>COUNT(Z6:Z300)</f>
        <v>5</v>
      </c>
      <c r="AA2" s="19" t="s">
        <v>5</v>
      </c>
      <c r="AB2" s="19"/>
      <c r="AC2" s="8">
        <f>COUNT(AC6:AC300)</f>
        <v>7</v>
      </c>
      <c r="AD2" s="19" t="s">
        <v>5</v>
      </c>
      <c r="AE2" s="19"/>
      <c r="AF2" s="8">
        <f>COUNT(AF6:AF300)</f>
        <v>3</v>
      </c>
      <c r="AG2" s="19" t="s">
        <v>5</v>
      </c>
      <c r="AH2" s="19"/>
      <c r="AI2" s="8">
        <f>COUNT(AI6:AI300)</f>
        <v>3</v>
      </c>
      <c r="AJ2" s="19" t="s">
        <v>5</v>
      </c>
      <c r="AK2" s="19"/>
      <c r="AL2" s="8">
        <f>COUNT(AL6:AL300)</f>
        <v>1</v>
      </c>
      <c r="AM2" s="19" t="s">
        <v>5</v>
      </c>
      <c r="AN2" s="19"/>
      <c r="AO2" s="8">
        <f>COUNT(AO6:AO300)</f>
        <v>2</v>
      </c>
      <c r="AP2" s="19" t="s">
        <v>5</v>
      </c>
      <c r="AQ2" s="19"/>
      <c r="AR2" s="8">
        <f>COUNT(AR6:AR300)</f>
        <v>3</v>
      </c>
      <c r="AS2" s="19" t="s">
        <v>5</v>
      </c>
      <c r="AT2" s="19"/>
      <c r="AU2" s="8">
        <f>COUNT(AU6:AU300)</f>
        <v>4</v>
      </c>
      <c r="AV2" s="19" t="s">
        <v>5</v>
      </c>
      <c r="AW2" s="19"/>
      <c r="AX2" s="8">
        <f>COUNT(AX6:AX300)</f>
        <v>1</v>
      </c>
      <c r="AY2" s="19" t="s">
        <v>5</v>
      </c>
      <c r="AZ2" s="19"/>
      <c r="BA2" s="8">
        <f>COUNT(BA6:BA300)</f>
        <v>2</v>
      </c>
      <c r="BB2" s="19" t="s">
        <v>5</v>
      </c>
      <c r="BC2" s="19"/>
      <c r="BD2" s="8">
        <f>COUNT(BD6:BD300)</f>
        <v>2</v>
      </c>
      <c r="BE2" s="19" t="s">
        <v>5</v>
      </c>
      <c r="BF2" s="19"/>
      <c r="BG2" s="8">
        <f>COUNT(BG6:BG300)</f>
        <v>2</v>
      </c>
      <c r="BH2" s="19" t="s">
        <v>5</v>
      </c>
      <c r="BI2" s="19"/>
      <c r="BJ2" s="8">
        <f>COUNT(BJ6:BJ300)</f>
        <v>2</v>
      </c>
      <c r="BK2" s="19" t="s">
        <v>5</v>
      </c>
      <c r="BL2" s="19"/>
      <c r="BM2" s="8">
        <f>COUNT(BM6:BM300)</f>
        <v>2</v>
      </c>
      <c r="BN2" s="19" t="s">
        <v>5</v>
      </c>
      <c r="BO2" s="19"/>
      <c r="BP2" s="8">
        <f>COUNT(BP6:BP300)</f>
        <v>1</v>
      </c>
      <c r="BQ2" s="19" t="s">
        <v>5</v>
      </c>
      <c r="BR2" s="19"/>
      <c r="BS2" s="8">
        <f>COUNT(BS6:BS300)</f>
        <v>2</v>
      </c>
      <c r="BT2" s="19" t="s">
        <v>5</v>
      </c>
      <c r="BU2" s="19"/>
      <c r="BV2" s="8">
        <f>COUNT(BV6:BV300)</f>
        <v>1</v>
      </c>
    </row>
    <row r="3" spans="1:74" x14ac:dyDescent="0.2">
      <c r="A3" s="1" t="s">
        <v>4</v>
      </c>
      <c r="B3" s="1">
        <f>SUM(C3:XF3)</f>
        <v>38.873423586334681</v>
      </c>
      <c r="C3" s="19" t="s">
        <v>4</v>
      </c>
      <c r="D3" s="19"/>
      <c r="E3" s="8">
        <f>SUM(E6:E300)</f>
        <v>5.1721262718531253</v>
      </c>
      <c r="F3" s="19" t="s">
        <v>4</v>
      </c>
      <c r="G3" s="19"/>
      <c r="H3" s="8">
        <f>SUM(H6:H300)</f>
        <v>0.34560925137250004</v>
      </c>
      <c r="I3" s="19" t="s">
        <v>4</v>
      </c>
      <c r="J3" s="19"/>
      <c r="K3" s="8">
        <f>SUM(K6:K300)</f>
        <v>2.1542833751706252</v>
      </c>
      <c r="L3" s="19" t="s">
        <v>4</v>
      </c>
      <c r="M3" s="19"/>
      <c r="N3" s="8">
        <f>SUM(N6:N300)</f>
        <v>10.048678073926249</v>
      </c>
      <c r="O3" s="19" t="s">
        <v>4</v>
      </c>
      <c r="P3" s="19"/>
      <c r="Q3" s="8">
        <f>SUM(Q6:Q300)</f>
        <v>1.2766709189524998</v>
      </c>
      <c r="R3" s="19" t="s">
        <v>4</v>
      </c>
      <c r="S3" s="19"/>
      <c r="T3" s="8">
        <f>SUM(T6:T300)</f>
        <v>8.6081639449606264</v>
      </c>
      <c r="U3" s="19" t="s">
        <v>4</v>
      </c>
      <c r="V3" s="19"/>
      <c r="W3" s="8">
        <f>SUM(W6:W300)</f>
        <v>1.6419562559662504</v>
      </c>
      <c r="X3" s="19" t="s">
        <v>4</v>
      </c>
      <c r="Y3" s="19"/>
      <c r="Z3" s="8">
        <f>SUM(Z6:Z300)</f>
        <v>0.55801182828281248</v>
      </c>
      <c r="AA3" s="19" t="s">
        <v>4</v>
      </c>
      <c r="AB3" s="19"/>
      <c r="AC3" s="8">
        <f>SUM(AC6:AC300)</f>
        <v>1.6209318501156251</v>
      </c>
      <c r="AD3" s="19" t="s">
        <v>4</v>
      </c>
      <c r="AE3" s="19"/>
      <c r="AF3" s="8">
        <f>SUM(AF6:AF300)</f>
        <v>1.78778998323625</v>
      </c>
      <c r="AG3" s="19" t="s">
        <v>4</v>
      </c>
      <c r="AH3" s="19"/>
      <c r="AI3" s="8">
        <f>SUM(AI6:AI300)</f>
        <v>0.51738503044499995</v>
      </c>
      <c r="AJ3" s="19" t="s">
        <v>4</v>
      </c>
      <c r="AK3" s="19"/>
      <c r="AL3" s="8">
        <f>SUM(AL6:AL300)</f>
        <v>6.3620391999999998E-2</v>
      </c>
      <c r="AM3" s="19" t="s">
        <v>4</v>
      </c>
      <c r="AN3" s="19"/>
      <c r="AO3" s="8">
        <f>SUM(AO6:AO300)</f>
        <v>0.57957508150562487</v>
      </c>
      <c r="AP3" s="19" t="s">
        <v>4</v>
      </c>
      <c r="AQ3" s="19"/>
      <c r="AR3" s="8">
        <f>SUM(AR6:AR300)</f>
        <v>9.4203641072500011E-2</v>
      </c>
      <c r="AS3" s="19" t="s">
        <v>4</v>
      </c>
      <c r="AT3" s="19"/>
      <c r="AU3" s="8">
        <f>SUM(AU6:AU300)</f>
        <v>0.35980074150687508</v>
      </c>
      <c r="AV3" s="19" t="s">
        <v>4</v>
      </c>
      <c r="AW3" s="19"/>
      <c r="AX3" s="8">
        <f>SUM(AX6:AX300)</f>
        <v>9.1835683630000026E-2</v>
      </c>
      <c r="AY3" s="19" t="s">
        <v>4</v>
      </c>
      <c r="AZ3" s="19"/>
      <c r="BA3" s="8">
        <f>SUM(BA6:BA300)</f>
        <v>9.0537263578125013E-2</v>
      </c>
      <c r="BB3" s="19" t="s">
        <v>4</v>
      </c>
      <c r="BC3" s="19"/>
      <c r="BD3" s="8">
        <f>SUM(BD6:BD300)</f>
        <v>0.26026890859125001</v>
      </c>
      <c r="BE3" s="19" t="s">
        <v>4</v>
      </c>
      <c r="BF3" s="19"/>
      <c r="BG3" s="8">
        <f>SUM(BG6:BG300)</f>
        <v>0.123909029934375</v>
      </c>
      <c r="BH3" s="19" t="s">
        <v>4</v>
      </c>
      <c r="BI3" s="19"/>
      <c r="BJ3" s="8">
        <f>SUM(BJ6:BJ300)</f>
        <v>0.48577786386999999</v>
      </c>
      <c r="BK3" s="19" t="s">
        <v>4</v>
      </c>
      <c r="BL3" s="19"/>
      <c r="BM3" s="8">
        <f>SUM(BM6:BM300)</f>
        <v>0.11398575786187501</v>
      </c>
      <c r="BN3" s="19" t="s">
        <v>4</v>
      </c>
      <c r="BO3" s="19"/>
      <c r="BP3" s="8">
        <f>SUM(BP6:BP300)</f>
        <v>8.6233138559999992E-2</v>
      </c>
      <c r="BQ3" s="19" t="s">
        <v>4</v>
      </c>
      <c r="BR3" s="19"/>
      <c r="BS3" s="8">
        <f>SUM(BS6:BS300)</f>
        <v>0.23652641233500005</v>
      </c>
      <c r="BT3" s="19" t="s">
        <v>4</v>
      </c>
      <c r="BU3" s="19"/>
      <c r="BV3" s="8">
        <f>SUM(BV6:BV300)</f>
        <v>2.5555428876074999</v>
      </c>
    </row>
    <row r="4" spans="1:74" x14ac:dyDescent="0.2">
      <c r="C4" s="19" t="s">
        <v>3</v>
      </c>
      <c r="D4" s="19"/>
      <c r="E4" s="8">
        <f>AVERAGE(E6:E300)</f>
        <v>0.28734034843628475</v>
      </c>
      <c r="F4" s="19" t="s">
        <v>3</v>
      </c>
      <c r="G4" s="19"/>
      <c r="H4" s="8">
        <f>AVERAGE(H6:H300)</f>
        <v>5.7601541895416671E-2</v>
      </c>
      <c r="I4" s="19" t="s">
        <v>3</v>
      </c>
      <c r="J4" s="19"/>
      <c r="K4" s="8">
        <f>AVERAGE(K6:K300)</f>
        <v>9.7921971598664781E-2</v>
      </c>
      <c r="L4" s="19" t="s">
        <v>3</v>
      </c>
      <c r="M4" s="19"/>
      <c r="N4" s="8">
        <f>AVERAGE(N6:N300)</f>
        <v>0.50243390369631247</v>
      </c>
      <c r="O4" s="19" t="s">
        <v>3</v>
      </c>
      <c r="P4" s="19"/>
      <c r="Q4" s="8">
        <f>AVERAGE(Q6:Q300)</f>
        <v>7.5098289350147049E-2</v>
      </c>
      <c r="R4" s="19" t="s">
        <v>3</v>
      </c>
      <c r="S4" s="19"/>
      <c r="T4" s="8">
        <f>AVERAGE(T6:T300)</f>
        <v>2.1520409862401566</v>
      </c>
      <c r="U4" s="19" t="s">
        <v>3</v>
      </c>
      <c r="V4" s="19"/>
      <c r="W4" s="8">
        <f>AVERAGE(W6:W300)</f>
        <v>6.0813194665416681E-2</v>
      </c>
      <c r="X4" s="19" t="s">
        <v>3</v>
      </c>
      <c r="Y4" s="19"/>
      <c r="Z4" s="8">
        <f>AVERAGE(Z6:Z300)</f>
        <v>0.11160236565656249</v>
      </c>
      <c r="AA4" s="19" t="s">
        <v>3</v>
      </c>
      <c r="AB4" s="19"/>
      <c r="AC4" s="8">
        <f>AVERAGE(AC6:AC300)</f>
        <v>0.23156169287366074</v>
      </c>
      <c r="AD4" s="19" t="s">
        <v>3</v>
      </c>
      <c r="AE4" s="19"/>
      <c r="AF4" s="8">
        <f>AVERAGE(AF6:AF300)</f>
        <v>0.59592999441208339</v>
      </c>
      <c r="AG4" s="19" t="s">
        <v>3</v>
      </c>
      <c r="AH4" s="19"/>
      <c r="AI4" s="8">
        <f>AVERAGE(AI6:AI300)</f>
        <v>0.17246167681499999</v>
      </c>
      <c r="AJ4" s="19" t="s">
        <v>3</v>
      </c>
      <c r="AK4" s="19"/>
      <c r="AL4" s="8">
        <f>AVERAGE(AL6:AL300)</f>
        <v>6.3620391999999998E-2</v>
      </c>
      <c r="AM4" s="19" t="s">
        <v>3</v>
      </c>
      <c r="AN4" s="19"/>
      <c r="AO4" s="8">
        <f>AVERAGE(AO6:AO300)</f>
        <v>0.28978754075281243</v>
      </c>
      <c r="AP4" s="19" t="s">
        <v>3</v>
      </c>
      <c r="AQ4" s="19"/>
      <c r="AR4" s="8">
        <f>AVERAGE(AR6:AR300)</f>
        <v>3.1401213690833339E-2</v>
      </c>
      <c r="AS4" s="19" t="s">
        <v>3</v>
      </c>
      <c r="AT4" s="19"/>
      <c r="AU4" s="8">
        <f>AVERAGE(AU6:AU300)</f>
        <v>8.9950185376718769E-2</v>
      </c>
      <c r="AV4" s="19" t="s">
        <v>3</v>
      </c>
      <c r="AW4" s="19"/>
      <c r="AX4" s="8">
        <f>AVERAGE(AX6:AX300)</f>
        <v>9.1835683630000026E-2</v>
      </c>
      <c r="AY4" s="19" t="s">
        <v>3</v>
      </c>
      <c r="AZ4" s="19"/>
      <c r="BA4" s="8">
        <f>AVERAGE(BA6:BA300)</f>
        <v>4.5268631789062506E-2</v>
      </c>
      <c r="BB4" s="19" t="s">
        <v>3</v>
      </c>
      <c r="BC4" s="19"/>
      <c r="BD4" s="8">
        <f>AVERAGE(BD6:BD300)</f>
        <v>0.13013445429562501</v>
      </c>
      <c r="BE4" s="19" t="s">
        <v>3</v>
      </c>
      <c r="BF4" s="19"/>
      <c r="BG4" s="8">
        <f>AVERAGE(BG6:BG300)</f>
        <v>6.1954514967187499E-2</v>
      </c>
      <c r="BH4" s="19" t="s">
        <v>3</v>
      </c>
      <c r="BI4" s="19"/>
      <c r="BJ4" s="8">
        <f>AVERAGE(BJ6:BJ300)</f>
        <v>0.242888931935</v>
      </c>
      <c r="BK4" s="19" t="s">
        <v>3</v>
      </c>
      <c r="BL4" s="19"/>
      <c r="BM4" s="8">
        <f>AVERAGE(BM6:BM300)</f>
        <v>5.6992878930937504E-2</v>
      </c>
      <c r="BN4" s="19" t="s">
        <v>3</v>
      </c>
      <c r="BO4" s="19"/>
      <c r="BP4" s="8">
        <f>AVERAGE(BP6:BP300)</f>
        <v>8.6233138559999992E-2</v>
      </c>
      <c r="BQ4" s="19" t="s">
        <v>3</v>
      </c>
      <c r="BR4" s="19"/>
      <c r="BS4" s="8">
        <f>AVERAGE(BS6:BS300)</f>
        <v>0.11826320616750002</v>
      </c>
      <c r="BT4" s="19" t="s">
        <v>3</v>
      </c>
      <c r="BU4" s="19"/>
      <c r="BV4" s="8">
        <f>AVERAGE(BV6:BV300)</f>
        <v>2.5555428876074999</v>
      </c>
    </row>
    <row r="5" spans="1:74" x14ac:dyDescent="0.2"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  <c r="BK5" s="8" t="s">
        <v>2</v>
      </c>
      <c r="BL5" s="8" t="s">
        <v>1</v>
      </c>
      <c r="BM5" s="8" t="s">
        <v>0</v>
      </c>
      <c r="BN5" s="8" t="s">
        <v>2</v>
      </c>
      <c r="BO5" s="8" t="s">
        <v>1</v>
      </c>
      <c r="BP5" s="8" t="s">
        <v>0</v>
      </c>
      <c r="BQ5" s="8" t="s">
        <v>2</v>
      </c>
      <c r="BR5" s="8" t="s">
        <v>1</v>
      </c>
      <c r="BS5" s="8" t="s">
        <v>0</v>
      </c>
      <c r="BT5" s="8" t="s">
        <v>2</v>
      </c>
      <c r="BU5" s="8" t="s">
        <v>1</v>
      </c>
      <c r="BV5" s="8" t="s">
        <v>0</v>
      </c>
    </row>
    <row r="6" spans="1:74" x14ac:dyDescent="0.2">
      <c r="C6" s="3">
        <v>353.32</v>
      </c>
      <c r="D6" s="3">
        <v>13.1</v>
      </c>
      <c r="E6" s="2">
        <f t="shared" ref="E6:E23" si="0">(C6*D6*D6)/1600000</f>
        <v>3.7895778249999998E-2</v>
      </c>
      <c r="F6" s="3">
        <v>407.47</v>
      </c>
      <c r="G6" s="3">
        <v>12.65</v>
      </c>
      <c r="H6" s="2">
        <f t="shared" ref="H6:H11" si="1">(F6*G6*G6)/1600000</f>
        <v>4.0752730046875005E-2</v>
      </c>
      <c r="I6" s="3">
        <v>429.94</v>
      </c>
      <c r="J6" s="3">
        <v>22.59</v>
      </c>
      <c r="K6" s="2">
        <f t="shared" ref="K6:K27" si="2">(I6*J6*J6)/1600000</f>
        <v>0.13712616532125002</v>
      </c>
      <c r="L6" s="3">
        <v>533.86</v>
      </c>
      <c r="M6" s="3">
        <v>21.01</v>
      </c>
      <c r="N6" s="2">
        <f t="shared" ref="N6:N25" si="3">(L6*M6*M6)/1600000</f>
        <v>0.14728533411625003</v>
      </c>
      <c r="O6" s="3">
        <v>387.9</v>
      </c>
      <c r="P6" s="3">
        <v>20.71</v>
      </c>
      <c r="Q6" s="2">
        <f t="shared" ref="Q6:Q22" si="4">(O6*P6*P6)/1600000</f>
        <v>0.10398243774375</v>
      </c>
      <c r="R6" s="3">
        <v>1234.48</v>
      </c>
      <c r="S6" s="3">
        <v>48.88</v>
      </c>
      <c r="T6" s="2">
        <f>(R6*S6*S6)/1600000</f>
        <v>1.8434292323200003</v>
      </c>
      <c r="U6" s="3">
        <v>300.95</v>
      </c>
      <c r="V6" s="3">
        <v>11.42</v>
      </c>
      <c r="W6" s="2">
        <f t="shared" ref="W6:W32" si="5">(U6*V6*V6)/1600000</f>
        <v>2.4530509737499998E-2</v>
      </c>
      <c r="X6" s="3">
        <v>373.72</v>
      </c>
      <c r="Y6" s="3">
        <v>15.41</v>
      </c>
      <c r="Z6" s="2">
        <f>(X6*Y6*Y6)/1600000</f>
        <v>5.5466611457500002E-2</v>
      </c>
      <c r="AA6" s="3">
        <v>576.22</v>
      </c>
      <c r="AB6" s="3">
        <v>31.59</v>
      </c>
      <c r="AC6" s="2">
        <f t="shared" ref="AC6:AC12" si="6">(AA6*AB6*AB6)/1600000</f>
        <v>0.35939133111375005</v>
      </c>
      <c r="AD6" s="3">
        <v>700.42</v>
      </c>
      <c r="AE6" s="3">
        <v>33.89</v>
      </c>
      <c r="AF6" s="2">
        <f>(AD6*AE6*AE6)/1600000</f>
        <v>0.50278428342624992</v>
      </c>
      <c r="AG6" s="3">
        <v>436.89</v>
      </c>
      <c r="AH6" s="3">
        <v>29.64</v>
      </c>
      <c r="AI6" s="2">
        <f>(AG6*AH6*AH6)/1600000</f>
        <v>0.23988799809</v>
      </c>
      <c r="AJ6" s="3">
        <v>344.08</v>
      </c>
      <c r="AK6" s="3">
        <v>17.2</v>
      </c>
      <c r="AL6" s="2">
        <f>(AJ6*AK6*AK6)/1600000</f>
        <v>6.3620391999999998E-2</v>
      </c>
      <c r="AM6" s="3">
        <v>362.27</v>
      </c>
      <c r="AN6" s="3">
        <v>20.420000000000002</v>
      </c>
      <c r="AO6" s="2">
        <f>(AM6*AN6*AN6)/1600000</f>
        <v>9.4411275267500025E-2</v>
      </c>
      <c r="AP6" s="3">
        <v>253.22</v>
      </c>
      <c r="AQ6" s="3">
        <v>13.9</v>
      </c>
      <c r="AR6" s="2">
        <f>(AP6*AQ6*AQ6)/1600000</f>
        <v>3.0577897625000006E-2</v>
      </c>
      <c r="AS6" s="3">
        <v>400.5</v>
      </c>
      <c r="AT6" s="3">
        <v>17.22</v>
      </c>
      <c r="AU6" s="2">
        <f>(AS6*AT6*AT6)/1600000</f>
        <v>7.4224765124999995E-2</v>
      </c>
      <c r="AV6" s="3">
        <v>548.32000000000005</v>
      </c>
      <c r="AW6" s="3">
        <v>16.37</v>
      </c>
      <c r="AX6" s="2">
        <f>(AV6*AW6*AW6)/1600000</f>
        <v>9.1835683630000026E-2</v>
      </c>
      <c r="AY6" s="3">
        <v>240.9</v>
      </c>
      <c r="AZ6" s="3">
        <v>13.65</v>
      </c>
      <c r="BA6" s="2">
        <f>(AY6*AZ6*AZ6)/1600000</f>
        <v>2.8053181406250006E-2</v>
      </c>
      <c r="BB6" s="3">
        <v>244.3</v>
      </c>
      <c r="BC6" s="3">
        <v>13.71</v>
      </c>
      <c r="BD6" s="2">
        <f>(BB6*BC6*BC6)/1600000</f>
        <v>2.8699768518750005E-2</v>
      </c>
      <c r="BE6" s="3">
        <v>382.48</v>
      </c>
      <c r="BF6" s="3">
        <v>12.62</v>
      </c>
      <c r="BG6" s="2">
        <f>(BE6*BF6*BF6)/1600000</f>
        <v>3.8072154820000002E-2</v>
      </c>
      <c r="BH6" s="3">
        <v>567.66999999999996</v>
      </c>
      <c r="BI6" s="3">
        <v>23.6</v>
      </c>
      <c r="BJ6" s="2">
        <f>(BH6*BI6*BI6)/1600000</f>
        <v>0.19760592700000001</v>
      </c>
      <c r="BK6" s="3">
        <v>244.89</v>
      </c>
      <c r="BL6" s="3">
        <v>15.49</v>
      </c>
      <c r="BM6" s="2">
        <f>(BK6*BL6*BL6)/1600000</f>
        <v>3.6724331930625E-2</v>
      </c>
      <c r="BN6" s="3">
        <v>414.71</v>
      </c>
      <c r="BO6" s="3">
        <v>18.239999999999998</v>
      </c>
      <c r="BP6" s="2">
        <f>(BN6*BO6*BO6)/1600000</f>
        <v>8.6233138559999992E-2</v>
      </c>
      <c r="BQ6" s="3">
        <v>531.19000000000005</v>
      </c>
      <c r="BR6" s="3">
        <v>19.87</v>
      </c>
      <c r="BS6" s="2">
        <f>(BQ6*BR6*BR6)/1600000</f>
        <v>0.13107674319437504</v>
      </c>
      <c r="BT6" s="3">
        <v>1169.07</v>
      </c>
      <c r="BU6" s="3">
        <v>59.14</v>
      </c>
      <c r="BV6" s="2">
        <f>(BT6*BU6*BU6)/1600000</f>
        <v>2.5555428876074999</v>
      </c>
    </row>
    <row r="7" spans="1:74" x14ac:dyDescent="0.2">
      <c r="C7" s="3">
        <v>699.9</v>
      </c>
      <c r="D7" s="3">
        <v>24.29</v>
      </c>
      <c r="E7" s="2">
        <f t="shared" si="0"/>
        <v>0.25808991849374996</v>
      </c>
      <c r="F7" s="3">
        <v>478.84</v>
      </c>
      <c r="G7" s="3">
        <v>18.600000000000001</v>
      </c>
      <c r="H7" s="2">
        <f t="shared" si="1"/>
        <v>0.10353717900000002</v>
      </c>
      <c r="I7" s="3">
        <v>578.16999999999996</v>
      </c>
      <c r="J7" s="3">
        <v>22.15</v>
      </c>
      <c r="K7" s="2">
        <f t="shared" si="2"/>
        <v>0.17728950676562497</v>
      </c>
      <c r="L7" s="3">
        <v>1071.68</v>
      </c>
      <c r="M7" s="3">
        <v>34.31</v>
      </c>
      <c r="N7" s="2">
        <f t="shared" si="3"/>
        <v>0.7884725517800002</v>
      </c>
      <c r="O7" s="3">
        <v>310.07</v>
      </c>
      <c r="P7" s="3">
        <v>20.8</v>
      </c>
      <c r="Q7" s="2">
        <f t="shared" si="4"/>
        <v>8.3842928000000011E-2</v>
      </c>
      <c r="R7" s="3">
        <v>860.16</v>
      </c>
      <c r="S7" s="3">
        <v>28.3</v>
      </c>
      <c r="T7" s="2">
        <f>(R7*S7*S7)/1600000</f>
        <v>0.43055846399999997</v>
      </c>
      <c r="U7" s="3">
        <v>206.74</v>
      </c>
      <c r="V7" s="3">
        <v>8.44</v>
      </c>
      <c r="W7" s="2">
        <f t="shared" si="5"/>
        <v>9.2042715399999996E-3</v>
      </c>
      <c r="X7" s="3">
        <v>416.64</v>
      </c>
      <c r="Y7" s="3">
        <v>11.3</v>
      </c>
      <c r="Z7" s="2">
        <f>(X7*Y7*Y7)/1600000</f>
        <v>3.3250476000000001E-2</v>
      </c>
      <c r="AA7" s="3">
        <v>531.57000000000005</v>
      </c>
      <c r="AB7" s="3">
        <v>24.81</v>
      </c>
      <c r="AC7" s="2">
        <f t="shared" si="6"/>
        <v>0.204500327923125</v>
      </c>
      <c r="AD7" s="3">
        <v>439.65</v>
      </c>
      <c r="AE7" s="3">
        <v>32.32</v>
      </c>
      <c r="AF7" s="2">
        <f>(AD7*AE7*AE7)/1600000</f>
        <v>0.28703165759999999</v>
      </c>
      <c r="AG7" s="3">
        <v>290.82</v>
      </c>
      <c r="AH7" s="3">
        <v>21.18</v>
      </c>
      <c r="AI7" s="2">
        <f>(AG7*AH7*AH7)/1600000</f>
        <v>8.1537276104999987E-2</v>
      </c>
      <c r="AJ7" s="3"/>
      <c r="AK7" s="3"/>
      <c r="AL7" s="2"/>
      <c r="AM7" s="3">
        <v>739.01</v>
      </c>
      <c r="AN7" s="3">
        <v>32.409999999999997</v>
      </c>
      <c r="AO7" s="2">
        <f>(AM7*AN7*AN7)/1600000</f>
        <v>0.48516380623812488</v>
      </c>
      <c r="AP7" s="3">
        <v>266.11</v>
      </c>
      <c r="AQ7" s="3">
        <v>15.18</v>
      </c>
      <c r="AR7" s="2">
        <f>(AP7*AQ7*AQ7)/1600000</f>
        <v>3.8325228727500001E-2</v>
      </c>
      <c r="AS7" s="3">
        <v>269.16000000000003</v>
      </c>
      <c r="AT7" s="3">
        <v>12.49</v>
      </c>
      <c r="AU7" s="2">
        <f>(AS7*AT7*AT7)/1600000</f>
        <v>2.6243116822500002E-2</v>
      </c>
      <c r="AV7" s="3"/>
      <c r="AW7" s="3"/>
      <c r="AX7" s="2"/>
      <c r="AY7" s="3">
        <v>324.58999999999997</v>
      </c>
      <c r="AZ7" s="3">
        <v>17.55</v>
      </c>
      <c r="BA7" s="2">
        <f>(AY7*AZ7*AZ7)/1600000</f>
        <v>6.2484082171875004E-2</v>
      </c>
      <c r="BB7" s="3">
        <v>515.09</v>
      </c>
      <c r="BC7" s="3">
        <v>26.82</v>
      </c>
      <c r="BD7" s="2">
        <f>(BB7*BC7*BC7)/1600000</f>
        <v>0.23156914007250001</v>
      </c>
      <c r="BE7" s="3">
        <v>624.47</v>
      </c>
      <c r="BF7" s="3">
        <v>14.83</v>
      </c>
      <c r="BG7" s="2">
        <f>(BE7*BF7*BF7)/1600000</f>
        <v>8.5836875114375003E-2</v>
      </c>
      <c r="BH7" s="3">
        <v>573.27</v>
      </c>
      <c r="BI7" s="3">
        <v>28.36</v>
      </c>
      <c r="BJ7" s="14">
        <f>(BH7*BI7*BI7)/1600000</f>
        <v>0.28817193686999998</v>
      </c>
      <c r="BK7" s="3">
        <v>326.10000000000002</v>
      </c>
      <c r="BL7" s="3">
        <v>19.47</v>
      </c>
      <c r="BM7" s="2">
        <f>(BK7*BL7*BL7)/1600000</f>
        <v>7.7261425931250002E-2</v>
      </c>
      <c r="BN7" s="3"/>
      <c r="BO7" s="3"/>
      <c r="BP7" s="2"/>
      <c r="BQ7" s="3">
        <v>506.57</v>
      </c>
      <c r="BR7" s="3">
        <v>18.25</v>
      </c>
      <c r="BS7" s="2">
        <f>(BQ7*BR7*BR7)/1600000</f>
        <v>0.10544966914062501</v>
      </c>
      <c r="BT7" s="3"/>
      <c r="BU7" s="3"/>
      <c r="BV7" s="2"/>
    </row>
    <row r="8" spans="1:74" x14ac:dyDescent="0.2">
      <c r="C8" s="3">
        <v>873.63</v>
      </c>
      <c r="D8" s="3">
        <v>29</v>
      </c>
      <c r="E8" s="2">
        <f t="shared" si="0"/>
        <v>0.45920176874999996</v>
      </c>
      <c r="F8" s="3">
        <v>283.27999999999997</v>
      </c>
      <c r="G8" s="3">
        <v>16.670000000000002</v>
      </c>
      <c r="H8" s="2">
        <f t="shared" si="1"/>
        <v>4.9200229745000004E-2</v>
      </c>
      <c r="I8" s="3">
        <v>497.83</v>
      </c>
      <c r="J8" s="3">
        <v>19.04</v>
      </c>
      <c r="K8" s="2">
        <f t="shared" si="2"/>
        <v>0.11279633007999999</v>
      </c>
      <c r="L8" s="3">
        <v>1014.85</v>
      </c>
      <c r="M8" s="3">
        <v>34.049999999999997</v>
      </c>
      <c r="N8" s="2">
        <f t="shared" si="3"/>
        <v>0.73538726695312473</v>
      </c>
      <c r="O8" s="3">
        <v>330.93</v>
      </c>
      <c r="P8" s="3">
        <v>16.95</v>
      </c>
      <c r="Q8" s="2">
        <f t="shared" si="4"/>
        <v>5.9423135203124991E-2</v>
      </c>
      <c r="R8" s="3">
        <v>1174.17</v>
      </c>
      <c r="S8" s="3">
        <v>55.4</v>
      </c>
      <c r="T8" s="2">
        <f>(R8*S8*S8)/1600000</f>
        <v>2.25232224825</v>
      </c>
      <c r="U8" s="3">
        <v>194.59</v>
      </c>
      <c r="V8" s="3">
        <v>11.33</v>
      </c>
      <c r="W8" s="2">
        <f t="shared" si="5"/>
        <v>1.5612065156875E-2</v>
      </c>
      <c r="X8" s="3">
        <f>1535.15/2</f>
        <v>767.57500000000005</v>
      </c>
      <c r="Y8" s="3">
        <f>47.26/2</f>
        <v>23.63</v>
      </c>
      <c r="Z8" s="2">
        <f>(X8*Y8*Y8)/1600000</f>
        <v>0.26787259313593748</v>
      </c>
      <c r="AA8" s="3">
        <v>405.65</v>
      </c>
      <c r="AB8" s="3">
        <v>18.95</v>
      </c>
      <c r="AC8" s="2">
        <f t="shared" si="6"/>
        <v>9.1043705703124977E-2</v>
      </c>
      <c r="AD8" s="3">
        <v>750.69</v>
      </c>
      <c r="AE8" s="3">
        <v>46.12</v>
      </c>
      <c r="AF8" s="2">
        <f>(AD8*AE8*AE8)/1600000</f>
        <v>0.99797404221000008</v>
      </c>
      <c r="AG8" s="3">
        <v>430.09</v>
      </c>
      <c r="AH8" s="3">
        <v>27</v>
      </c>
      <c r="AI8" s="2">
        <f>(AG8*AH8*AH8)/1600000</f>
        <v>0.19595975624999998</v>
      </c>
      <c r="AJ8" s="3"/>
      <c r="AK8" s="3"/>
      <c r="AL8" s="2"/>
      <c r="AM8" s="3"/>
      <c r="AN8" s="3"/>
      <c r="AO8" s="2"/>
      <c r="AP8" s="3">
        <v>253.37</v>
      </c>
      <c r="AQ8" s="3">
        <v>12.64</v>
      </c>
      <c r="AR8" s="2">
        <f>(AP8*AQ8*AQ8)/1600000</f>
        <v>2.530051472E-2</v>
      </c>
      <c r="AS8" s="3">
        <v>707.6</v>
      </c>
      <c r="AT8" s="3">
        <v>22.62</v>
      </c>
      <c r="AU8" s="2">
        <f>(AS8*AT8*AT8)/1600000</f>
        <v>0.22628358090000006</v>
      </c>
      <c r="AV8" s="3"/>
      <c r="AW8" s="3"/>
      <c r="AX8" s="2"/>
      <c r="AY8" s="3"/>
      <c r="AZ8" s="3"/>
      <c r="BA8" s="2"/>
      <c r="BB8" s="3"/>
      <c r="BC8" s="3"/>
      <c r="BD8" s="2"/>
      <c r="BE8" s="3"/>
      <c r="BF8" s="3"/>
      <c r="BG8" s="2"/>
      <c r="BI8" s="3"/>
      <c r="BJ8" s="2"/>
      <c r="BK8" s="3"/>
      <c r="BL8" s="3"/>
      <c r="BM8" s="2"/>
      <c r="BN8" s="3"/>
      <c r="BO8" s="3"/>
      <c r="BP8" s="2"/>
      <c r="BQ8" s="3"/>
      <c r="BR8" s="3"/>
      <c r="BS8" s="2"/>
      <c r="BT8" s="3"/>
      <c r="BU8" s="3"/>
      <c r="BV8" s="2"/>
    </row>
    <row r="9" spans="1:74" x14ac:dyDescent="0.2">
      <c r="C9" s="3">
        <v>377.64</v>
      </c>
      <c r="D9" s="3">
        <v>14.17</v>
      </c>
      <c r="E9" s="2">
        <f t="shared" si="0"/>
        <v>4.7391200122500005E-2</v>
      </c>
      <c r="F9" s="3">
        <v>384.08</v>
      </c>
      <c r="G9" s="3">
        <v>13.61</v>
      </c>
      <c r="H9" s="2">
        <f t="shared" si="1"/>
        <v>4.446496560499999E-2</v>
      </c>
      <c r="I9" s="3">
        <v>430.02</v>
      </c>
      <c r="J9" s="3">
        <v>29.11</v>
      </c>
      <c r="K9" s="2">
        <f t="shared" si="2"/>
        <v>0.22774721927625</v>
      </c>
      <c r="L9" s="3">
        <v>718.22</v>
      </c>
      <c r="M9" s="3">
        <v>23.71</v>
      </c>
      <c r="N9" s="2">
        <f t="shared" si="3"/>
        <v>0.25234843743875002</v>
      </c>
      <c r="O9" s="3">
        <v>210.33</v>
      </c>
      <c r="P9" s="3">
        <v>15.67</v>
      </c>
      <c r="Q9" s="2">
        <f t="shared" si="4"/>
        <v>3.2278937585625E-2</v>
      </c>
      <c r="R9" s="3">
        <v>1582.09</v>
      </c>
      <c r="S9" s="3">
        <v>64.25</v>
      </c>
      <c r="T9" s="2">
        <f>(R9*S9*S9)/1600000</f>
        <v>4.0818540003906252</v>
      </c>
      <c r="U9" s="3">
        <v>422.21</v>
      </c>
      <c r="V9" s="3">
        <v>13.12</v>
      </c>
      <c r="W9" s="2">
        <f t="shared" si="5"/>
        <v>4.5423040639999988E-2</v>
      </c>
      <c r="X9" s="3">
        <v>525.30999999999995</v>
      </c>
      <c r="Y9" s="3">
        <v>15.62</v>
      </c>
      <c r="Z9" s="2">
        <f>(X9*Y9*Y9)/1600000</f>
        <v>8.0104653227499989E-2</v>
      </c>
      <c r="AA9" s="3">
        <v>429.13</v>
      </c>
      <c r="AB9" s="3">
        <v>19.8</v>
      </c>
      <c r="AC9" s="2">
        <f t="shared" si="6"/>
        <v>0.10514757824999998</v>
      </c>
      <c r="AD9" s="3"/>
      <c r="AE9" s="3"/>
      <c r="AF9" s="2"/>
      <c r="AG9" s="3"/>
      <c r="AH9" s="3"/>
      <c r="AI9" s="2"/>
      <c r="AJ9" s="3"/>
      <c r="AK9" s="3"/>
      <c r="AL9" s="2"/>
      <c r="AM9" s="3"/>
      <c r="AN9" s="3"/>
      <c r="AO9" s="2"/>
      <c r="AP9" s="3"/>
      <c r="AQ9" s="3"/>
      <c r="AR9" s="2"/>
      <c r="AS9" s="3">
        <v>270.95</v>
      </c>
      <c r="AT9" s="3">
        <v>13.97</v>
      </c>
      <c r="AU9" s="2">
        <f>(AS9*AT9*AT9)/1600000</f>
        <v>3.3049278659375E-2</v>
      </c>
      <c r="AV9" s="3"/>
      <c r="AW9" s="3"/>
      <c r="AX9" s="2"/>
      <c r="AY9" s="3"/>
      <c r="AZ9" s="3"/>
      <c r="BA9" s="2"/>
      <c r="BB9" s="3"/>
      <c r="BC9" s="3"/>
      <c r="BD9" s="2"/>
      <c r="BE9" s="3"/>
      <c r="BF9" s="3"/>
      <c r="BG9" s="2"/>
      <c r="BH9" s="3"/>
      <c r="BI9" s="3"/>
      <c r="BJ9" s="2"/>
      <c r="BK9" s="3"/>
      <c r="BL9" s="3"/>
      <c r="BM9" s="2"/>
      <c r="BN9" s="3"/>
      <c r="BO9" s="3"/>
      <c r="BP9" s="2"/>
      <c r="BQ9" s="3"/>
      <c r="BR9" s="3"/>
      <c r="BS9" s="2"/>
      <c r="BT9" s="3"/>
      <c r="BU9" s="3"/>
      <c r="BV9" s="2"/>
    </row>
    <row r="10" spans="1:74" x14ac:dyDescent="0.2">
      <c r="C10" s="3">
        <v>614.41999999999996</v>
      </c>
      <c r="D10" s="3">
        <v>14.52</v>
      </c>
      <c r="E10" s="2">
        <f t="shared" si="0"/>
        <v>8.0961508979999985E-2</v>
      </c>
      <c r="F10" s="3">
        <v>324.81</v>
      </c>
      <c r="G10" s="3">
        <v>14.61</v>
      </c>
      <c r="H10" s="2">
        <f t="shared" si="1"/>
        <v>4.3332110375624996E-2</v>
      </c>
      <c r="I10" s="3">
        <v>284.89</v>
      </c>
      <c r="J10" s="3">
        <v>28.73</v>
      </c>
      <c r="K10" s="2">
        <f t="shared" si="2"/>
        <v>0.146969925675625</v>
      </c>
      <c r="L10" s="3">
        <v>301.95999999999998</v>
      </c>
      <c r="M10" s="3">
        <v>13.51</v>
      </c>
      <c r="N10" s="2">
        <f t="shared" si="3"/>
        <v>3.44461058725E-2</v>
      </c>
      <c r="O10" s="3">
        <v>317.52999999999997</v>
      </c>
      <c r="P10" s="3">
        <v>18.91</v>
      </c>
      <c r="Q10" s="2">
        <f t="shared" si="4"/>
        <v>7.0965593370624996E-2</v>
      </c>
      <c r="R10" s="3"/>
      <c r="S10" s="3"/>
      <c r="T10" s="2"/>
      <c r="U10" s="3">
        <v>431.8</v>
      </c>
      <c r="V10" s="3">
        <v>11.81</v>
      </c>
      <c r="W10" s="2">
        <f t="shared" si="5"/>
        <v>3.7641112487500003E-2</v>
      </c>
      <c r="X10" s="3">
        <v>524.91</v>
      </c>
      <c r="Y10" s="3">
        <v>19.23</v>
      </c>
      <c r="Z10" s="2">
        <f>(X10*Y10*Y10)/1600000</f>
        <v>0.12131749446187499</v>
      </c>
      <c r="AA10" s="3">
        <v>572.77</v>
      </c>
      <c r="AB10" s="3">
        <v>27.06</v>
      </c>
      <c r="AC10" s="2">
        <f t="shared" si="6"/>
        <v>0.26212947923249996</v>
      </c>
      <c r="AD10" s="3"/>
      <c r="AE10" s="3"/>
      <c r="AF10" s="2"/>
      <c r="AG10" s="3"/>
      <c r="AH10" s="3"/>
      <c r="AI10" s="2"/>
      <c r="AJ10" s="3"/>
      <c r="AK10" s="3"/>
      <c r="AL10" s="2"/>
      <c r="AM10" s="3"/>
      <c r="AN10" s="3"/>
      <c r="AO10" s="2"/>
      <c r="AP10" s="3"/>
      <c r="AQ10" s="3"/>
      <c r="AR10" s="2"/>
      <c r="AS10" s="3"/>
      <c r="AT10" s="3"/>
      <c r="AU10" s="2"/>
      <c r="AV10" s="3"/>
      <c r="AW10" s="3"/>
      <c r="AX10" s="2"/>
      <c r="AY10" s="3"/>
      <c r="AZ10" s="3"/>
      <c r="BA10" s="2"/>
      <c r="BB10" s="3"/>
      <c r="BC10" s="3"/>
      <c r="BD10" s="2"/>
      <c r="BE10" s="3"/>
      <c r="BF10" s="3"/>
      <c r="BG10" s="2"/>
      <c r="BH10" s="3"/>
      <c r="BI10" s="3"/>
      <c r="BJ10" s="2"/>
      <c r="BK10" s="3"/>
      <c r="BL10" s="3"/>
      <c r="BM10" s="2"/>
      <c r="BN10" s="3"/>
      <c r="BO10" s="3"/>
      <c r="BP10" s="2"/>
      <c r="BQ10" s="3"/>
      <c r="BR10" s="3"/>
      <c r="BS10" s="2"/>
      <c r="BT10" s="3"/>
      <c r="BU10" s="3"/>
      <c r="BV10" s="2"/>
    </row>
    <row r="11" spans="1:74" x14ac:dyDescent="0.2">
      <c r="C11" s="3">
        <v>980.53</v>
      </c>
      <c r="D11" s="3">
        <v>28.35</v>
      </c>
      <c r="E11" s="2">
        <f t="shared" si="0"/>
        <v>0.49254626432812504</v>
      </c>
      <c r="F11" s="3">
        <v>414.35</v>
      </c>
      <c r="G11" s="3">
        <v>15.76</v>
      </c>
      <c r="H11" s="2">
        <f t="shared" si="1"/>
        <v>6.4322036600000007E-2</v>
      </c>
      <c r="I11" s="3">
        <v>391.26</v>
      </c>
      <c r="J11" s="3">
        <v>23.82</v>
      </c>
      <c r="K11" s="2">
        <f t="shared" si="2"/>
        <v>0.13874871901499999</v>
      </c>
      <c r="L11" s="3">
        <v>931.96</v>
      </c>
      <c r="M11" s="3">
        <v>32.130000000000003</v>
      </c>
      <c r="N11" s="2">
        <f t="shared" si="3"/>
        <v>0.6013104358275001</v>
      </c>
      <c r="O11" s="3">
        <v>391.67</v>
      </c>
      <c r="P11" s="3">
        <v>24.32</v>
      </c>
      <c r="Q11" s="2">
        <f t="shared" si="4"/>
        <v>0.14478629888</v>
      </c>
      <c r="R11" s="3"/>
      <c r="S11" s="3"/>
      <c r="T11" s="2"/>
      <c r="U11" s="3">
        <v>402.3</v>
      </c>
      <c r="V11" s="3">
        <v>13.74</v>
      </c>
      <c r="W11" s="2">
        <f t="shared" si="5"/>
        <v>4.7468282175000001E-2</v>
      </c>
      <c r="X11" s="3"/>
      <c r="Y11" s="3"/>
      <c r="Z11" s="2"/>
      <c r="AA11" s="3">
        <v>694.8</v>
      </c>
      <c r="AB11" s="3">
        <v>32.74</v>
      </c>
      <c r="AC11" s="2">
        <f t="shared" si="6"/>
        <v>0.46547587530000006</v>
      </c>
      <c r="AD11" s="3"/>
      <c r="AE11" s="3"/>
      <c r="AF11" s="2"/>
      <c r="AG11" s="3"/>
      <c r="AH11" s="3"/>
      <c r="AI11" s="2"/>
      <c r="AJ11" s="3"/>
      <c r="AK11" s="3"/>
      <c r="AL11" s="2"/>
      <c r="AM11" s="3"/>
      <c r="AN11" s="3"/>
      <c r="AO11" s="2"/>
      <c r="AP11" s="3"/>
      <c r="AQ11" s="3"/>
      <c r="AR11" s="2"/>
      <c r="AS11" s="3"/>
      <c r="AT11" s="3"/>
      <c r="AU11" s="2"/>
      <c r="AV11" s="3"/>
      <c r="AW11" s="3"/>
      <c r="AX11" s="2"/>
      <c r="AY11" s="3"/>
      <c r="AZ11" s="3"/>
      <c r="BA11" s="2"/>
      <c r="BB11" s="3"/>
      <c r="BC11" s="3"/>
      <c r="BD11" s="2"/>
      <c r="BE11" s="3"/>
      <c r="BF11" s="3"/>
      <c r="BG11" s="2"/>
      <c r="BH11" s="3"/>
      <c r="BI11" s="3"/>
      <c r="BJ11" s="2"/>
      <c r="BK11" s="3"/>
      <c r="BL11" s="3"/>
      <c r="BM11" s="2"/>
      <c r="BN11" s="3"/>
      <c r="BO11" s="3"/>
      <c r="BP11" s="2"/>
      <c r="BQ11" s="3"/>
      <c r="BR11" s="3"/>
      <c r="BS11" s="2"/>
      <c r="BT11" s="3"/>
      <c r="BU11" s="3"/>
      <c r="BV11" s="2"/>
    </row>
    <row r="12" spans="1:74" x14ac:dyDescent="0.2">
      <c r="C12" s="3">
        <v>966.62</v>
      </c>
      <c r="D12" s="3">
        <v>32.5</v>
      </c>
      <c r="E12" s="2">
        <f t="shared" si="0"/>
        <v>0.63812023437499998</v>
      </c>
      <c r="F12" s="3"/>
      <c r="G12" s="3"/>
      <c r="H12" s="2"/>
      <c r="I12" s="3">
        <v>287.94</v>
      </c>
      <c r="J12" s="3">
        <v>14.7</v>
      </c>
      <c r="K12" s="2">
        <f t="shared" si="2"/>
        <v>3.8888096625E-2</v>
      </c>
      <c r="L12" s="3">
        <v>945.05</v>
      </c>
      <c r="M12" s="3">
        <v>33.9</v>
      </c>
      <c r="N12" s="2">
        <f t="shared" si="3"/>
        <v>0.67878806906249989</v>
      </c>
      <c r="O12" s="3">
        <v>305.70999999999998</v>
      </c>
      <c r="P12" s="3">
        <v>16.57</v>
      </c>
      <c r="Q12" s="2">
        <f t="shared" si="4"/>
        <v>5.2460772236875002E-2</v>
      </c>
      <c r="R12" s="3"/>
      <c r="S12" s="3"/>
      <c r="T12" s="2"/>
      <c r="U12" s="3">
        <v>162.36000000000001</v>
      </c>
      <c r="V12" s="3">
        <v>8.8000000000000007</v>
      </c>
      <c r="W12" s="2">
        <f t="shared" si="5"/>
        <v>7.8582240000000022E-3</v>
      </c>
      <c r="X12" s="3"/>
      <c r="Y12" s="3"/>
      <c r="Z12" s="2"/>
      <c r="AA12" s="3">
        <v>421.49</v>
      </c>
      <c r="AB12" s="3">
        <v>22.49</v>
      </c>
      <c r="AC12" s="2">
        <f t="shared" si="6"/>
        <v>0.13324355259312498</v>
      </c>
      <c r="AD12" s="3"/>
      <c r="AE12" s="3"/>
      <c r="AF12" s="2"/>
      <c r="AG12" s="3"/>
      <c r="AH12" s="3"/>
      <c r="AI12" s="2"/>
      <c r="AJ12" s="3"/>
      <c r="AK12" s="3"/>
      <c r="AL12" s="2"/>
      <c r="AM12" s="3"/>
      <c r="AN12" s="3"/>
      <c r="AO12" s="2"/>
      <c r="AP12" s="3"/>
      <c r="AQ12" s="3"/>
      <c r="AR12" s="2"/>
      <c r="AS12" s="3"/>
      <c r="AT12" s="3"/>
      <c r="AU12" s="2"/>
      <c r="AV12" s="3"/>
      <c r="AW12" s="3"/>
      <c r="AX12" s="2"/>
      <c r="AY12" s="3"/>
      <c r="AZ12" s="3"/>
      <c r="BA12" s="2"/>
      <c r="BB12" s="3"/>
      <c r="BC12" s="3"/>
      <c r="BD12" s="2"/>
      <c r="BE12" s="3"/>
      <c r="BF12" s="3"/>
      <c r="BG12" s="2"/>
      <c r="BH12" s="3"/>
      <c r="BI12" s="3"/>
      <c r="BJ12" s="2"/>
      <c r="BK12" s="3"/>
      <c r="BL12" s="3"/>
      <c r="BM12" s="2"/>
      <c r="BN12" s="3"/>
      <c r="BO12" s="3"/>
      <c r="BP12" s="2"/>
      <c r="BQ12" s="3"/>
      <c r="BR12" s="3"/>
      <c r="BS12" s="2"/>
      <c r="BT12" s="3"/>
      <c r="BU12" s="3"/>
      <c r="BV12" s="2"/>
    </row>
    <row r="13" spans="1:74" x14ac:dyDescent="0.2">
      <c r="C13" s="3">
        <v>694.05</v>
      </c>
      <c r="D13" s="3">
        <v>23.16</v>
      </c>
      <c r="E13" s="2">
        <f t="shared" si="0"/>
        <v>0.23267401604999999</v>
      </c>
      <c r="F13" s="3"/>
      <c r="G13" s="3"/>
      <c r="H13" s="2"/>
      <c r="I13" s="3">
        <v>329.49</v>
      </c>
      <c r="J13" s="3">
        <v>21.36</v>
      </c>
      <c r="K13" s="2">
        <f t="shared" si="2"/>
        <v>9.3956050439999994E-2</v>
      </c>
      <c r="L13" s="3">
        <v>1105.71</v>
      </c>
      <c r="M13" s="3">
        <v>40.159999999999997</v>
      </c>
      <c r="N13" s="2">
        <f t="shared" si="3"/>
        <v>1.1145733713599999</v>
      </c>
      <c r="O13" s="3">
        <v>319.88</v>
      </c>
      <c r="P13" s="3">
        <v>18.100000000000001</v>
      </c>
      <c r="Q13" s="2">
        <f t="shared" si="4"/>
        <v>6.5497429250000017E-2</v>
      </c>
      <c r="R13" s="3"/>
      <c r="S13" s="3"/>
      <c r="T13" s="2"/>
      <c r="U13" s="3">
        <v>609.11</v>
      </c>
      <c r="V13" s="3">
        <v>22.53</v>
      </c>
      <c r="W13" s="2">
        <f t="shared" si="5"/>
        <v>0.19324049012437503</v>
      </c>
      <c r="X13" s="3"/>
      <c r="Y13" s="3"/>
      <c r="Z13" s="2"/>
      <c r="AA13" s="3"/>
      <c r="AB13" s="3"/>
      <c r="AC13" s="2"/>
      <c r="AD13" s="3"/>
      <c r="AE13" s="3"/>
      <c r="AF13" s="2"/>
      <c r="AG13" s="3"/>
      <c r="AH13" s="3"/>
      <c r="AI13" s="2"/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/>
      <c r="AW13" s="3"/>
      <c r="AX13" s="2"/>
      <c r="AY13" s="3"/>
      <c r="AZ13" s="3"/>
      <c r="BA13" s="2"/>
      <c r="BB13" s="3"/>
      <c r="BC13" s="3"/>
      <c r="BD13" s="2"/>
      <c r="BE13" s="3"/>
      <c r="BF13" s="3"/>
      <c r="BG13" s="2"/>
      <c r="BH13" s="3"/>
      <c r="BI13" s="3"/>
      <c r="BJ13" s="2"/>
      <c r="BK13" s="3"/>
      <c r="BL13" s="3"/>
      <c r="BM13" s="2"/>
      <c r="BN13" s="3"/>
      <c r="BO13" s="3"/>
      <c r="BP13" s="2"/>
      <c r="BQ13" s="3"/>
      <c r="BR13" s="3"/>
      <c r="BS13" s="2"/>
      <c r="BT13" s="3"/>
      <c r="BU13" s="3"/>
      <c r="BV13" s="2"/>
    </row>
    <row r="14" spans="1:74" x14ac:dyDescent="0.2">
      <c r="C14" s="3">
        <v>373.26</v>
      </c>
      <c r="D14" s="3">
        <v>15.38</v>
      </c>
      <c r="E14" s="2">
        <f t="shared" si="0"/>
        <v>5.5182851715000009E-2</v>
      </c>
      <c r="F14" s="3"/>
      <c r="G14" s="3"/>
      <c r="H14" s="2"/>
      <c r="I14" s="3">
        <v>176.11</v>
      </c>
      <c r="J14" s="3">
        <v>14.77</v>
      </c>
      <c r="K14" s="2">
        <f t="shared" si="2"/>
        <v>2.4011817011874999E-2</v>
      </c>
      <c r="L14" s="3">
        <v>698.52</v>
      </c>
      <c r="M14" s="3">
        <v>26.63</v>
      </c>
      <c r="N14" s="2">
        <f t="shared" si="3"/>
        <v>0.30960017361749997</v>
      </c>
      <c r="O14" s="3">
        <v>534.36</v>
      </c>
      <c r="P14" s="3">
        <v>25.11</v>
      </c>
      <c r="Q14" s="2">
        <f t="shared" si="4"/>
        <v>0.2105752785975</v>
      </c>
      <c r="R14" s="3"/>
      <c r="S14" s="3"/>
      <c r="T14" s="2"/>
      <c r="U14" s="3">
        <v>415.54</v>
      </c>
      <c r="V14" s="3">
        <v>14.95</v>
      </c>
      <c r="W14" s="2">
        <f t="shared" si="5"/>
        <v>5.8046393031249997E-2</v>
      </c>
      <c r="X14" s="3"/>
      <c r="Y14" s="3"/>
      <c r="Z14" s="2"/>
      <c r="AA14" s="3"/>
      <c r="AB14" s="3"/>
      <c r="AC14" s="2"/>
      <c r="AD14" s="3"/>
      <c r="AE14" s="3"/>
      <c r="AF14" s="2"/>
      <c r="AG14" s="3"/>
      <c r="AH14" s="3"/>
      <c r="AI14" s="2"/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/>
      <c r="AW14" s="3"/>
      <c r="AX14" s="2"/>
      <c r="AY14" s="3"/>
      <c r="AZ14" s="3"/>
      <c r="BA14" s="2"/>
      <c r="BB14" s="3"/>
      <c r="BC14" s="3"/>
      <c r="BD14" s="2"/>
      <c r="BE14" s="3"/>
      <c r="BF14" s="3"/>
      <c r="BG14" s="2"/>
      <c r="BH14" s="3"/>
      <c r="BI14" s="3"/>
      <c r="BJ14" s="2"/>
      <c r="BK14" s="3"/>
      <c r="BL14" s="3"/>
      <c r="BM14" s="2"/>
      <c r="BN14" s="3"/>
      <c r="BO14" s="3"/>
      <c r="BP14" s="2"/>
      <c r="BQ14" s="3"/>
      <c r="BR14" s="3"/>
      <c r="BS14" s="2"/>
      <c r="BT14" s="3"/>
      <c r="BU14" s="3"/>
      <c r="BV14" s="2"/>
    </row>
    <row r="15" spans="1:74" x14ac:dyDescent="0.2">
      <c r="C15" s="3">
        <v>412.57</v>
      </c>
      <c r="D15" s="3">
        <v>15.11</v>
      </c>
      <c r="E15" s="2">
        <f t="shared" si="0"/>
        <v>5.8871701935624986E-2</v>
      </c>
      <c r="F15" s="3"/>
      <c r="G15" s="3"/>
      <c r="H15" s="2"/>
      <c r="I15" s="3">
        <v>215</v>
      </c>
      <c r="J15" s="3">
        <v>21.86</v>
      </c>
      <c r="K15" s="2">
        <f t="shared" si="2"/>
        <v>6.4212383749999991E-2</v>
      </c>
      <c r="L15" s="3">
        <v>552.80999999999995</v>
      </c>
      <c r="M15" s="3">
        <v>23.91</v>
      </c>
      <c r="N15" s="2">
        <f t="shared" si="3"/>
        <v>0.19752181160062501</v>
      </c>
      <c r="O15" s="3">
        <v>278.39</v>
      </c>
      <c r="P15" s="3">
        <v>19.68</v>
      </c>
      <c r="Q15" s="2">
        <f t="shared" si="4"/>
        <v>6.7388196959999994E-2</v>
      </c>
      <c r="R15" s="3"/>
      <c r="S15" s="3"/>
      <c r="T15" s="2"/>
      <c r="U15" s="3">
        <v>635.44000000000005</v>
      </c>
      <c r="V15" s="3">
        <v>20.72</v>
      </c>
      <c r="W15" s="2">
        <f t="shared" si="5"/>
        <v>0.17050380256</v>
      </c>
      <c r="X15" s="3"/>
      <c r="Y15" s="3"/>
      <c r="Z15" s="2"/>
      <c r="AA15" s="3"/>
      <c r="AB15" s="3"/>
      <c r="AC15" s="2"/>
      <c r="AD15" s="3"/>
      <c r="AE15" s="3"/>
      <c r="AF15" s="2"/>
      <c r="AG15" s="3"/>
      <c r="AH15" s="3"/>
      <c r="AI15" s="2"/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/>
      <c r="AW15" s="3"/>
      <c r="AX15" s="2"/>
      <c r="AY15" s="3"/>
      <c r="AZ15" s="3"/>
      <c r="BA15" s="2"/>
      <c r="BB15" s="3"/>
      <c r="BC15" s="3"/>
      <c r="BD15" s="2"/>
      <c r="BE15" s="3"/>
      <c r="BF15" s="3"/>
      <c r="BG15" s="2"/>
      <c r="BH15" s="3"/>
      <c r="BI15" s="3"/>
      <c r="BJ15" s="2"/>
      <c r="BK15" s="3"/>
      <c r="BL15" s="3"/>
      <c r="BM15" s="2"/>
      <c r="BN15" s="3"/>
      <c r="BO15" s="3"/>
      <c r="BP15" s="2"/>
      <c r="BQ15" s="3"/>
      <c r="BR15" s="3"/>
      <c r="BS15" s="2"/>
      <c r="BT15" s="3"/>
      <c r="BU15" s="3"/>
      <c r="BV15" s="2"/>
    </row>
    <row r="16" spans="1:74" x14ac:dyDescent="0.2">
      <c r="C16" s="3">
        <v>958.79</v>
      </c>
      <c r="D16" s="3">
        <v>28.71</v>
      </c>
      <c r="E16" s="2">
        <f t="shared" si="0"/>
        <v>0.49393511027437503</v>
      </c>
      <c r="F16" s="3"/>
      <c r="G16" s="3"/>
      <c r="H16" s="2"/>
      <c r="I16" s="3">
        <v>327.92</v>
      </c>
      <c r="J16" s="3">
        <v>14.8</v>
      </c>
      <c r="K16" s="2">
        <f t="shared" si="2"/>
        <v>4.489224800000001E-2</v>
      </c>
      <c r="L16" s="3">
        <v>954.68</v>
      </c>
      <c r="M16" s="3">
        <v>28.8</v>
      </c>
      <c r="N16" s="2">
        <f t="shared" si="3"/>
        <v>0.49490611200000001</v>
      </c>
      <c r="O16" s="3">
        <v>289.76</v>
      </c>
      <c r="P16" s="3">
        <v>18.399999999999999</v>
      </c>
      <c r="Q16" s="2">
        <f t="shared" si="4"/>
        <v>6.131321599999999E-2</v>
      </c>
      <c r="R16" s="3"/>
      <c r="S16" s="3"/>
      <c r="T16" s="2"/>
      <c r="U16" s="3">
        <v>375.18</v>
      </c>
      <c r="V16" s="3">
        <v>13.52</v>
      </c>
      <c r="W16" s="2">
        <f t="shared" si="5"/>
        <v>4.2862063919999999E-2</v>
      </c>
      <c r="X16" s="3"/>
      <c r="Y16" s="3"/>
      <c r="Z16" s="2"/>
      <c r="AA16" s="3"/>
      <c r="AB16" s="3"/>
      <c r="AC16" s="2"/>
      <c r="AD16" s="3"/>
      <c r="AE16" s="3"/>
      <c r="AF16" s="2"/>
      <c r="AG16" s="3"/>
      <c r="AH16" s="3"/>
      <c r="AI16" s="2"/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/>
      <c r="AW16" s="3"/>
      <c r="AX16" s="2"/>
      <c r="AY16" s="3"/>
      <c r="AZ16" s="3"/>
      <c r="BA16" s="2"/>
      <c r="BB16" s="3"/>
      <c r="BC16" s="3"/>
      <c r="BD16" s="2"/>
      <c r="BE16" s="3"/>
      <c r="BF16" s="3"/>
      <c r="BG16" s="2"/>
      <c r="BH16" s="3"/>
      <c r="BI16" s="3"/>
      <c r="BJ16" s="2"/>
      <c r="BK16" s="3"/>
      <c r="BL16" s="3"/>
      <c r="BM16" s="2"/>
      <c r="BN16" s="3"/>
      <c r="BO16" s="3"/>
      <c r="BP16" s="2"/>
      <c r="BQ16" s="3"/>
      <c r="BR16" s="3"/>
      <c r="BS16" s="2"/>
      <c r="BT16" s="3"/>
      <c r="BU16" s="3"/>
      <c r="BV16" s="2"/>
    </row>
    <row r="17" spans="3:74" x14ac:dyDescent="0.2">
      <c r="C17" s="3">
        <v>524.28</v>
      </c>
      <c r="D17" s="3">
        <v>19.36</v>
      </c>
      <c r="E17" s="2">
        <f t="shared" si="0"/>
        <v>0.12281573567999998</v>
      </c>
      <c r="F17" s="3"/>
      <c r="G17" s="3"/>
      <c r="H17" s="2"/>
      <c r="I17" s="3">
        <v>383.33</v>
      </c>
      <c r="J17" s="3">
        <v>23.18</v>
      </c>
      <c r="K17" s="2">
        <f t="shared" si="2"/>
        <v>0.12872997643249998</v>
      </c>
      <c r="L17" s="3">
        <v>692.99</v>
      </c>
      <c r="M17" s="3">
        <v>25.42</v>
      </c>
      <c r="N17" s="2">
        <f t="shared" si="3"/>
        <v>0.27987111464750003</v>
      </c>
      <c r="O17" s="3">
        <v>333.12</v>
      </c>
      <c r="P17" s="3">
        <v>18.29</v>
      </c>
      <c r="Q17" s="2">
        <f t="shared" si="4"/>
        <v>6.9647917619999999E-2</v>
      </c>
      <c r="R17" s="3"/>
      <c r="S17" s="3"/>
      <c r="T17" s="2"/>
      <c r="U17" s="3">
        <v>409.28</v>
      </c>
      <c r="V17" s="3">
        <v>15.14</v>
      </c>
      <c r="W17" s="2">
        <f t="shared" si="5"/>
        <v>5.8634373680000011E-2</v>
      </c>
      <c r="X17" s="3"/>
      <c r="Y17" s="3"/>
      <c r="Z17" s="2"/>
      <c r="AA17" s="3"/>
      <c r="AB17" s="3"/>
      <c r="AC17" s="2"/>
      <c r="AD17" s="3"/>
      <c r="AE17" s="3"/>
      <c r="AF17" s="2"/>
      <c r="AG17" s="3"/>
      <c r="AH17" s="3"/>
      <c r="AI17" s="2"/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/>
      <c r="AW17" s="3"/>
      <c r="AX17" s="2"/>
      <c r="AY17" s="3"/>
      <c r="AZ17" s="3"/>
      <c r="BA17" s="2"/>
      <c r="BB17" s="3"/>
      <c r="BC17" s="3"/>
      <c r="BD17" s="2"/>
      <c r="BE17" s="3"/>
      <c r="BF17" s="3"/>
      <c r="BG17" s="2"/>
      <c r="BH17" s="3"/>
      <c r="BI17" s="3"/>
      <c r="BJ17" s="2"/>
      <c r="BK17" s="3"/>
      <c r="BL17" s="3"/>
      <c r="BM17" s="2"/>
      <c r="BN17" s="3"/>
      <c r="BO17" s="3"/>
      <c r="BP17" s="2"/>
      <c r="BQ17" s="3"/>
      <c r="BR17" s="3"/>
      <c r="BS17" s="2"/>
      <c r="BT17" s="3"/>
      <c r="BU17" s="3"/>
      <c r="BV17" s="2"/>
    </row>
    <row r="18" spans="3:74" x14ac:dyDescent="0.2">
      <c r="C18" s="3">
        <v>504.97</v>
      </c>
      <c r="D18" s="3">
        <v>27.82</v>
      </c>
      <c r="E18" s="2">
        <f t="shared" si="0"/>
        <v>0.2442642146425</v>
      </c>
      <c r="F18" s="3"/>
      <c r="G18" s="3"/>
      <c r="H18" s="2"/>
      <c r="I18" s="3">
        <v>318.01</v>
      </c>
      <c r="J18" s="3">
        <v>17.25</v>
      </c>
      <c r="K18" s="2">
        <f t="shared" si="2"/>
        <v>5.9142406640624992E-2</v>
      </c>
      <c r="L18" s="3">
        <v>1036.97</v>
      </c>
      <c r="M18" s="3">
        <v>37.15</v>
      </c>
      <c r="N18" s="2">
        <f t="shared" si="3"/>
        <v>0.89446601801562498</v>
      </c>
      <c r="O18" s="3">
        <v>195.2</v>
      </c>
      <c r="P18" s="3">
        <v>16.79</v>
      </c>
      <c r="Q18" s="2">
        <f t="shared" si="4"/>
        <v>3.4392300199999989E-2</v>
      </c>
      <c r="R18" s="3"/>
      <c r="S18" s="3"/>
      <c r="T18" s="2"/>
      <c r="U18" s="3">
        <v>580.36</v>
      </c>
      <c r="V18" s="3">
        <v>18.11</v>
      </c>
      <c r="W18" s="2">
        <f t="shared" si="5"/>
        <v>0.11896367997250001</v>
      </c>
      <c r="X18" s="3"/>
      <c r="Y18" s="3"/>
      <c r="Z18" s="2"/>
      <c r="AA18" s="3"/>
      <c r="AB18" s="3"/>
      <c r="AC18" s="2"/>
      <c r="AD18" s="3"/>
      <c r="AE18" s="3"/>
      <c r="AF18" s="2"/>
      <c r="AG18" s="3"/>
      <c r="AH18" s="3"/>
      <c r="AI18" s="2"/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/>
      <c r="AW18" s="3"/>
      <c r="AX18" s="2"/>
      <c r="AY18" s="3"/>
      <c r="AZ18" s="3"/>
      <c r="BA18" s="2"/>
      <c r="BB18" s="3"/>
      <c r="BC18" s="3"/>
      <c r="BD18" s="2"/>
      <c r="BE18" s="3"/>
      <c r="BF18" s="3"/>
      <c r="BG18" s="2"/>
      <c r="BH18" s="3"/>
      <c r="BI18" s="3"/>
      <c r="BJ18" s="2"/>
      <c r="BK18" s="3"/>
      <c r="BL18" s="3"/>
      <c r="BM18" s="2"/>
      <c r="BN18" s="3"/>
      <c r="BO18" s="3"/>
      <c r="BP18" s="2"/>
      <c r="BQ18" s="3"/>
      <c r="BR18" s="3"/>
      <c r="BS18" s="2"/>
      <c r="BT18" s="3"/>
      <c r="BU18" s="3"/>
      <c r="BV18" s="2"/>
    </row>
    <row r="19" spans="3:74" x14ac:dyDescent="0.2">
      <c r="C19" s="3">
        <v>803.61</v>
      </c>
      <c r="D19" s="3">
        <v>15.89</v>
      </c>
      <c r="E19" s="2">
        <f t="shared" si="0"/>
        <v>0.12681573530062501</v>
      </c>
      <c r="F19" s="3"/>
      <c r="G19" s="3"/>
      <c r="H19" s="2"/>
      <c r="I19" s="3">
        <v>294.62</v>
      </c>
      <c r="J19" s="3">
        <v>19.260000000000002</v>
      </c>
      <c r="K19" s="2">
        <f t="shared" si="2"/>
        <v>6.830536369500001E-2</v>
      </c>
      <c r="L19" s="3">
        <v>643.95000000000005</v>
      </c>
      <c r="M19" s="3">
        <v>24.7</v>
      </c>
      <c r="N19" s="2">
        <f t="shared" si="3"/>
        <v>0.24554215968749998</v>
      </c>
      <c r="O19" s="3">
        <v>297.68</v>
      </c>
      <c r="P19" s="3">
        <v>15.06</v>
      </c>
      <c r="Q19" s="2">
        <f t="shared" si="4"/>
        <v>4.2196809780000004E-2</v>
      </c>
      <c r="R19" s="3"/>
      <c r="S19" s="3"/>
      <c r="T19" s="2"/>
      <c r="U19" s="3">
        <v>212.76</v>
      </c>
      <c r="V19" s="3">
        <v>9.16</v>
      </c>
      <c r="W19" s="2">
        <f t="shared" si="5"/>
        <v>1.1157347159999999E-2</v>
      </c>
      <c r="X19" s="3"/>
      <c r="Y19" s="3"/>
      <c r="Z19" s="2"/>
      <c r="AA19" s="3"/>
      <c r="AB19" s="3"/>
      <c r="AC19" s="2"/>
      <c r="AD19" s="3"/>
      <c r="AE19" s="3"/>
      <c r="AF19" s="2"/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/>
      <c r="AW19" s="3"/>
      <c r="AX19" s="2"/>
      <c r="AY19" s="3"/>
      <c r="AZ19" s="3"/>
      <c r="BA19" s="2"/>
      <c r="BB19" s="3"/>
      <c r="BC19" s="3"/>
      <c r="BD19" s="2"/>
      <c r="BE19" s="3"/>
      <c r="BF19" s="3"/>
      <c r="BG19" s="2"/>
      <c r="BH19" s="3"/>
      <c r="BI19" s="3"/>
      <c r="BJ19" s="2"/>
      <c r="BK19" s="3"/>
      <c r="BL19" s="3"/>
      <c r="BM19" s="2"/>
      <c r="BN19" s="3"/>
      <c r="BO19" s="3"/>
      <c r="BP19" s="2"/>
      <c r="BQ19" s="3"/>
      <c r="BR19" s="3"/>
      <c r="BS19" s="2"/>
      <c r="BT19" s="3"/>
      <c r="BU19" s="3"/>
      <c r="BV19" s="2"/>
    </row>
    <row r="20" spans="3:74" x14ac:dyDescent="0.2">
      <c r="C20" s="3">
        <v>803.61</v>
      </c>
      <c r="D20" s="3">
        <v>25.38</v>
      </c>
      <c r="E20" s="2">
        <f t="shared" si="0"/>
        <v>0.32352555080250001</v>
      </c>
      <c r="F20" s="3"/>
      <c r="G20" s="3"/>
      <c r="H20" s="2"/>
      <c r="I20" s="3">
        <v>286.98</v>
      </c>
      <c r="J20" s="3">
        <v>20.059999999999999</v>
      </c>
      <c r="K20" s="2">
        <f t="shared" si="2"/>
        <v>7.2176115704999988E-2</v>
      </c>
      <c r="L20" s="3">
        <v>456.17</v>
      </c>
      <c r="M20" s="3">
        <v>18.68</v>
      </c>
      <c r="N20" s="2">
        <f t="shared" si="3"/>
        <v>9.9485659130000001E-2</v>
      </c>
      <c r="O20" s="3">
        <v>348.53</v>
      </c>
      <c r="P20" s="3">
        <v>18.02</v>
      </c>
      <c r="Q20" s="2">
        <f t="shared" si="4"/>
        <v>7.0734250632499995E-2</v>
      </c>
      <c r="R20" s="3"/>
      <c r="S20" s="3"/>
      <c r="T20" s="2"/>
      <c r="U20" s="3">
        <v>350.06</v>
      </c>
      <c r="V20" s="3">
        <v>12.59</v>
      </c>
      <c r="W20" s="2">
        <f t="shared" si="5"/>
        <v>3.4679590928749997E-2</v>
      </c>
      <c r="X20" s="3"/>
      <c r="Y20" s="3"/>
      <c r="Z20" s="2"/>
      <c r="AA20" s="3"/>
      <c r="AB20" s="3"/>
      <c r="AC20" s="2"/>
      <c r="AD20" s="3"/>
      <c r="AE20" s="3"/>
      <c r="AF20" s="2"/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  <c r="BE20" s="3"/>
      <c r="BF20" s="3"/>
      <c r="BG20" s="2"/>
      <c r="BH20" s="3"/>
      <c r="BI20" s="3"/>
      <c r="BJ20" s="2"/>
      <c r="BK20" s="3"/>
      <c r="BL20" s="3"/>
      <c r="BM20" s="2"/>
      <c r="BN20" s="3"/>
      <c r="BO20" s="3"/>
      <c r="BP20" s="2"/>
      <c r="BQ20" s="3"/>
      <c r="BR20" s="3"/>
      <c r="BS20" s="2"/>
      <c r="BT20" s="3"/>
      <c r="BU20" s="3"/>
      <c r="BV20" s="2"/>
    </row>
    <row r="21" spans="3:74" x14ac:dyDescent="0.2">
      <c r="C21" s="3">
        <v>804.37</v>
      </c>
      <c r="D21" s="3">
        <v>29.27</v>
      </c>
      <c r="E21" s="2">
        <f t="shared" si="0"/>
        <v>0.43070640173312497</v>
      </c>
      <c r="F21" s="3"/>
      <c r="G21" s="3"/>
      <c r="H21" s="2"/>
      <c r="I21" s="3">
        <v>424.8</v>
      </c>
      <c r="J21" s="3">
        <v>19.18</v>
      </c>
      <c r="K21" s="2">
        <f t="shared" si="2"/>
        <v>9.7670122199999987E-2</v>
      </c>
      <c r="L21" s="3">
        <v>536.36</v>
      </c>
      <c r="M21" s="3">
        <v>21.93</v>
      </c>
      <c r="N21" s="2">
        <f t="shared" si="3"/>
        <v>0.1612180496025</v>
      </c>
      <c r="O21" s="3">
        <v>260.27</v>
      </c>
      <c r="P21" s="3">
        <v>13.71</v>
      </c>
      <c r="Q21" s="2">
        <f t="shared" si="4"/>
        <v>3.0575885191874999E-2</v>
      </c>
      <c r="R21" s="3"/>
      <c r="S21" s="3"/>
      <c r="T21" s="2"/>
      <c r="U21" s="3">
        <v>294.62</v>
      </c>
      <c r="V21" s="3">
        <v>14.8</v>
      </c>
      <c r="W21" s="2">
        <f t="shared" si="5"/>
        <v>4.0333478000000006E-2</v>
      </c>
      <c r="X21" s="3"/>
      <c r="Y21" s="3"/>
      <c r="Z21" s="2"/>
      <c r="AA21" s="3"/>
      <c r="AB21" s="3"/>
      <c r="AC21" s="2"/>
      <c r="AD21" s="3"/>
      <c r="AE21" s="3"/>
      <c r="AF21" s="2"/>
      <c r="AG21" s="3"/>
      <c r="AH21" s="3"/>
      <c r="AI21" s="2"/>
      <c r="AJ21" s="3"/>
      <c r="AK21" s="3"/>
      <c r="AL21" s="2"/>
      <c r="AM21" s="3"/>
      <c r="AN21" s="3"/>
      <c r="AO21" s="2"/>
      <c r="AP21" s="3"/>
      <c r="AQ21" s="3"/>
      <c r="AR21" s="2"/>
      <c r="AS21" s="3"/>
      <c r="AT21" s="3"/>
      <c r="AU21" s="2"/>
      <c r="AV21" s="3"/>
      <c r="AW21" s="3"/>
      <c r="AX21" s="2"/>
      <c r="AY21" s="3"/>
      <c r="AZ21" s="3"/>
      <c r="BA21" s="2"/>
      <c r="BB21" s="3"/>
      <c r="BC21" s="3"/>
      <c r="BD21" s="2"/>
      <c r="BE21" s="3"/>
      <c r="BF21" s="3"/>
      <c r="BG21" s="2"/>
      <c r="BH21" s="3"/>
      <c r="BI21" s="3"/>
      <c r="BJ21" s="2"/>
      <c r="BK21" s="3"/>
      <c r="BL21" s="3"/>
      <c r="BM21" s="2"/>
      <c r="BN21" s="3"/>
      <c r="BO21" s="3"/>
      <c r="BP21" s="2"/>
      <c r="BQ21" s="3"/>
      <c r="BR21" s="3"/>
      <c r="BS21" s="2"/>
      <c r="BT21" s="3"/>
      <c r="BU21" s="3"/>
      <c r="BV21" s="2"/>
    </row>
    <row r="22" spans="3:74" x14ac:dyDescent="0.2">
      <c r="C22" s="3">
        <v>467.49</v>
      </c>
      <c r="D22" s="3">
        <v>17.440000000000001</v>
      </c>
      <c r="E22" s="2">
        <f t="shared" si="0"/>
        <v>8.8867979040000003E-2</v>
      </c>
      <c r="F22" s="3"/>
      <c r="G22" s="3"/>
      <c r="H22" s="2"/>
      <c r="I22" s="3">
        <v>401.75</v>
      </c>
      <c r="J22" s="3">
        <v>21.63</v>
      </c>
      <c r="K22" s="2">
        <f t="shared" si="2"/>
        <v>0.11747594348437498</v>
      </c>
      <c r="L22" s="3">
        <v>730.03</v>
      </c>
      <c r="M22" s="3">
        <v>23.65</v>
      </c>
      <c r="N22" s="2">
        <f t="shared" si="3"/>
        <v>0.25520137792187497</v>
      </c>
      <c r="O22" s="3">
        <v>390.81</v>
      </c>
      <c r="P22" s="3">
        <v>17.71</v>
      </c>
      <c r="Q22" s="2">
        <f t="shared" si="4"/>
        <v>7.6609531700624997E-2</v>
      </c>
      <c r="R22" s="3"/>
      <c r="S22" s="3"/>
      <c r="T22" s="2"/>
      <c r="U22" s="3">
        <v>450.58</v>
      </c>
      <c r="V22" s="3">
        <v>14.71</v>
      </c>
      <c r="W22" s="2">
        <f t="shared" si="5"/>
        <v>6.0936467361249996E-2</v>
      </c>
      <c r="X22" s="3"/>
      <c r="Y22" s="3"/>
      <c r="Z22" s="2"/>
      <c r="AA22" s="3"/>
      <c r="AB22" s="3"/>
      <c r="AC22" s="2"/>
      <c r="AD22" s="3"/>
      <c r="AE22" s="3"/>
      <c r="AF22" s="2"/>
      <c r="AG22" s="3"/>
      <c r="AH22" s="3"/>
      <c r="AI22" s="2"/>
      <c r="AJ22" s="3"/>
      <c r="AK22" s="3"/>
      <c r="AL22" s="2"/>
      <c r="AM22" s="3"/>
      <c r="AN22" s="3"/>
      <c r="AO22" s="2"/>
      <c r="AP22" s="3"/>
      <c r="AQ22" s="3"/>
      <c r="AR22" s="2"/>
      <c r="AS22" s="3"/>
      <c r="AT22" s="3"/>
      <c r="AU22" s="2"/>
      <c r="AV22" s="3"/>
      <c r="AW22" s="3"/>
      <c r="AX22" s="2"/>
      <c r="AY22" s="3"/>
      <c r="AZ22" s="3"/>
      <c r="BA22" s="2"/>
      <c r="BB22" s="3"/>
      <c r="BC22" s="3"/>
      <c r="BD22" s="2"/>
      <c r="BE22" s="3"/>
      <c r="BF22" s="3"/>
      <c r="BG22" s="2"/>
      <c r="BH22" s="3"/>
      <c r="BI22" s="3"/>
      <c r="BJ22" s="2"/>
      <c r="BK22" s="3"/>
      <c r="BL22" s="3"/>
      <c r="BM22" s="2"/>
      <c r="BN22" s="3"/>
      <c r="BO22" s="3"/>
      <c r="BP22" s="2"/>
      <c r="BQ22" s="3"/>
      <c r="BR22" s="3"/>
      <c r="BS22" s="2"/>
      <c r="BT22" s="3"/>
      <c r="BU22" s="3"/>
      <c r="BV22" s="2"/>
    </row>
    <row r="23" spans="3:74" x14ac:dyDescent="0.2">
      <c r="C23" s="3">
        <v>943.12</v>
      </c>
      <c r="D23" s="3">
        <v>40.78</v>
      </c>
      <c r="E23" s="2">
        <f t="shared" si="0"/>
        <v>0.9802603013800002</v>
      </c>
      <c r="F23" s="3"/>
      <c r="G23" s="3"/>
      <c r="H23" s="2"/>
      <c r="I23" s="3">
        <v>271.20999999999998</v>
      </c>
      <c r="J23" s="3">
        <v>17.32</v>
      </c>
      <c r="K23" s="2">
        <f t="shared" si="2"/>
        <v>5.0848891689999988E-2</v>
      </c>
      <c r="L23" s="3">
        <v>724.58</v>
      </c>
      <c r="M23" s="3">
        <v>30.49</v>
      </c>
      <c r="N23" s="2">
        <f t="shared" si="3"/>
        <v>0.42099913978625003</v>
      </c>
      <c r="O23" s="3"/>
      <c r="P23" s="3"/>
      <c r="Q23" s="2"/>
      <c r="R23" s="3"/>
      <c r="S23" s="3"/>
      <c r="T23" s="2"/>
      <c r="U23" s="3">
        <v>324.2</v>
      </c>
      <c r="V23" s="3">
        <v>10.25</v>
      </c>
      <c r="W23" s="2">
        <f t="shared" si="5"/>
        <v>2.1288289062499997E-2</v>
      </c>
      <c r="X23" s="3"/>
      <c r="Y23" s="3"/>
      <c r="Z23" s="2"/>
      <c r="AA23" s="3"/>
      <c r="AB23" s="3"/>
      <c r="AC23" s="2"/>
      <c r="AD23" s="3"/>
      <c r="AE23" s="3"/>
      <c r="AF23" s="2"/>
      <c r="AG23" s="3"/>
      <c r="AH23" s="3"/>
      <c r="AI23" s="2"/>
      <c r="AJ23" s="3"/>
      <c r="AK23" s="3"/>
      <c r="AL23" s="2"/>
      <c r="AM23" s="3"/>
      <c r="AN23" s="3"/>
      <c r="AO23" s="2"/>
      <c r="AP23" s="3"/>
      <c r="AQ23" s="3"/>
      <c r="AR23" s="2"/>
      <c r="AS23" s="3"/>
      <c r="AT23" s="3"/>
      <c r="AU23" s="2"/>
      <c r="AV23" s="3"/>
      <c r="AW23" s="3"/>
      <c r="AX23" s="2"/>
      <c r="AY23" s="3"/>
      <c r="AZ23" s="3"/>
      <c r="BA23" s="2"/>
      <c r="BB23" s="3"/>
      <c r="BC23" s="3"/>
      <c r="BD23" s="2"/>
      <c r="BE23" s="3"/>
      <c r="BF23" s="3"/>
      <c r="BG23" s="2"/>
      <c r="BH23" s="3"/>
      <c r="BI23" s="3"/>
      <c r="BJ23" s="2"/>
      <c r="BK23" s="3"/>
      <c r="BL23" s="3"/>
      <c r="BM23" s="2"/>
      <c r="BN23" s="3"/>
      <c r="BO23" s="3"/>
      <c r="BP23" s="2"/>
      <c r="BQ23" s="3"/>
      <c r="BR23" s="3"/>
      <c r="BS23" s="2"/>
      <c r="BT23" s="3"/>
      <c r="BU23" s="3"/>
      <c r="BV23" s="2"/>
    </row>
    <row r="24" spans="3:74" x14ac:dyDescent="0.2">
      <c r="C24" s="3"/>
      <c r="D24" s="3"/>
      <c r="E24" s="2"/>
      <c r="F24" s="3"/>
      <c r="G24" s="3"/>
      <c r="H24" s="2"/>
      <c r="I24" s="3">
        <v>336.61</v>
      </c>
      <c r="J24" s="3">
        <v>17.07</v>
      </c>
      <c r="K24" s="2">
        <f t="shared" si="2"/>
        <v>6.1301919493125002E-2</v>
      </c>
      <c r="L24" s="3">
        <v>756.37</v>
      </c>
      <c r="M24" s="3">
        <v>36.229999999999997</v>
      </c>
      <c r="N24" s="2">
        <f t="shared" si="3"/>
        <v>0.62051313698312482</v>
      </c>
      <c r="O24" s="3"/>
      <c r="P24" s="3"/>
      <c r="Q24" s="2"/>
      <c r="R24" s="3"/>
      <c r="S24" s="3"/>
      <c r="T24" s="2"/>
      <c r="U24" s="3">
        <v>635.47</v>
      </c>
      <c r="V24" s="3">
        <v>18.75</v>
      </c>
      <c r="W24" s="2">
        <f t="shared" si="5"/>
        <v>0.139629638671875</v>
      </c>
      <c r="X24" s="3"/>
      <c r="Y24" s="3"/>
      <c r="Z24" s="2"/>
      <c r="AA24" s="3"/>
      <c r="AB24" s="3"/>
      <c r="AC24" s="2"/>
      <c r="AD24" s="3"/>
      <c r="AE24" s="3"/>
      <c r="AF24" s="2"/>
      <c r="AG24" s="3"/>
      <c r="AH24" s="3"/>
      <c r="AI24" s="2"/>
      <c r="AJ24" s="3"/>
      <c r="AK24" s="3"/>
      <c r="AL24" s="2"/>
      <c r="AM24" s="3"/>
      <c r="AN24" s="3"/>
      <c r="AO24" s="2"/>
      <c r="AP24" s="3"/>
      <c r="AQ24" s="3"/>
      <c r="AR24" s="2"/>
      <c r="AS24" s="3"/>
      <c r="AT24" s="3"/>
      <c r="AU24" s="2"/>
      <c r="AV24" s="3"/>
      <c r="AW24" s="3"/>
      <c r="AX24" s="2"/>
      <c r="AY24" s="3"/>
      <c r="AZ24" s="3"/>
      <c r="BA24" s="2"/>
      <c r="BB24" s="3"/>
      <c r="BC24" s="3"/>
      <c r="BD24" s="2"/>
      <c r="BE24" s="3"/>
      <c r="BF24" s="3"/>
      <c r="BG24" s="2"/>
      <c r="BH24" s="3"/>
      <c r="BI24" s="3"/>
      <c r="BJ24" s="2"/>
      <c r="BK24" s="3"/>
      <c r="BL24" s="3"/>
      <c r="BM24" s="2"/>
      <c r="BN24" s="3"/>
      <c r="BO24" s="3"/>
      <c r="BP24" s="2"/>
      <c r="BQ24" s="3"/>
      <c r="BR24" s="3"/>
      <c r="BS24" s="2"/>
      <c r="BT24" s="3"/>
      <c r="BU24" s="3"/>
      <c r="BV24" s="2"/>
    </row>
    <row r="25" spans="3:74" x14ac:dyDescent="0.2">
      <c r="C25" s="3"/>
      <c r="D25" s="3"/>
      <c r="E25" s="2"/>
      <c r="F25" s="3"/>
      <c r="G25" s="3"/>
      <c r="H25" s="2"/>
      <c r="I25" s="3">
        <v>260.79000000000002</v>
      </c>
      <c r="J25" s="3">
        <v>24.17</v>
      </c>
      <c r="K25" s="2">
        <f t="shared" si="2"/>
        <v>9.5219139519375023E-2</v>
      </c>
      <c r="L25" s="3">
        <v>1094.77</v>
      </c>
      <c r="M25" s="3">
        <v>50.09</v>
      </c>
      <c r="N25" s="2">
        <f t="shared" si="3"/>
        <v>1.7167417485231251</v>
      </c>
      <c r="O25" s="3"/>
      <c r="P25" s="3"/>
      <c r="Q25" s="2"/>
      <c r="R25" s="3"/>
      <c r="S25" s="3"/>
      <c r="T25" s="2"/>
      <c r="U25" s="3">
        <v>367.53</v>
      </c>
      <c r="V25" s="3">
        <v>17.170000000000002</v>
      </c>
      <c r="W25" s="2">
        <f t="shared" si="5"/>
        <v>6.7719446885625006E-2</v>
      </c>
      <c r="X25" s="3"/>
      <c r="Y25" s="3"/>
      <c r="Z25" s="2"/>
      <c r="AA25" s="3"/>
      <c r="AB25" s="3"/>
      <c r="AC25" s="2"/>
      <c r="AD25" s="3"/>
      <c r="AE25" s="3"/>
      <c r="AF25" s="2"/>
      <c r="AG25" s="3"/>
      <c r="AH25" s="3"/>
      <c r="AI25" s="2"/>
      <c r="AJ25" s="3"/>
      <c r="AK25" s="3"/>
      <c r="AL25" s="2"/>
      <c r="AM25" s="3"/>
      <c r="AN25" s="3"/>
      <c r="AO25" s="2"/>
      <c r="AP25" s="3"/>
      <c r="AQ25" s="3"/>
      <c r="AR25" s="2"/>
      <c r="AS25" s="3"/>
      <c r="AT25" s="3"/>
      <c r="AU25" s="2"/>
      <c r="AV25" s="3"/>
      <c r="AW25" s="3"/>
      <c r="AX25" s="2"/>
      <c r="AY25" s="3"/>
      <c r="AZ25" s="3"/>
      <c r="BA25" s="2"/>
      <c r="BB25" s="3"/>
      <c r="BC25" s="3"/>
      <c r="BD25" s="2"/>
      <c r="BE25" s="3"/>
      <c r="BF25" s="3"/>
      <c r="BG25" s="2"/>
      <c r="BH25" s="3"/>
      <c r="BI25" s="3"/>
      <c r="BJ25" s="2"/>
      <c r="BK25" s="3"/>
      <c r="BL25" s="3"/>
      <c r="BM25" s="2"/>
      <c r="BN25" s="3"/>
      <c r="BO25" s="3"/>
      <c r="BP25" s="2"/>
      <c r="BQ25" s="3"/>
      <c r="BR25" s="3"/>
      <c r="BS25" s="2"/>
      <c r="BT25" s="3"/>
      <c r="BU25" s="3"/>
      <c r="BV25" s="2"/>
    </row>
    <row r="26" spans="3:74" x14ac:dyDescent="0.2">
      <c r="C26" s="3"/>
      <c r="D26" s="3"/>
      <c r="E26" s="2"/>
      <c r="F26" s="3"/>
      <c r="G26" s="3"/>
      <c r="H26" s="2"/>
      <c r="I26" s="3">
        <v>311.60000000000002</v>
      </c>
      <c r="J26" s="3">
        <v>21.08</v>
      </c>
      <c r="K26" s="2">
        <f t="shared" si="2"/>
        <v>8.6540356400000004E-2</v>
      </c>
      <c r="L26" s="3"/>
      <c r="M26" s="3"/>
      <c r="N26" s="2"/>
      <c r="O26" s="3"/>
      <c r="P26" s="3"/>
      <c r="Q26" s="2"/>
      <c r="R26" s="3"/>
      <c r="S26" s="3"/>
      <c r="T26" s="2"/>
      <c r="U26" s="3">
        <v>382.4</v>
      </c>
      <c r="V26" s="3">
        <v>14.06</v>
      </c>
      <c r="W26" s="2">
        <f t="shared" si="5"/>
        <v>4.7246380399999996E-2</v>
      </c>
      <c r="X26" s="3"/>
      <c r="Y26" s="3"/>
      <c r="Z26" s="2"/>
      <c r="AA26" s="3"/>
      <c r="AB26" s="3"/>
      <c r="AC26" s="2"/>
      <c r="AD26" s="3"/>
      <c r="AE26" s="3"/>
      <c r="AF26" s="2"/>
      <c r="AG26" s="3"/>
      <c r="AH26" s="3"/>
      <c r="AI26" s="2"/>
      <c r="AJ26" s="3"/>
      <c r="AK26" s="3"/>
      <c r="AL26" s="2"/>
      <c r="AM26" s="3"/>
      <c r="AN26" s="3"/>
      <c r="AO26" s="2"/>
      <c r="AP26" s="3"/>
      <c r="AQ26" s="3"/>
      <c r="AR26" s="2"/>
      <c r="AS26" s="3"/>
      <c r="AT26" s="3"/>
      <c r="AU26" s="2"/>
      <c r="AV26" s="3"/>
      <c r="AW26" s="3"/>
      <c r="AX26" s="2"/>
      <c r="AY26" s="3"/>
      <c r="AZ26" s="3"/>
      <c r="BA26" s="2"/>
      <c r="BB26" s="3"/>
      <c r="BC26" s="3"/>
      <c r="BD26" s="2"/>
      <c r="BE26" s="3"/>
      <c r="BF26" s="3"/>
      <c r="BG26" s="2"/>
      <c r="BH26" s="3"/>
      <c r="BI26" s="3"/>
      <c r="BJ26" s="2"/>
      <c r="BK26" s="3"/>
      <c r="BL26" s="3"/>
      <c r="BM26" s="2"/>
      <c r="BN26" s="3"/>
      <c r="BO26" s="3"/>
      <c r="BP26" s="2"/>
      <c r="BQ26" s="3"/>
      <c r="BR26" s="3"/>
      <c r="BS26" s="2"/>
      <c r="BT26" s="3"/>
      <c r="BU26" s="3"/>
      <c r="BV26" s="2"/>
    </row>
    <row r="27" spans="3:74" x14ac:dyDescent="0.2">
      <c r="C27" s="3"/>
      <c r="D27" s="3"/>
      <c r="E27" s="2"/>
      <c r="F27" s="3"/>
      <c r="G27" s="3"/>
      <c r="H27" s="2"/>
      <c r="I27" s="3">
        <v>351.2</v>
      </c>
      <c r="J27" s="3">
        <v>22.41</v>
      </c>
      <c r="K27" s="2">
        <f t="shared" si="2"/>
        <v>0.11023467795</v>
      </c>
      <c r="L27" s="3"/>
      <c r="M27" s="3"/>
      <c r="N27" s="2"/>
      <c r="O27" s="3"/>
      <c r="P27" s="3"/>
      <c r="Q27" s="2"/>
      <c r="R27" s="3"/>
      <c r="S27" s="3"/>
      <c r="T27" s="2"/>
      <c r="U27" s="3">
        <v>588.6</v>
      </c>
      <c r="V27" s="3">
        <v>19.59</v>
      </c>
      <c r="W27" s="2">
        <f t="shared" si="5"/>
        <v>0.14117868978750001</v>
      </c>
      <c r="X27" s="3"/>
      <c r="Y27" s="3"/>
      <c r="Z27" s="2"/>
      <c r="AA27" s="3"/>
      <c r="AB27" s="3"/>
      <c r="AC27" s="2"/>
      <c r="AD27" s="3"/>
      <c r="AE27" s="3"/>
      <c r="AF27" s="2"/>
      <c r="AG27" s="3"/>
      <c r="AH27" s="3"/>
      <c r="AI27" s="2"/>
      <c r="AJ27" s="3"/>
      <c r="AK27" s="3"/>
      <c r="AL27" s="2"/>
      <c r="AM27" s="3"/>
      <c r="AN27" s="3"/>
      <c r="AO27" s="2"/>
      <c r="AP27" s="3"/>
      <c r="AQ27" s="3"/>
      <c r="AR27" s="2"/>
      <c r="AS27" s="3"/>
      <c r="AT27" s="3"/>
      <c r="AU27" s="2"/>
      <c r="AV27" s="3"/>
      <c r="AW27" s="3"/>
      <c r="AX27" s="2"/>
      <c r="AY27" s="3"/>
      <c r="AZ27" s="3"/>
      <c r="BA27" s="2"/>
      <c r="BB27" s="3"/>
      <c r="BC27" s="3"/>
      <c r="BD27" s="2"/>
      <c r="BE27" s="3"/>
      <c r="BF27" s="3"/>
      <c r="BG27" s="2"/>
      <c r="BH27" s="3"/>
      <c r="BI27" s="3"/>
      <c r="BJ27" s="2"/>
      <c r="BK27" s="3"/>
      <c r="BL27" s="3"/>
      <c r="BM27" s="2"/>
      <c r="BN27" s="3"/>
      <c r="BO27" s="3"/>
      <c r="BP27" s="2"/>
      <c r="BQ27" s="3"/>
      <c r="BR27" s="3"/>
      <c r="BS27" s="2"/>
      <c r="BT27" s="3"/>
      <c r="BU27" s="3"/>
      <c r="BV27" s="2"/>
    </row>
    <row r="28" spans="3:74" x14ac:dyDescent="0.2">
      <c r="C28" s="3"/>
      <c r="D28" s="3"/>
      <c r="E28" s="2"/>
      <c r="F28" s="3"/>
      <c r="G28" s="3"/>
      <c r="H28" s="2"/>
      <c r="I28" s="3"/>
      <c r="J28" s="3"/>
      <c r="K28" s="2"/>
      <c r="L28" s="3"/>
      <c r="M28" s="3"/>
      <c r="N28" s="2"/>
      <c r="O28" s="3"/>
      <c r="P28" s="3"/>
      <c r="Q28" s="2"/>
      <c r="R28" s="3"/>
      <c r="S28" s="3"/>
      <c r="T28" s="2"/>
      <c r="U28" s="3">
        <v>399.39</v>
      </c>
      <c r="V28" s="3">
        <v>12.98</v>
      </c>
      <c r="W28" s="2">
        <f t="shared" si="5"/>
        <v>4.2055866847499998E-2</v>
      </c>
      <c r="X28" s="3"/>
      <c r="Y28" s="3"/>
      <c r="Z28" s="2"/>
      <c r="AA28" s="3"/>
      <c r="AB28" s="3"/>
      <c r="AC28" s="2"/>
      <c r="AD28" s="3"/>
      <c r="AE28" s="3"/>
      <c r="AF28" s="2"/>
      <c r="AG28" s="3"/>
      <c r="AH28" s="3"/>
      <c r="AI28" s="2"/>
      <c r="AJ28" s="3"/>
      <c r="AK28" s="3"/>
      <c r="AL28" s="2"/>
      <c r="AM28" s="3"/>
      <c r="AN28" s="3"/>
      <c r="AO28" s="2"/>
      <c r="AP28" s="3"/>
      <c r="AQ28" s="3"/>
      <c r="AR28" s="2"/>
      <c r="AS28" s="3"/>
      <c r="AT28" s="3"/>
      <c r="AU28" s="2"/>
      <c r="AV28" s="3"/>
      <c r="AW28" s="3"/>
      <c r="AX28" s="2"/>
      <c r="AY28" s="3"/>
      <c r="AZ28" s="3"/>
      <c r="BA28" s="2"/>
      <c r="BB28" s="3"/>
      <c r="BC28" s="3"/>
      <c r="BD28" s="2"/>
      <c r="BE28" s="3"/>
      <c r="BF28" s="3"/>
      <c r="BG28" s="2"/>
      <c r="BH28" s="3"/>
      <c r="BI28" s="3"/>
      <c r="BJ28" s="2"/>
      <c r="BK28" s="3"/>
      <c r="BL28" s="3"/>
      <c r="BM28" s="2"/>
      <c r="BN28" s="3"/>
      <c r="BO28" s="3"/>
      <c r="BP28" s="2"/>
      <c r="BQ28" s="3"/>
      <c r="BR28" s="3"/>
      <c r="BS28" s="2"/>
      <c r="BT28" s="3"/>
      <c r="BU28" s="3"/>
      <c r="BV28" s="2"/>
    </row>
    <row r="29" spans="3:74" x14ac:dyDescent="0.2">
      <c r="C29" s="3"/>
      <c r="D29" s="3"/>
      <c r="E29" s="2"/>
      <c r="F29" s="3"/>
      <c r="G29" s="3"/>
      <c r="H29" s="2"/>
      <c r="I29" s="3"/>
      <c r="J29" s="3"/>
      <c r="K29" s="2"/>
      <c r="L29" s="3"/>
      <c r="M29" s="3"/>
      <c r="N29" s="2"/>
      <c r="O29" s="3"/>
      <c r="P29" s="3"/>
      <c r="Q29" s="2"/>
      <c r="R29" s="3"/>
      <c r="S29" s="3"/>
      <c r="T29" s="2"/>
      <c r="U29" s="3">
        <v>445.82</v>
      </c>
      <c r="V29" s="3">
        <v>14.93</v>
      </c>
      <c r="W29" s="2">
        <f t="shared" si="5"/>
        <v>6.2109664073750001E-2</v>
      </c>
      <c r="X29" s="3"/>
      <c r="Y29" s="3"/>
      <c r="Z29" s="2"/>
      <c r="AA29" s="3"/>
      <c r="AB29" s="3"/>
      <c r="AC29" s="2"/>
      <c r="AD29" s="3"/>
      <c r="AE29" s="3"/>
      <c r="AF29" s="2"/>
      <c r="AG29" s="3"/>
      <c r="AH29" s="3"/>
      <c r="AI29" s="2"/>
      <c r="AJ29" s="3"/>
      <c r="AK29" s="3"/>
      <c r="AL29" s="2"/>
      <c r="AM29" s="3"/>
      <c r="AN29" s="3"/>
      <c r="AO29" s="2"/>
      <c r="AP29" s="3"/>
      <c r="AQ29" s="3"/>
      <c r="AR29" s="2"/>
      <c r="AS29" s="3"/>
      <c r="AT29" s="3"/>
      <c r="AU29" s="2"/>
      <c r="AV29" s="3"/>
      <c r="AW29" s="3"/>
      <c r="AX29" s="2"/>
      <c r="AY29" s="3"/>
      <c r="AZ29" s="3"/>
      <c r="BA29" s="2"/>
      <c r="BB29" s="3"/>
      <c r="BC29" s="3"/>
      <c r="BD29" s="2"/>
      <c r="BE29" s="3"/>
      <c r="BF29" s="3"/>
      <c r="BG29" s="2"/>
      <c r="BH29" s="3"/>
      <c r="BI29" s="3"/>
      <c r="BJ29" s="2"/>
      <c r="BK29" s="3"/>
      <c r="BL29" s="3"/>
      <c r="BM29" s="2"/>
      <c r="BN29" s="3"/>
      <c r="BO29" s="3"/>
      <c r="BP29" s="2"/>
      <c r="BQ29" s="3"/>
      <c r="BR29" s="3"/>
      <c r="BS29" s="2"/>
      <c r="BT29" s="3"/>
      <c r="BU29" s="3"/>
      <c r="BV29" s="2"/>
    </row>
    <row r="30" spans="3:74" x14ac:dyDescent="0.2">
      <c r="C30" s="3"/>
      <c r="D30" s="3"/>
      <c r="E30" s="2"/>
      <c r="F30" s="3"/>
      <c r="G30" s="3"/>
      <c r="H30" s="2"/>
      <c r="I30" s="3"/>
      <c r="J30" s="3"/>
      <c r="K30" s="2"/>
      <c r="L30" s="3"/>
      <c r="M30" s="3"/>
      <c r="N30" s="2"/>
      <c r="O30" s="3"/>
      <c r="P30" s="3"/>
      <c r="Q30" s="2"/>
      <c r="R30" s="3"/>
      <c r="S30" s="3"/>
      <c r="T30" s="2"/>
      <c r="U30" s="3">
        <v>336.68</v>
      </c>
      <c r="V30" s="3">
        <v>12.14</v>
      </c>
      <c r="W30" s="2">
        <f t="shared" si="5"/>
        <v>3.1012352330000003E-2</v>
      </c>
      <c r="X30" s="3"/>
      <c r="Y30" s="3"/>
      <c r="Z30" s="2"/>
      <c r="AA30" s="3"/>
      <c r="AB30" s="3"/>
      <c r="AC30" s="2"/>
      <c r="AD30" s="3"/>
      <c r="AE30" s="3"/>
      <c r="AF30" s="2"/>
      <c r="AG30" s="3"/>
      <c r="AH30" s="3"/>
      <c r="AI30" s="2"/>
      <c r="AJ30" s="3"/>
      <c r="AK30" s="3"/>
      <c r="AL30" s="2"/>
      <c r="AM30" s="3"/>
      <c r="AN30" s="3"/>
      <c r="AO30" s="2"/>
      <c r="AP30" s="3"/>
      <c r="AQ30" s="3"/>
      <c r="AR30" s="2"/>
      <c r="AS30" s="3"/>
      <c r="AT30" s="3"/>
      <c r="AU30" s="2"/>
      <c r="AV30" s="3"/>
      <c r="AW30" s="3"/>
      <c r="AX30" s="2"/>
      <c r="AY30" s="3"/>
      <c r="AZ30" s="3"/>
      <c r="BA30" s="2"/>
      <c r="BB30" s="3"/>
      <c r="BC30" s="3"/>
      <c r="BD30" s="2"/>
      <c r="BE30" s="3"/>
      <c r="BF30" s="3"/>
      <c r="BG30" s="2"/>
      <c r="BH30" s="3"/>
      <c r="BI30" s="3"/>
      <c r="BJ30" s="2"/>
      <c r="BK30" s="3"/>
      <c r="BL30" s="3"/>
      <c r="BM30" s="2"/>
      <c r="BN30" s="3"/>
      <c r="BO30" s="3"/>
      <c r="BP30" s="2"/>
      <c r="BQ30" s="3"/>
      <c r="BR30" s="3"/>
      <c r="BS30" s="2"/>
      <c r="BT30" s="3"/>
      <c r="BU30" s="3"/>
      <c r="BV30" s="2"/>
    </row>
    <row r="31" spans="3:74" x14ac:dyDescent="0.2">
      <c r="C31" s="3"/>
      <c r="D31" s="3"/>
      <c r="E31" s="2"/>
      <c r="F31" s="3"/>
      <c r="G31" s="3"/>
      <c r="H31" s="2"/>
      <c r="I31" s="3"/>
      <c r="J31" s="3"/>
      <c r="K31" s="2"/>
      <c r="L31" s="3"/>
      <c r="M31" s="3"/>
      <c r="N31" s="2"/>
      <c r="O31" s="3"/>
      <c r="P31" s="3"/>
      <c r="Q31" s="2"/>
      <c r="R31" s="3"/>
      <c r="S31" s="3"/>
      <c r="T31" s="2"/>
      <c r="U31" s="3">
        <v>404.13</v>
      </c>
      <c r="V31" s="3">
        <v>14.78</v>
      </c>
      <c r="W31" s="2">
        <f t="shared" si="5"/>
        <v>5.5175969932499999E-2</v>
      </c>
      <c r="X31" s="3"/>
      <c r="Y31" s="3"/>
      <c r="Z31" s="2"/>
      <c r="AA31" s="3"/>
      <c r="AB31" s="3"/>
      <c r="AC31" s="2"/>
      <c r="AD31" s="3"/>
      <c r="AE31" s="3"/>
      <c r="AF31" s="2"/>
      <c r="AG31" s="3"/>
      <c r="AH31" s="3"/>
      <c r="AI31" s="2"/>
      <c r="AJ31" s="3"/>
      <c r="AK31" s="3"/>
      <c r="AL31" s="2"/>
      <c r="AM31" s="3"/>
      <c r="AN31" s="3"/>
      <c r="AO31" s="2"/>
      <c r="AP31" s="3"/>
      <c r="AQ31" s="3"/>
      <c r="AR31" s="2"/>
      <c r="AS31" s="3"/>
      <c r="AT31" s="3"/>
      <c r="AU31" s="2"/>
      <c r="AV31" s="3"/>
      <c r="AW31" s="3"/>
      <c r="AX31" s="2"/>
      <c r="AY31" s="3"/>
      <c r="AZ31" s="3"/>
      <c r="BA31" s="2"/>
      <c r="BB31" s="3"/>
      <c r="BC31" s="3"/>
      <c r="BD31" s="2"/>
      <c r="BE31" s="3"/>
      <c r="BF31" s="3"/>
      <c r="BG31" s="2"/>
      <c r="BH31" s="3"/>
      <c r="BI31" s="3"/>
      <c r="BJ31" s="2"/>
      <c r="BK31" s="3"/>
      <c r="BL31" s="3"/>
      <c r="BM31" s="2"/>
      <c r="BN31" s="3"/>
      <c r="BO31" s="3"/>
      <c r="BP31" s="2"/>
      <c r="BQ31" s="3"/>
      <c r="BR31" s="3"/>
      <c r="BS31" s="2"/>
      <c r="BT31" s="3"/>
      <c r="BU31" s="3"/>
      <c r="BV31" s="2"/>
    </row>
    <row r="32" spans="3:74" x14ac:dyDescent="0.2">
      <c r="C32" s="3"/>
      <c r="D32" s="3"/>
      <c r="E32" s="2"/>
      <c r="F32" s="3"/>
      <c r="G32" s="3"/>
      <c r="H32" s="2"/>
      <c r="I32" s="3"/>
      <c r="J32" s="3"/>
      <c r="K32" s="2"/>
      <c r="L32" s="3"/>
      <c r="M32" s="3"/>
      <c r="N32" s="2"/>
      <c r="O32" s="3"/>
      <c r="P32" s="3"/>
      <c r="Q32" s="2"/>
      <c r="R32" s="3"/>
      <c r="S32" s="3"/>
      <c r="T32" s="2"/>
      <c r="U32" s="3">
        <v>390.08</v>
      </c>
      <c r="V32" s="3">
        <v>15.35</v>
      </c>
      <c r="W32" s="2">
        <f t="shared" si="5"/>
        <v>5.7444765500000002E-2</v>
      </c>
      <c r="X32" s="3"/>
      <c r="Y32" s="3"/>
      <c r="Z32" s="2"/>
      <c r="AA32" s="3"/>
      <c r="AB32" s="3"/>
      <c r="AC32" s="2"/>
      <c r="AD32" s="3"/>
      <c r="AE32" s="3"/>
      <c r="AF32" s="2"/>
      <c r="AG32" s="3"/>
      <c r="AH32" s="3"/>
      <c r="AI32" s="2"/>
      <c r="AJ32" s="3"/>
      <c r="AK32" s="3"/>
      <c r="AL32" s="2"/>
      <c r="AM32" s="3"/>
      <c r="AN32" s="3"/>
      <c r="AO32" s="2"/>
      <c r="AP32" s="3"/>
      <c r="AQ32" s="3"/>
      <c r="AR32" s="2"/>
      <c r="AS32" s="3"/>
      <c r="AT32" s="3"/>
      <c r="AU32" s="2"/>
      <c r="AV32" s="3"/>
      <c r="AW32" s="3"/>
      <c r="AX32" s="2"/>
      <c r="AY32" s="3"/>
      <c r="AZ32" s="3"/>
      <c r="BA32" s="2"/>
      <c r="BB32" s="3"/>
      <c r="BC32" s="3"/>
      <c r="BD32" s="2"/>
      <c r="BE32" s="3"/>
      <c r="BF32" s="3"/>
      <c r="BG32" s="2"/>
      <c r="BH32" s="3"/>
      <c r="BI32" s="3"/>
      <c r="BJ32" s="2"/>
      <c r="BK32" s="3"/>
      <c r="BL32" s="3"/>
      <c r="BM32" s="2"/>
      <c r="BN32" s="3"/>
      <c r="BO32" s="3"/>
      <c r="BP32" s="2"/>
      <c r="BQ32" s="3"/>
      <c r="BR32" s="3"/>
      <c r="BS32" s="2"/>
      <c r="BT32" s="3"/>
      <c r="BU32" s="3"/>
      <c r="BV32" s="2"/>
    </row>
    <row r="33" spans="3:74" x14ac:dyDescent="0.2">
      <c r="C33" s="3"/>
      <c r="D33" s="3"/>
      <c r="E33" s="2"/>
      <c r="F33" s="3"/>
      <c r="G33" s="3"/>
      <c r="H33" s="2"/>
      <c r="I33" s="3"/>
      <c r="J33" s="3"/>
      <c r="K33" s="2"/>
      <c r="L33" s="3"/>
      <c r="M33" s="3"/>
      <c r="N33" s="2"/>
      <c r="O33" s="3"/>
      <c r="P33" s="3"/>
      <c r="Q33" s="2"/>
      <c r="R33" s="3"/>
      <c r="S33" s="3"/>
      <c r="T33" s="2"/>
      <c r="U33" s="3"/>
      <c r="V33" s="3"/>
      <c r="W33" s="2"/>
      <c r="X33" s="3"/>
      <c r="Y33" s="3"/>
      <c r="Z33" s="2"/>
      <c r="AA33" s="3"/>
      <c r="AB33" s="3"/>
      <c r="AC33" s="2"/>
      <c r="AD33" s="3"/>
      <c r="AE33" s="3"/>
      <c r="AF33" s="2"/>
      <c r="AG33" s="3"/>
      <c r="AH33" s="3"/>
      <c r="AI33" s="2"/>
      <c r="AJ33" s="3"/>
      <c r="AK33" s="3"/>
      <c r="AL33" s="2"/>
      <c r="AM33" s="3"/>
      <c r="AN33" s="3"/>
      <c r="AO33" s="2"/>
      <c r="AP33" s="3"/>
      <c r="AQ33" s="3"/>
      <c r="AR33" s="2"/>
      <c r="AS33" s="3"/>
      <c r="AT33" s="3"/>
      <c r="AU33" s="2"/>
      <c r="AV33" s="3"/>
      <c r="AW33" s="3"/>
      <c r="AX33" s="2"/>
      <c r="AY33" s="3"/>
      <c r="AZ33" s="3"/>
      <c r="BA33" s="2"/>
      <c r="BB33" s="3"/>
      <c r="BC33" s="3"/>
      <c r="BD33" s="2"/>
      <c r="BE33" s="3"/>
      <c r="BF33" s="3"/>
      <c r="BG33" s="2"/>
      <c r="BH33" s="3"/>
      <c r="BI33" s="3"/>
      <c r="BJ33" s="2"/>
      <c r="BK33" s="3"/>
      <c r="BL33" s="3"/>
      <c r="BM33" s="2"/>
      <c r="BN33" s="3"/>
      <c r="BO33" s="3"/>
      <c r="BP33" s="2"/>
      <c r="BQ33" s="3"/>
      <c r="BR33" s="3"/>
      <c r="BS33" s="2"/>
      <c r="BT33" s="3"/>
      <c r="BU33" s="3"/>
      <c r="BV33" s="2"/>
    </row>
    <row r="34" spans="3:74" x14ac:dyDescent="0.2">
      <c r="E34" s="2"/>
      <c r="H34" s="2"/>
      <c r="K34" s="2"/>
      <c r="N34" s="2"/>
      <c r="Q34" s="2"/>
      <c r="T34" s="2"/>
      <c r="W34" s="2"/>
      <c r="Z34" s="2"/>
      <c r="AC34" s="2"/>
      <c r="AF34" s="2"/>
      <c r="AI34" s="2"/>
      <c r="AL34" s="2"/>
      <c r="AO34" s="2"/>
      <c r="AR34" s="2"/>
      <c r="AU34" s="2"/>
      <c r="AX34" s="2"/>
      <c r="BA34" s="2"/>
      <c r="BD34" s="2"/>
      <c r="BG34" s="2"/>
      <c r="BJ34" s="2"/>
      <c r="BM34" s="2"/>
      <c r="BP34" s="2"/>
      <c r="BS34" s="2"/>
      <c r="BV34" s="2"/>
    </row>
    <row r="35" spans="3:74" x14ac:dyDescent="0.2">
      <c r="E35" s="2"/>
      <c r="H35" s="2"/>
      <c r="K35" s="2"/>
      <c r="N35" s="2"/>
      <c r="Q35" s="2"/>
      <c r="T35" s="2"/>
      <c r="W35" s="2"/>
      <c r="Z35" s="2"/>
      <c r="AC35" s="2"/>
      <c r="AF35" s="2"/>
      <c r="AI35" s="2"/>
      <c r="AL35" s="2"/>
      <c r="AO35" s="2"/>
      <c r="AR35" s="2"/>
      <c r="AU35" s="2"/>
      <c r="AX35" s="2"/>
      <c r="BA35" s="2"/>
      <c r="BD35" s="2"/>
      <c r="BG35" s="2"/>
      <c r="BJ35" s="2"/>
      <c r="BM35" s="2"/>
      <c r="BP35" s="2"/>
      <c r="BS35" s="2"/>
      <c r="BV35" s="2"/>
    </row>
    <row r="36" spans="3:74" x14ac:dyDescent="0.2">
      <c r="E36" s="2"/>
      <c r="H36" s="2"/>
      <c r="K36" s="2"/>
      <c r="N36" s="2"/>
      <c r="Q36" s="2"/>
      <c r="T36" s="2"/>
      <c r="W36" s="2"/>
      <c r="Z36" s="2"/>
      <c r="AC36" s="2"/>
      <c r="AF36" s="2"/>
      <c r="AI36" s="2"/>
      <c r="AL36" s="2"/>
      <c r="AO36" s="2"/>
      <c r="AR36" s="2"/>
      <c r="AU36" s="2"/>
      <c r="AX36" s="2"/>
      <c r="BA36" s="2"/>
      <c r="BD36" s="2"/>
      <c r="BG36" s="2"/>
      <c r="BJ36" s="2"/>
      <c r="BM36" s="2"/>
      <c r="BP36" s="2"/>
      <c r="BS36" s="2"/>
      <c r="BV36" s="2"/>
    </row>
    <row r="37" spans="3:74" x14ac:dyDescent="0.2">
      <c r="E37" s="2"/>
      <c r="H37" s="2"/>
      <c r="K37" s="2"/>
      <c r="N37" s="2"/>
      <c r="Q37" s="2"/>
      <c r="T37" s="2"/>
      <c r="W37" s="2"/>
      <c r="Z37" s="2"/>
      <c r="AC37" s="2"/>
      <c r="AF37" s="2"/>
      <c r="AI37" s="2"/>
      <c r="AL37" s="2"/>
      <c r="AO37" s="2"/>
      <c r="AR37" s="2"/>
      <c r="AU37" s="2"/>
      <c r="AX37" s="2"/>
      <c r="BA37" s="2"/>
      <c r="BD37" s="2"/>
      <c r="BG37" s="2"/>
      <c r="BJ37" s="2"/>
      <c r="BM37" s="2"/>
      <c r="BP37" s="2"/>
      <c r="BS37" s="2"/>
      <c r="BV37" s="2"/>
    </row>
    <row r="38" spans="3:74" x14ac:dyDescent="0.2">
      <c r="E38" s="2"/>
      <c r="H38" s="2"/>
      <c r="K38" s="2"/>
      <c r="N38" s="2"/>
      <c r="Q38" s="2"/>
      <c r="T38" s="2"/>
      <c r="W38" s="2"/>
      <c r="Z38" s="2"/>
      <c r="AC38" s="2"/>
      <c r="AF38" s="2"/>
      <c r="AI38" s="2"/>
      <c r="AL38" s="2"/>
      <c r="AO38" s="2"/>
      <c r="AR38" s="2"/>
      <c r="AU38" s="2"/>
      <c r="AX38" s="2"/>
      <c r="BA38" s="2"/>
      <c r="BD38" s="2"/>
      <c r="BG38" s="2"/>
      <c r="BJ38" s="2"/>
      <c r="BM38" s="2"/>
      <c r="BP38" s="2"/>
      <c r="BS38" s="2"/>
      <c r="BV38" s="2"/>
    </row>
    <row r="39" spans="3:74" x14ac:dyDescent="0.2">
      <c r="E39" s="2"/>
      <c r="H39" s="2"/>
      <c r="K39" s="2"/>
      <c r="N39" s="2"/>
      <c r="Q39" s="2"/>
      <c r="T39" s="2"/>
      <c r="W39" s="2"/>
      <c r="Z39" s="2"/>
      <c r="AC39" s="2"/>
      <c r="AF39" s="2"/>
      <c r="AI39" s="2"/>
      <c r="AL39" s="2"/>
      <c r="AO39" s="2"/>
      <c r="AR39" s="2"/>
      <c r="AU39" s="2"/>
      <c r="AX39" s="2"/>
      <c r="BA39" s="2"/>
      <c r="BD39" s="2"/>
      <c r="BG39" s="2"/>
      <c r="BJ39" s="2"/>
      <c r="BM39" s="2"/>
      <c r="BP39" s="2"/>
      <c r="BS39" s="2"/>
      <c r="BV39" s="2"/>
    </row>
    <row r="40" spans="3:74" x14ac:dyDescent="0.2">
      <c r="E40" s="2"/>
      <c r="H40" s="2"/>
      <c r="K40" s="2"/>
      <c r="N40" s="2"/>
      <c r="Q40" s="2"/>
      <c r="T40" s="2"/>
      <c r="W40" s="2"/>
      <c r="Z40" s="2"/>
      <c r="AC40" s="2"/>
      <c r="AF40" s="2"/>
      <c r="AI40" s="2"/>
      <c r="AL40" s="2"/>
      <c r="AO40" s="2"/>
      <c r="AR40" s="2"/>
      <c r="AU40" s="2"/>
      <c r="AX40" s="2"/>
      <c r="BA40" s="2"/>
      <c r="BD40" s="2"/>
      <c r="BG40" s="2"/>
      <c r="BJ40" s="2"/>
      <c r="BM40" s="2"/>
      <c r="BP40" s="2"/>
      <c r="BS40" s="2"/>
      <c r="BV40" s="2"/>
    </row>
    <row r="41" spans="3:74" x14ac:dyDescent="0.2">
      <c r="E41" s="2"/>
      <c r="H41" s="2"/>
      <c r="K41" s="2"/>
      <c r="N41" s="2"/>
      <c r="Q41" s="2"/>
      <c r="T41" s="2"/>
      <c r="W41" s="2"/>
      <c r="Z41" s="2"/>
      <c r="AC41" s="2"/>
      <c r="AF41" s="2"/>
      <c r="AI41" s="2"/>
      <c r="AL41" s="2"/>
      <c r="AO41" s="2"/>
      <c r="AR41" s="2"/>
      <c r="AU41" s="2"/>
      <c r="AX41" s="2"/>
      <c r="BA41" s="2"/>
      <c r="BD41" s="2"/>
      <c r="BG41" s="2"/>
      <c r="BJ41" s="2"/>
      <c r="BM41" s="2"/>
      <c r="BP41" s="2"/>
      <c r="BS41" s="2"/>
      <c r="BV41" s="2"/>
    </row>
    <row r="42" spans="3:74" x14ac:dyDescent="0.2"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  <c r="BJ42" s="2"/>
      <c r="BM42" s="2"/>
      <c r="BP42" s="2"/>
      <c r="BS42" s="2"/>
      <c r="BV42" s="2"/>
    </row>
    <row r="43" spans="3:74" x14ac:dyDescent="0.2"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  <c r="BJ43" s="2"/>
      <c r="BM43" s="2"/>
      <c r="BP43" s="2"/>
      <c r="BS43" s="2"/>
      <c r="BV43" s="2"/>
    </row>
    <row r="44" spans="3:74" x14ac:dyDescent="0.2"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  <c r="BJ44" s="2"/>
      <c r="BM44" s="2"/>
      <c r="BP44" s="2"/>
      <c r="BS44" s="2"/>
      <c r="BV44" s="2"/>
    </row>
    <row r="45" spans="3:74" x14ac:dyDescent="0.2"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  <c r="BJ45" s="2"/>
      <c r="BM45" s="2"/>
      <c r="BP45" s="2"/>
      <c r="BS45" s="2"/>
      <c r="BV45" s="2"/>
    </row>
    <row r="46" spans="3:74" x14ac:dyDescent="0.2"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  <c r="BJ46" s="2"/>
      <c r="BM46" s="2"/>
      <c r="BP46" s="2"/>
      <c r="BS46" s="2"/>
      <c r="BV46" s="2"/>
    </row>
    <row r="47" spans="3:74" x14ac:dyDescent="0.2"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  <c r="BJ47" s="2"/>
      <c r="BM47" s="2"/>
      <c r="BP47" s="2"/>
      <c r="BS47" s="2"/>
      <c r="BV47" s="2"/>
    </row>
    <row r="48" spans="3:74" x14ac:dyDescent="0.2"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  <c r="BJ48" s="2"/>
      <c r="BM48" s="2"/>
      <c r="BP48" s="2"/>
      <c r="BS48" s="2"/>
      <c r="BV48" s="2"/>
    </row>
    <row r="49" spans="5:74" x14ac:dyDescent="0.2"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  <c r="BJ49" s="2"/>
      <c r="BM49" s="2"/>
      <c r="BP49" s="2"/>
      <c r="BS49" s="2"/>
      <c r="BV49" s="2"/>
    </row>
    <row r="50" spans="5:74" x14ac:dyDescent="0.2"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  <c r="BM50" s="2"/>
      <c r="BP50" s="2"/>
      <c r="BS50" s="2"/>
      <c r="BV50" s="2"/>
    </row>
    <row r="51" spans="5:74" x14ac:dyDescent="0.2"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  <c r="BM51" s="2"/>
      <c r="BP51" s="2"/>
      <c r="BS51" s="2"/>
      <c r="BV51" s="2"/>
    </row>
    <row r="52" spans="5:74" x14ac:dyDescent="0.2"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  <c r="BM52" s="2"/>
      <c r="BP52" s="2"/>
      <c r="BS52" s="2"/>
      <c r="BV52" s="2"/>
    </row>
    <row r="53" spans="5:74" x14ac:dyDescent="0.2"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  <c r="BM53" s="2"/>
      <c r="BP53" s="2"/>
      <c r="BS53" s="2"/>
      <c r="BV53" s="2"/>
    </row>
    <row r="54" spans="5:74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  <c r="BM54" s="2"/>
      <c r="BP54" s="2"/>
      <c r="BS54" s="2"/>
      <c r="BV54" s="2"/>
    </row>
    <row r="55" spans="5:74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  <c r="BM55" s="2"/>
      <c r="BP55" s="2"/>
      <c r="BS55" s="2"/>
      <c r="BV55" s="2"/>
    </row>
    <row r="56" spans="5:74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  <c r="BM56" s="2"/>
      <c r="BP56" s="2"/>
      <c r="BS56" s="2"/>
      <c r="BV56" s="2"/>
    </row>
    <row r="57" spans="5:74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  <c r="BM57" s="2"/>
      <c r="BP57" s="2"/>
      <c r="BS57" s="2"/>
      <c r="BV57" s="2"/>
    </row>
    <row r="58" spans="5:74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  <c r="BM58" s="2"/>
      <c r="BP58" s="2"/>
      <c r="BS58" s="2"/>
      <c r="BV58" s="2"/>
    </row>
    <row r="59" spans="5:74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  <c r="BM59" s="2"/>
      <c r="BP59" s="2"/>
      <c r="BS59" s="2"/>
      <c r="BV59" s="2"/>
    </row>
    <row r="60" spans="5:74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  <c r="BM60" s="2"/>
      <c r="BP60" s="2"/>
      <c r="BS60" s="2"/>
      <c r="BV60" s="2"/>
    </row>
    <row r="61" spans="5:74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  <c r="BM61" s="2"/>
      <c r="BP61" s="2"/>
      <c r="BS61" s="2"/>
      <c r="BV61" s="2"/>
    </row>
    <row r="62" spans="5:74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  <c r="BM62" s="2"/>
      <c r="BP62" s="2"/>
      <c r="BS62" s="2"/>
      <c r="BV62" s="2"/>
    </row>
    <row r="63" spans="5:74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  <c r="BM63" s="2"/>
      <c r="BP63" s="2"/>
      <c r="BS63" s="2"/>
      <c r="BV63" s="2"/>
    </row>
    <row r="64" spans="5:74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  <c r="BM64" s="2"/>
      <c r="BP64" s="2"/>
      <c r="BS64" s="2"/>
      <c r="BV64" s="2"/>
    </row>
    <row r="65" spans="5:74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  <c r="BM65" s="2"/>
      <c r="BP65" s="2"/>
      <c r="BS65" s="2"/>
      <c r="BV65" s="2"/>
    </row>
    <row r="66" spans="5:74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  <c r="BM66" s="2"/>
      <c r="BP66" s="2"/>
      <c r="BS66" s="2"/>
      <c r="BV66" s="2"/>
    </row>
    <row r="67" spans="5:74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  <c r="BM67" s="2"/>
      <c r="BP67" s="2"/>
      <c r="BS67" s="2"/>
      <c r="BV67" s="2"/>
    </row>
    <row r="68" spans="5:74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  <c r="BM68" s="2"/>
      <c r="BP68" s="2"/>
      <c r="BS68" s="2"/>
      <c r="BV68" s="2"/>
    </row>
    <row r="69" spans="5:74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  <c r="BM69" s="2"/>
      <c r="BP69" s="2"/>
      <c r="BS69" s="2"/>
      <c r="BV69" s="2"/>
    </row>
    <row r="70" spans="5:74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  <c r="BM70" s="2"/>
      <c r="BP70" s="2"/>
      <c r="BS70" s="2"/>
      <c r="BV70" s="2"/>
    </row>
    <row r="71" spans="5:74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  <c r="BM71" s="2"/>
      <c r="BP71" s="2"/>
      <c r="BS71" s="2"/>
      <c r="BV71" s="2"/>
    </row>
    <row r="72" spans="5:74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  <c r="BM72" s="2"/>
      <c r="BP72" s="2"/>
      <c r="BS72" s="2"/>
      <c r="BV72" s="2"/>
    </row>
    <row r="73" spans="5:74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  <c r="BP73" s="2"/>
      <c r="BS73" s="2"/>
      <c r="BV73" s="2"/>
    </row>
    <row r="74" spans="5:74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  <c r="BP74" s="2"/>
      <c r="BS74" s="2"/>
      <c r="BV74" s="2"/>
    </row>
    <row r="75" spans="5:74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  <c r="BP75" s="2"/>
      <c r="BS75" s="2"/>
      <c r="BV75" s="2"/>
    </row>
    <row r="76" spans="5:74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  <c r="BP76" s="2"/>
      <c r="BS76" s="2"/>
      <c r="BV76" s="2"/>
    </row>
    <row r="77" spans="5:74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  <c r="BP77" s="2"/>
      <c r="BS77" s="2"/>
      <c r="BV77" s="2"/>
    </row>
    <row r="78" spans="5:74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  <c r="BP78" s="2"/>
      <c r="BS78" s="2"/>
      <c r="BV78" s="2"/>
    </row>
    <row r="79" spans="5:74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  <c r="BP79" s="2"/>
      <c r="BS79" s="2"/>
      <c r="BV79" s="2"/>
    </row>
    <row r="80" spans="5:74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  <c r="BP80" s="2"/>
      <c r="BS80" s="2"/>
      <c r="BV80" s="2"/>
    </row>
    <row r="81" spans="5:74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  <c r="BP81" s="2"/>
      <c r="BS81" s="2"/>
      <c r="BV81" s="2"/>
    </row>
    <row r="82" spans="5:74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  <c r="BP82" s="2"/>
      <c r="BS82" s="2"/>
      <c r="BV82" s="2"/>
    </row>
    <row r="83" spans="5:74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  <c r="BP83" s="2"/>
      <c r="BS83" s="2"/>
      <c r="BV83" s="2"/>
    </row>
    <row r="84" spans="5:74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  <c r="BP84" s="2"/>
      <c r="BS84" s="2"/>
      <c r="BV84" s="2"/>
    </row>
    <row r="85" spans="5:74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  <c r="BP85" s="2"/>
      <c r="BS85" s="2"/>
      <c r="BV85" s="2"/>
    </row>
    <row r="86" spans="5:74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  <c r="BP86" s="2"/>
      <c r="BS86" s="2"/>
      <c r="BV86" s="2"/>
    </row>
    <row r="87" spans="5:74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  <c r="BP87" s="2"/>
      <c r="BS87" s="2"/>
      <c r="BV87" s="2"/>
    </row>
    <row r="88" spans="5:74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  <c r="BP88" s="2"/>
      <c r="BS88" s="2"/>
      <c r="BV88" s="2"/>
    </row>
    <row r="89" spans="5:74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  <c r="BP89" s="2"/>
      <c r="BS89" s="2"/>
      <c r="BV89" s="2"/>
    </row>
    <row r="90" spans="5:74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  <c r="BP90" s="2"/>
      <c r="BS90" s="2"/>
      <c r="BV90" s="2"/>
    </row>
    <row r="91" spans="5:74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  <c r="BP91" s="2"/>
      <c r="BS91" s="2"/>
      <c r="BV91" s="2"/>
    </row>
    <row r="92" spans="5:74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  <c r="BP92" s="2"/>
      <c r="BS92" s="2"/>
      <c r="BV92" s="2"/>
    </row>
    <row r="93" spans="5:74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  <c r="BP93" s="2"/>
      <c r="BS93" s="2"/>
      <c r="BV93" s="2"/>
    </row>
    <row r="94" spans="5:74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  <c r="BP94" s="2"/>
      <c r="BS94" s="2"/>
      <c r="BV94" s="2"/>
    </row>
    <row r="95" spans="5:74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  <c r="BP95" s="2"/>
      <c r="BS95" s="2"/>
      <c r="BV95" s="2"/>
    </row>
    <row r="96" spans="5:74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  <c r="BP96" s="2"/>
      <c r="BS96" s="2"/>
      <c r="BV96" s="2"/>
    </row>
    <row r="97" spans="5:74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  <c r="BP97" s="2"/>
      <c r="BS97" s="2"/>
      <c r="BV97" s="2"/>
    </row>
    <row r="98" spans="5:74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  <c r="BP98" s="2"/>
      <c r="BS98" s="2"/>
      <c r="BV98" s="2"/>
    </row>
    <row r="99" spans="5:74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  <c r="BP99" s="2"/>
      <c r="BS99" s="2"/>
      <c r="BV99" s="2"/>
    </row>
    <row r="100" spans="5:74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  <c r="BP100" s="2"/>
      <c r="BS100" s="2"/>
      <c r="BV100" s="2"/>
    </row>
    <row r="101" spans="5:74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  <c r="BP101" s="2"/>
      <c r="BS101" s="2"/>
      <c r="BV101" s="2"/>
    </row>
    <row r="102" spans="5:74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  <c r="BP102" s="2"/>
      <c r="BS102" s="2"/>
      <c r="BV102" s="2"/>
    </row>
    <row r="103" spans="5:74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  <c r="BP103" s="2"/>
      <c r="BS103" s="2"/>
      <c r="BV103" s="2"/>
    </row>
    <row r="104" spans="5:74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  <c r="BP104" s="2"/>
      <c r="BS104" s="2"/>
      <c r="BV104" s="2"/>
    </row>
    <row r="105" spans="5:74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  <c r="BP105" s="2"/>
      <c r="BS105" s="2"/>
      <c r="BV105" s="2"/>
    </row>
    <row r="106" spans="5:74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  <c r="BP106" s="2"/>
      <c r="BS106" s="2"/>
      <c r="BV106" s="2"/>
    </row>
    <row r="107" spans="5:74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  <c r="BP107" s="2"/>
      <c r="BS107" s="2"/>
      <c r="BV107" s="2"/>
    </row>
    <row r="108" spans="5:74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  <c r="BP108" s="2"/>
      <c r="BS108" s="2"/>
      <c r="BV108" s="2"/>
    </row>
    <row r="109" spans="5:74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  <c r="BP109" s="2"/>
      <c r="BS109" s="2"/>
      <c r="BV109" s="2"/>
    </row>
    <row r="110" spans="5:74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  <c r="BP110" s="2"/>
      <c r="BS110" s="2"/>
      <c r="BV110" s="2"/>
    </row>
    <row r="111" spans="5:74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  <c r="BP111" s="2"/>
      <c r="BS111" s="2"/>
      <c r="BV111" s="2"/>
    </row>
    <row r="112" spans="5:74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  <c r="BP112" s="2"/>
      <c r="BS112" s="2"/>
      <c r="BV112" s="2"/>
    </row>
    <row r="113" spans="3:74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  <c r="BP113" s="2"/>
      <c r="BS113" s="2"/>
      <c r="BV113" s="2"/>
    </row>
    <row r="114" spans="3:74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  <c r="BP114" s="2"/>
      <c r="BS114" s="2"/>
      <c r="BV114" s="2"/>
    </row>
    <row r="115" spans="3:74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  <c r="BP115" s="2"/>
      <c r="BS115" s="2"/>
      <c r="BV115" s="2"/>
    </row>
    <row r="116" spans="3:74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  <c r="BP116" s="2"/>
      <c r="BS116" s="2"/>
      <c r="BV116" s="2"/>
    </row>
    <row r="117" spans="3:74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  <c r="BP117" s="2"/>
      <c r="BS117" s="2"/>
      <c r="BV117" s="2"/>
    </row>
    <row r="118" spans="3:74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  <c r="BP118" s="2"/>
      <c r="BS118" s="2"/>
      <c r="BV118" s="2"/>
    </row>
    <row r="119" spans="3:74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  <c r="BP119" s="2"/>
      <c r="BS119" s="2"/>
      <c r="BV119" s="2"/>
    </row>
    <row r="120" spans="3:74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  <c r="BP120" s="2"/>
      <c r="BS120" s="2"/>
      <c r="BV120" s="2"/>
    </row>
    <row r="121" spans="3:74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  <c r="BP121" s="2"/>
      <c r="BS121" s="2"/>
      <c r="BV121" s="2"/>
    </row>
    <row r="122" spans="3:74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  <c r="BM122" s="2"/>
      <c r="BP122" s="2"/>
      <c r="BS122" s="2"/>
      <c r="BV122" s="2"/>
    </row>
    <row r="123" spans="3:74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  <c r="BM123" s="2"/>
      <c r="BP123" s="2"/>
      <c r="BS123" s="2"/>
      <c r="BV123" s="2"/>
    </row>
    <row r="124" spans="3:74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  <c r="BM124" s="2"/>
      <c r="BP124" s="2"/>
      <c r="BS124" s="2"/>
      <c r="BV124" s="2"/>
    </row>
    <row r="125" spans="3:74" x14ac:dyDescent="0.2">
      <c r="C125" s="19"/>
      <c r="D125" s="19"/>
      <c r="E125" s="2"/>
      <c r="F125" s="19"/>
      <c r="G125" s="19"/>
      <c r="H125" s="2"/>
      <c r="I125" s="19"/>
      <c r="J125" s="19"/>
      <c r="K125" s="2"/>
      <c r="L125" s="19"/>
      <c r="M125" s="19"/>
      <c r="N125" s="2"/>
      <c r="O125" s="19"/>
      <c r="P125" s="19"/>
      <c r="Q125" s="2"/>
      <c r="R125" s="19"/>
      <c r="S125" s="19"/>
      <c r="T125" s="2"/>
      <c r="U125" s="19"/>
      <c r="V125" s="19"/>
      <c r="W125" s="2"/>
      <c r="X125" s="19"/>
      <c r="Y125" s="19"/>
      <c r="Z125" s="2"/>
      <c r="AC125" s="2"/>
      <c r="AD125" s="19"/>
      <c r="AE125" s="19"/>
      <c r="AF125" s="2"/>
      <c r="AG125" s="19"/>
      <c r="AH125" s="19"/>
      <c r="AI125" s="2"/>
      <c r="AJ125" s="19"/>
      <c r="AK125" s="19"/>
      <c r="AL125" s="2"/>
      <c r="AM125" s="19"/>
      <c r="AN125" s="19"/>
      <c r="AO125" s="2"/>
      <c r="AP125" s="19"/>
      <c r="AQ125" s="19"/>
      <c r="AR125" s="2"/>
      <c r="AS125" s="19"/>
      <c r="AT125" s="19"/>
      <c r="AU125" s="2"/>
      <c r="AV125" s="19"/>
      <c r="AW125" s="19"/>
      <c r="AX125" s="2"/>
      <c r="AY125" s="19"/>
      <c r="AZ125" s="19"/>
      <c r="BA125" s="2"/>
      <c r="BB125" s="19"/>
      <c r="BC125" s="19"/>
      <c r="BD125" s="2"/>
      <c r="BE125" s="19"/>
      <c r="BF125" s="19"/>
      <c r="BG125" s="2"/>
      <c r="BH125" s="19"/>
      <c r="BI125" s="19"/>
      <c r="BJ125" s="2"/>
      <c r="BK125" s="19"/>
      <c r="BL125" s="19"/>
      <c r="BM125" s="2"/>
      <c r="BN125" s="19"/>
      <c r="BO125" s="19"/>
      <c r="BP125" s="2"/>
      <c r="BQ125" s="19"/>
      <c r="BR125" s="19"/>
      <c r="BS125" s="2"/>
      <c r="BT125" s="19"/>
      <c r="BU125" s="19"/>
      <c r="BV125" s="2"/>
    </row>
    <row r="133" spans="1:74" s="6" customFormat="1" x14ac:dyDescent="0.2">
      <c r="A133" s="1"/>
      <c r="B133" s="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</row>
    <row r="134" spans="1:74" s="6" customForma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</row>
    <row r="135" spans="1:74" s="6" customFormat="1" x14ac:dyDescent="0.2">
      <c r="A135" s="1"/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</row>
  </sheetData>
  <mergeCells count="120">
    <mergeCell ref="BT1:BV1"/>
    <mergeCell ref="AY1:BA1"/>
    <mergeCell ref="BB1:BD1"/>
    <mergeCell ref="BE1:BG1"/>
    <mergeCell ref="BH1:BJ1"/>
    <mergeCell ref="BK1:BM1"/>
    <mergeCell ref="BN1:BP1"/>
    <mergeCell ref="BH4:BI4"/>
    <mergeCell ref="BK4:BL4"/>
    <mergeCell ref="BN4:BO4"/>
    <mergeCell ref="BQ2:BR2"/>
    <mergeCell ref="BT2:BU2"/>
    <mergeCell ref="BQ3:BR3"/>
    <mergeCell ref="BT3:BU3"/>
    <mergeCell ref="BQ4:BR4"/>
    <mergeCell ref="BT4:BU4"/>
    <mergeCell ref="BH2:BI2"/>
    <mergeCell ref="BK2:BL2"/>
    <mergeCell ref="BN2:BO2"/>
    <mergeCell ref="BH3:BI3"/>
    <mergeCell ref="BK3:BL3"/>
    <mergeCell ref="BN3:BO3"/>
    <mergeCell ref="BB2:BC2"/>
    <mergeCell ref="AS1:AU1"/>
    <mergeCell ref="AV1:AX1"/>
    <mergeCell ref="AS4:AT4"/>
    <mergeCell ref="AV4:AW4"/>
    <mergeCell ref="AS3:AT3"/>
    <mergeCell ref="AV3:AW3"/>
    <mergeCell ref="AS2:AT2"/>
    <mergeCell ref="AV2:AW2"/>
    <mergeCell ref="BQ1:BS1"/>
    <mergeCell ref="U1:W1"/>
    <mergeCell ref="X1:Z1"/>
    <mergeCell ref="AA1:AC1"/>
    <mergeCell ref="AD1:AF1"/>
    <mergeCell ref="AG1:AI1"/>
    <mergeCell ref="AJ4:AK4"/>
    <mergeCell ref="AM4:AN4"/>
    <mergeCell ref="AP4:AQ4"/>
    <mergeCell ref="U4:V4"/>
    <mergeCell ref="X4:Y4"/>
    <mergeCell ref="AA4:AB4"/>
    <mergeCell ref="AD4:AE4"/>
    <mergeCell ref="AG4:AH4"/>
    <mergeCell ref="AJ2:AK2"/>
    <mergeCell ref="AM2:AN2"/>
    <mergeCell ref="AP2:AQ2"/>
    <mergeCell ref="U2:V2"/>
    <mergeCell ref="X2:Y2"/>
    <mergeCell ref="AA2:AB2"/>
    <mergeCell ref="AD2:AE2"/>
    <mergeCell ref="AG2:AH2"/>
    <mergeCell ref="AJ1:AL1"/>
    <mergeCell ref="AM1:AO1"/>
    <mergeCell ref="AP1:AR1"/>
    <mergeCell ref="C4:D4"/>
    <mergeCell ref="F4:G4"/>
    <mergeCell ref="I4:J4"/>
    <mergeCell ref="L4:M4"/>
    <mergeCell ref="O4:P4"/>
    <mergeCell ref="R4:S4"/>
    <mergeCell ref="AJ3:AK3"/>
    <mergeCell ref="AM3:AN3"/>
    <mergeCell ref="AP3:AQ3"/>
    <mergeCell ref="U3:V3"/>
    <mergeCell ref="X3:Y3"/>
    <mergeCell ref="AA3:AB3"/>
    <mergeCell ref="AD3:AE3"/>
    <mergeCell ref="AG3:AH3"/>
    <mergeCell ref="C3:D3"/>
    <mergeCell ref="F3:G3"/>
    <mergeCell ref="I3:J3"/>
    <mergeCell ref="L3:M3"/>
    <mergeCell ref="O3:P3"/>
    <mergeCell ref="R3:S3"/>
    <mergeCell ref="C2:D2"/>
    <mergeCell ref="F2:G2"/>
    <mergeCell ref="I2:J2"/>
    <mergeCell ref="L2:M2"/>
    <mergeCell ref="O2:P2"/>
    <mergeCell ref="R2:S2"/>
    <mergeCell ref="A1:B1"/>
    <mergeCell ref="C1:E1"/>
    <mergeCell ref="F1:H1"/>
    <mergeCell ref="I1:K1"/>
    <mergeCell ref="L1:N1"/>
    <mergeCell ref="O1:Q1"/>
    <mergeCell ref="R1:T1"/>
    <mergeCell ref="AM125:AN125"/>
    <mergeCell ref="AP125:AQ125"/>
    <mergeCell ref="AS125:AT125"/>
    <mergeCell ref="U125:V125"/>
    <mergeCell ref="X125:Y125"/>
    <mergeCell ref="AD125:AE125"/>
    <mergeCell ref="AG125:AH125"/>
    <mergeCell ref="AJ125:AK125"/>
    <mergeCell ref="C125:D125"/>
    <mergeCell ref="F125:G125"/>
    <mergeCell ref="I125:J125"/>
    <mergeCell ref="L125:M125"/>
    <mergeCell ref="O125:P125"/>
    <mergeCell ref="R125:S125"/>
    <mergeCell ref="AV125:AW125"/>
    <mergeCell ref="AY125:AZ125"/>
    <mergeCell ref="BB125:BC125"/>
    <mergeCell ref="BE125:BF125"/>
    <mergeCell ref="AY2:AZ2"/>
    <mergeCell ref="BT125:BU125"/>
    <mergeCell ref="BH125:BI125"/>
    <mergeCell ref="BK125:BL125"/>
    <mergeCell ref="BN125:BO125"/>
    <mergeCell ref="BQ125:BR125"/>
    <mergeCell ref="BE2:BF2"/>
    <mergeCell ref="AY3:AZ3"/>
    <mergeCell ref="BB3:BC3"/>
    <mergeCell ref="BE3:BF3"/>
    <mergeCell ref="AY4:AZ4"/>
    <mergeCell ref="BB4:BC4"/>
    <mergeCell ref="BE4:BF4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AC65-279B-45D6-B0F0-38AF3C486DD2}">
  <dimension ref="A1:BS130"/>
  <sheetViews>
    <sheetView zoomScaleNormal="100" workbookViewId="0">
      <selection activeCell="B14" sqref="B14"/>
    </sheetView>
  </sheetViews>
  <sheetFormatPr defaultColWidth="9" defaultRowHeight="14.25" x14ac:dyDescent="0.2"/>
  <cols>
    <col min="1" max="1" width="14.875" style="1" customWidth="1"/>
    <col min="2" max="2" width="9" style="1"/>
    <col min="3" max="4" width="9" style="1" customWidth="1"/>
    <col min="5" max="5" width="9" style="1"/>
    <col min="6" max="7" width="9" style="1" customWidth="1"/>
    <col min="8" max="8" width="9" style="1"/>
    <col min="9" max="10" width="9" style="1" customWidth="1"/>
    <col min="11" max="11" width="9" style="1"/>
    <col min="12" max="13" width="9" style="1" customWidth="1"/>
    <col min="14" max="14" width="9" style="1"/>
    <col min="15" max="16" width="9" style="1" customWidth="1"/>
    <col min="17" max="17" width="9" style="1"/>
    <col min="18" max="18" width="9.875" style="1" customWidth="1"/>
    <col min="19" max="19" width="9" style="1" customWidth="1"/>
    <col min="20" max="20" width="9" style="1"/>
    <col min="21" max="22" width="9" style="1" customWidth="1"/>
    <col min="23" max="23" width="9" style="1"/>
    <col min="24" max="25" width="9" style="1" customWidth="1"/>
    <col min="26" max="26" width="9" style="1"/>
    <col min="27" max="27" width="9.875" style="1" customWidth="1"/>
    <col min="28" max="28" width="9" style="1" customWidth="1"/>
    <col min="29" max="29" width="9" style="1"/>
    <col min="30" max="31" width="9" style="1" customWidth="1"/>
    <col min="32" max="32" width="9" style="1"/>
    <col min="33" max="34" width="9" style="1" customWidth="1"/>
    <col min="35" max="35" width="9" style="1"/>
    <col min="36" max="37" width="9" style="1" customWidth="1"/>
    <col min="38" max="38" width="9" style="1"/>
    <col min="39" max="39" width="9.875" style="1" customWidth="1"/>
    <col min="40" max="40" width="9" style="1" customWidth="1"/>
    <col min="41" max="44" width="9" style="1"/>
    <col min="45" max="46" width="9" style="1" customWidth="1"/>
    <col min="47" max="47" width="9" style="1"/>
    <col min="48" max="49" width="9" style="1" customWidth="1"/>
    <col min="50" max="50" width="9" style="1"/>
    <col min="51" max="52" width="9" style="1" customWidth="1"/>
    <col min="53" max="53" width="9" style="1"/>
    <col min="54" max="55" width="9" style="1" customWidth="1"/>
    <col min="56" max="56" width="9" style="1"/>
    <col min="57" max="58" width="9" style="1" customWidth="1"/>
    <col min="59" max="59" width="9" style="1"/>
    <col min="60" max="61" width="9" style="1" customWidth="1"/>
    <col min="62" max="62" width="9" style="1"/>
    <col min="63" max="64" width="9" style="1" customWidth="1"/>
    <col min="65" max="65" width="9" style="1"/>
    <col min="66" max="67" width="9" style="1" customWidth="1"/>
    <col min="68" max="68" width="9" style="1"/>
    <col min="69" max="70" width="9" style="1" customWidth="1"/>
    <col min="71" max="16384" width="9" style="1"/>
  </cols>
  <sheetData>
    <row r="1" spans="1:71" s="5" customFormat="1" x14ac:dyDescent="0.2">
      <c r="A1" s="20" t="s">
        <v>37</v>
      </c>
      <c r="B1" s="20"/>
      <c r="C1" s="18" t="s">
        <v>8</v>
      </c>
      <c r="D1" s="18"/>
      <c r="E1" s="18"/>
      <c r="F1" s="18" t="s">
        <v>22</v>
      </c>
      <c r="G1" s="18"/>
      <c r="H1" s="18"/>
      <c r="I1" s="18" t="s">
        <v>29</v>
      </c>
      <c r="J1" s="18"/>
      <c r="K1" s="18"/>
      <c r="L1" s="18" t="s">
        <v>25</v>
      </c>
      <c r="M1" s="18"/>
      <c r="N1" s="18"/>
      <c r="O1" s="18" t="s">
        <v>9</v>
      </c>
      <c r="P1" s="18"/>
      <c r="Q1" s="18"/>
      <c r="R1" s="18" t="s">
        <v>20</v>
      </c>
      <c r="S1" s="18"/>
      <c r="T1" s="18"/>
      <c r="U1" s="18" t="s">
        <v>28</v>
      </c>
      <c r="V1" s="18"/>
      <c r="W1" s="18"/>
      <c r="X1" s="18" t="s">
        <v>40</v>
      </c>
      <c r="Y1" s="18"/>
      <c r="Z1" s="18"/>
      <c r="AA1" s="18" t="s">
        <v>33</v>
      </c>
      <c r="AB1" s="18"/>
      <c r="AC1" s="18"/>
      <c r="AD1" s="18" t="s">
        <v>12</v>
      </c>
      <c r="AE1" s="18"/>
      <c r="AF1" s="18"/>
      <c r="AG1" s="18" t="s">
        <v>41</v>
      </c>
      <c r="AH1" s="18"/>
      <c r="AI1" s="18"/>
      <c r="AJ1" s="18" t="s">
        <v>31</v>
      </c>
      <c r="AK1" s="18"/>
      <c r="AL1" s="18"/>
      <c r="AM1" s="18" t="s">
        <v>13</v>
      </c>
      <c r="AN1" s="18"/>
      <c r="AO1" s="18"/>
      <c r="AP1" s="18" t="s">
        <v>42</v>
      </c>
      <c r="AQ1" s="18"/>
      <c r="AR1" s="18"/>
      <c r="AS1" s="18" t="s">
        <v>43</v>
      </c>
      <c r="AT1" s="18"/>
      <c r="AU1" s="18"/>
      <c r="AV1" s="18" t="s">
        <v>6</v>
      </c>
      <c r="AW1" s="18"/>
      <c r="AX1" s="18"/>
      <c r="AY1" s="18" t="s">
        <v>26</v>
      </c>
      <c r="AZ1" s="18"/>
      <c r="BA1" s="18"/>
      <c r="BB1" s="18" t="s">
        <v>19</v>
      </c>
      <c r="BC1" s="18"/>
      <c r="BD1" s="18"/>
      <c r="BE1" s="18" t="s">
        <v>21</v>
      </c>
      <c r="BF1" s="18"/>
      <c r="BG1" s="18"/>
      <c r="BH1" s="18" t="s">
        <v>44</v>
      </c>
      <c r="BI1" s="18"/>
      <c r="BJ1" s="18"/>
      <c r="BK1" s="18" t="s">
        <v>23</v>
      </c>
      <c r="BL1" s="18"/>
      <c r="BM1" s="18"/>
      <c r="BN1" s="18" t="s">
        <v>16</v>
      </c>
      <c r="BO1" s="18"/>
      <c r="BP1" s="18"/>
      <c r="BQ1" s="18" t="s">
        <v>14</v>
      </c>
      <c r="BR1" s="18"/>
      <c r="BS1" s="18"/>
    </row>
    <row r="2" spans="1:71" x14ac:dyDescent="0.2">
      <c r="A2" s="1" t="s">
        <v>5</v>
      </c>
      <c r="B2" s="1">
        <f>SUM(C2:XC2)</f>
        <v>141</v>
      </c>
      <c r="C2" s="19" t="s">
        <v>5</v>
      </c>
      <c r="D2" s="19"/>
      <c r="E2" s="8">
        <f>COUNT(E6:E300)</f>
        <v>2</v>
      </c>
      <c r="F2" s="19" t="s">
        <v>5</v>
      </c>
      <c r="G2" s="19"/>
      <c r="H2" s="8">
        <f>COUNT(H6:H300)</f>
        <v>31</v>
      </c>
      <c r="I2" s="19" t="s">
        <v>5</v>
      </c>
      <c r="J2" s="19"/>
      <c r="K2" s="8">
        <f>COUNT(K6:K300)</f>
        <v>2</v>
      </c>
      <c r="L2" s="19" t="s">
        <v>5</v>
      </c>
      <c r="M2" s="19"/>
      <c r="N2" s="8">
        <f>COUNT(N6:N300)</f>
        <v>4</v>
      </c>
      <c r="O2" s="19" t="s">
        <v>5</v>
      </c>
      <c r="P2" s="19"/>
      <c r="Q2" s="8">
        <f>COUNT(Q6:Q300)</f>
        <v>18</v>
      </c>
      <c r="R2" s="19" t="s">
        <v>5</v>
      </c>
      <c r="S2" s="19"/>
      <c r="T2" s="8">
        <f>COUNT(T6:T300)</f>
        <v>8</v>
      </c>
      <c r="U2" s="19" t="s">
        <v>5</v>
      </c>
      <c r="V2" s="19"/>
      <c r="W2" s="8">
        <f>COUNT(W6:W300)</f>
        <v>2</v>
      </c>
      <c r="X2" s="19" t="s">
        <v>5</v>
      </c>
      <c r="Y2" s="19"/>
      <c r="Z2" s="8">
        <f>COUNT(Z6:Z300)</f>
        <v>5</v>
      </c>
      <c r="AA2" s="19" t="s">
        <v>5</v>
      </c>
      <c r="AB2" s="19"/>
      <c r="AC2" s="8">
        <f>COUNT(AC6:AC300)</f>
        <v>6</v>
      </c>
      <c r="AD2" s="19" t="s">
        <v>5</v>
      </c>
      <c r="AE2" s="19"/>
      <c r="AF2" s="8">
        <f>COUNT(AF6:AF300)</f>
        <v>18</v>
      </c>
      <c r="AG2" s="19" t="s">
        <v>5</v>
      </c>
      <c r="AH2" s="19"/>
      <c r="AI2" s="8">
        <f>COUNT(AI6:AI300)</f>
        <v>1</v>
      </c>
      <c r="AJ2" s="19" t="s">
        <v>5</v>
      </c>
      <c r="AK2" s="19"/>
      <c r="AL2" s="8">
        <f>COUNT(AL6:AL300)</f>
        <v>2</v>
      </c>
      <c r="AM2" s="19" t="s">
        <v>5</v>
      </c>
      <c r="AN2" s="19"/>
      <c r="AO2" s="8">
        <f>COUNT(AO6:AO300)</f>
        <v>1</v>
      </c>
      <c r="AP2" s="19" t="s">
        <v>5</v>
      </c>
      <c r="AQ2" s="19"/>
      <c r="AR2" s="8">
        <f>COUNT(AR6:AR300)</f>
        <v>1</v>
      </c>
      <c r="AS2" s="19" t="s">
        <v>5</v>
      </c>
      <c r="AT2" s="19"/>
      <c r="AU2" s="8">
        <f>COUNT(AU6:AU300)</f>
        <v>2</v>
      </c>
      <c r="AV2" s="19" t="s">
        <v>5</v>
      </c>
      <c r="AW2" s="19"/>
      <c r="AX2" s="8">
        <f>COUNT(AX6:AX300)</f>
        <v>1</v>
      </c>
      <c r="AY2" s="19" t="s">
        <v>5</v>
      </c>
      <c r="AZ2" s="19"/>
      <c r="BA2" s="8">
        <f>COUNT(BA6:BA300)</f>
        <v>2</v>
      </c>
      <c r="BB2" s="19" t="s">
        <v>5</v>
      </c>
      <c r="BC2" s="19"/>
      <c r="BD2" s="8">
        <f>COUNT(BD6:BD300)</f>
        <v>10</v>
      </c>
      <c r="BE2" s="19" t="s">
        <v>5</v>
      </c>
      <c r="BF2" s="19"/>
      <c r="BG2" s="8">
        <f>COUNT(BG6:BG300)</f>
        <v>15</v>
      </c>
      <c r="BH2" s="19" t="s">
        <v>5</v>
      </c>
      <c r="BI2" s="19"/>
      <c r="BJ2" s="8">
        <f>COUNT(BJ6:BJ300)</f>
        <v>2</v>
      </c>
      <c r="BK2" s="19" t="s">
        <v>5</v>
      </c>
      <c r="BL2" s="19"/>
      <c r="BM2" s="8">
        <f>COUNT(BM6:BM300)</f>
        <v>3</v>
      </c>
      <c r="BN2" s="19" t="s">
        <v>5</v>
      </c>
      <c r="BO2" s="19"/>
      <c r="BP2" s="8">
        <f>COUNT(BP6:BP300)</f>
        <v>2</v>
      </c>
      <c r="BQ2" s="19" t="s">
        <v>5</v>
      </c>
      <c r="BR2" s="19"/>
      <c r="BS2" s="8">
        <f>COUNT(BS6:BS300)</f>
        <v>3</v>
      </c>
    </row>
    <row r="3" spans="1:71" x14ac:dyDescent="0.2">
      <c r="A3" s="1" t="s">
        <v>4</v>
      </c>
      <c r="B3" s="1">
        <f>SUM(C3:XC3)</f>
        <v>22.617563576605626</v>
      </c>
      <c r="C3" s="19" t="s">
        <v>4</v>
      </c>
      <c r="D3" s="19"/>
      <c r="E3" s="8">
        <f>SUM(E6:E300)</f>
        <v>0.12224371584375002</v>
      </c>
      <c r="F3" s="19" t="s">
        <v>4</v>
      </c>
      <c r="G3" s="19"/>
      <c r="H3" s="8">
        <f>SUM(H6:H300)</f>
        <v>2.1446019924368751</v>
      </c>
      <c r="I3" s="19" t="s">
        <v>4</v>
      </c>
      <c r="J3" s="19"/>
      <c r="K3" s="8">
        <f>SUM(K6:K300)</f>
        <v>0.23003329456062505</v>
      </c>
      <c r="L3" s="19" t="s">
        <v>4</v>
      </c>
      <c r="M3" s="19"/>
      <c r="N3" s="8">
        <f>SUM(N6:N300)</f>
        <v>0.12270517581124998</v>
      </c>
      <c r="O3" s="19" t="s">
        <v>4</v>
      </c>
      <c r="P3" s="19"/>
      <c r="Q3" s="8">
        <f>SUM(Q6:Q300)</f>
        <v>3.9732855287437503</v>
      </c>
      <c r="R3" s="19" t="s">
        <v>4</v>
      </c>
      <c r="S3" s="19"/>
      <c r="T3" s="8">
        <f>SUM(T6:T300)</f>
        <v>3.3106869432100003</v>
      </c>
      <c r="U3" s="19" t="s">
        <v>4</v>
      </c>
      <c r="V3" s="19"/>
      <c r="W3" s="8">
        <f>SUM(W6:W300)</f>
        <v>7.6710368863124989E-2</v>
      </c>
      <c r="X3" s="19" t="s">
        <v>4</v>
      </c>
      <c r="Y3" s="19"/>
      <c r="Z3" s="8">
        <f>SUM(Z6:Z300)</f>
        <v>3.7189046619943755</v>
      </c>
      <c r="AA3" s="19" t="s">
        <v>4</v>
      </c>
      <c r="AB3" s="19"/>
      <c r="AC3" s="8">
        <f>SUM(AC6:AC300)</f>
        <v>0.46195752933562495</v>
      </c>
      <c r="AD3" s="19" t="s">
        <v>4</v>
      </c>
      <c r="AE3" s="19"/>
      <c r="AF3" s="8">
        <f>SUM(AF6:AF300)</f>
        <v>1.4996228159775005</v>
      </c>
      <c r="AG3" s="19" t="s">
        <v>4</v>
      </c>
      <c r="AH3" s="19"/>
      <c r="AI3" s="8">
        <f>SUM(AI6:AI300)</f>
        <v>0.13196949440000003</v>
      </c>
      <c r="AJ3" s="19" t="s">
        <v>4</v>
      </c>
      <c r="AK3" s="19"/>
      <c r="AL3" s="8">
        <f>SUM(AL6:AL300)</f>
        <v>0.11530160611874998</v>
      </c>
      <c r="AM3" s="19" t="s">
        <v>4</v>
      </c>
      <c r="AN3" s="19"/>
      <c r="AO3" s="8">
        <f>SUM(AO6:AO300)</f>
        <v>1.8992079295999997</v>
      </c>
      <c r="AP3" s="19" t="s">
        <v>4</v>
      </c>
      <c r="AQ3" s="19"/>
      <c r="AR3" s="8">
        <f>SUM(AR6:AR300)</f>
        <v>2.1120350477499997E-2</v>
      </c>
      <c r="AS3" s="19" t="s">
        <v>4</v>
      </c>
      <c r="AT3" s="19"/>
      <c r="AU3" s="8">
        <f>SUM(AU6:AU300)</f>
        <v>0.27350896902687505</v>
      </c>
      <c r="AV3" s="19" t="s">
        <v>4</v>
      </c>
      <c r="AW3" s="19"/>
      <c r="AX3" s="8">
        <f>SUM(AX6:AX300)</f>
        <v>0.200259244670625</v>
      </c>
      <c r="AY3" s="19" t="s">
        <v>4</v>
      </c>
      <c r="AZ3" s="19"/>
      <c r="BA3" s="8">
        <f>SUM(BA6:BA300)</f>
        <v>0.17810284531249998</v>
      </c>
      <c r="BB3" s="19" t="s">
        <v>4</v>
      </c>
      <c r="BC3" s="19"/>
      <c r="BD3" s="8">
        <f>SUM(BD6:BD300)</f>
        <v>2.5467898576887507</v>
      </c>
      <c r="BE3" s="19" t="s">
        <v>4</v>
      </c>
      <c r="BF3" s="19"/>
      <c r="BG3" s="8">
        <f>SUM(BG6:BG300)</f>
        <v>0.58153353085875004</v>
      </c>
      <c r="BH3" s="19" t="s">
        <v>4</v>
      </c>
      <c r="BI3" s="19"/>
      <c r="BJ3" s="8">
        <f>SUM(BJ6:BJ300)</f>
        <v>0.26519119503624999</v>
      </c>
      <c r="BK3" s="19" t="s">
        <v>4</v>
      </c>
      <c r="BL3" s="19"/>
      <c r="BM3" s="8">
        <f>SUM(BM6:BM300)</f>
        <v>0.25071162849750006</v>
      </c>
      <c r="BN3" s="19" t="s">
        <v>4</v>
      </c>
      <c r="BO3" s="19"/>
      <c r="BP3" s="8">
        <f>SUM(BP6:BP300)</f>
        <v>0.409170361156875</v>
      </c>
      <c r="BQ3" s="19" t="s">
        <v>4</v>
      </c>
      <c r="BR3" s="19"/>
      <c r="BS3" s="8">
        <f>SUM(BS6:BS300)</f>
        <v>8.3944536984375012E-2</v>
      </c>
    </row>
    <row r="4" spans="1:71" x14ac:dyDescent="0.2">
      <c r="C4" s="19" t="s">
        <v>3</v>
      </c>
      <c r="D4" s="19"/>
      <c r="E4" s="8">
        <f>AVERAGE(E6:E300)</f>
        <v>6.1121857921875009E-2</v>
      </c>
      <c r="F4" s="19" t="s">
        <v>3</v>
      </c>
      <c r="G4" s="19"/>
      <c r="H4" s="8">
        <f>AVERAGE(H6:H300)</f>
        <v>6.918070943344759E-2</v>
      </c>
      <c r="I4" s="19" t="s">
        <v>3</v>
      </c>
      <c r="J4" s="19"/>
      <c r="K4" s="8">
        <f>AVERAGE(K6:K300)</f>
        <v>0.11501664728031252</v>
      </c>
      <c r="L4" s="19" t="s">
        <v>3</v>
      </c>
      <c r="M4" s="19"/>
      <c r="N4" s="8">
        <f>AVERAGE(N6:N300)</f>
        <v>3.0676293952812496E-2</v>
      </c>
      <c r="O4" s="19" t="s">
        <v>3</v>
      </c>
      <c r="P4" s="19"/>
      <c r="Q4" s="8">
        <f>AVERAGE(Q6:Q300)</f>
        <v>0.22073808493020836</v>
      </c>
      <c r="R4" s="19" t="s">
        <v>3</v>
      </c>
      <c r="S4" s="19"/>
      <c r="T4" s="8">
        <f>AVERAGE(T6:T300)</f>
        <v>0.41383586790125004</v>
      </c>
      <c r="U4" s="19" t="s">
        <v>3</v>
      </c>
      <c r="V4" s="19"/>
      <c r="W4" s="8">
        <f>AVERAGE(W6:W300)</f>
        <v>3.8355184431562495E-2</v>
      </c>
      <c r="X4" s="19" t="s">
        <v>3</v>
      </c>
      <c r="Y4" s="19"/>
      <c r="Z4" s="8">
        <f>AVERAGE(Z6:Z300)</f>
        <v>0.74378093239887511</v>
      </c>
      <c r="AA4" s="19" t="s">
        <v>3</v>
      </c>
      <c r="AB4" s="19"/>
      <c r="AC4" s="8">
        <f>AVERAGE(AC6:AC300)</f>
        <v>7.6992921555937496E-2</v>
      </c>
      <c r="AD4" s="19" t="s">
        <v>3</v>
      </c>
      <c r="AE4" s="19"/>
      <c r="AF4" s="8">
        <f>AVERAGE(AF6:AF300)</f>
        <v>8.3312378665416686E-2</v>
      </c>
      <c r="AG4" s="19" t="s">
        <v>3</v>
      </c>
      <c r="AH4" s="19"/>
      <c r="AI4" s="8">
        <f>AVERAGE(AI6:AI300)</f>
        <v>0.13196949440000003</v>
      </c>
      <c r="AJ4" s="19" t="s">
        <v>3</v>
      </c>
      <c r="AK4" s="19"/>
      <c r="AL4" s="8">
        <f>AVERAGE(AL6:AL300)</f>
        <v>5.7650803059374991E-2</v>
      </c>
      <c r="AM4" s="19" t="s">
        <v>3</v>
      </c>
      <c r="AN4" s="19"/>
      <c r="AO4" s="8">
        <f>AVERAGE(AO6:AO300)</f>
        <v>1.8992079295999997</v>
      </c>
      <c r="AP4" s="19" t="s">
        <v>3</v>
      </c>
      <c r="AQ4" s="19"/>
      <c r="AR4" s="8">
        <f>AVERAGE(AR6:AR300)</f>
        <v>2.1120350477499997E-2</v>
      </c>
      <c r="AS4" s="19" t="s">
        <v>3</v>
      </c>
      <c r="AT4" s="19"/>
      <c r="AU4" s="8">
        <f>AVERAGE(AU6:AU300)</f>
        <v>0.13675448451343752</v>
      </c>
      <c r="AV4" s="19" t="s">
        <v>3</v>
      </c>
      <c r="AW4" s="19"/>
      <c r="AX4" s="8">
        <f>AVERAGE(AX6:AX300)</f>
        <v>0.200259244670625</v>
      </c>
      <c r="AY4" s="19" t="s">
        <v>3</v>
      </c>
      <c r="AZ4" s="19"/>
      <c r="BA4" s="8">
        <f>AVERAGE(BA6:BA300)</f>
        <v>8.905142265624999E-2</v>
      </c>
      <c r="BB4" s="19" t="s">
        <v>3</v>
      </c>
      <c r="BC4" s="19"/>
      <c r="BD4" s="8">
        <f>AVERAGE(BD6:BD300)</f>
        <v>0.25467898576887504</v>
      </c>
      <c r="BE4" s="19" t="s">
        <v>3</v>
      </c>
      <c r="BF4" s="19"/>
      <c r="BG4" s="8">
        <f>AVERAGE(BG6:BG300)</f>
        <v>3.8768902057250004E-2</v>
      </c>
      <c r="BH4" s="19" t="s">
        <v>3</v>
      </c>
      <c r="BI4" s="19"/>
      <c r="BJ4" s="8">
        <f>AVERAGE(BJ6:BJ300)</f>
        <v>0.132595597518125</v>
      </c>
      <c r="BK4" s="19" t="s">
        <v>3</v>
      </c>
      <c r="BL4" s="19"/>
      <c r="BM4" s="8">
        <f>AVERAGE(BM6:BM300)</f>
        <v>8.3570542832500025E-2</v>
      </c>
      <c r="BN4" s="19" t="s">
        <v>3</v>
      </c>
      <c r="BO4" s="19"/>
      <c r="BP4" s="8">
        <f>AVERAGE(BP6:BP300)</f>
        <v>0.2045851805784375</v>
      </c>
      <c r="BQ4" s="19" t="s">
        <v>3</v>
      </c>
      <c r="BR4" s="19"/>
      <c r="BS4" s="8">
        <f>AVERAGE(BS6:BS300)</f>
        <v>2.7981512328125003E-2</v>
      </c>
    </row>
    <row r="5" spans="1:71" x14ac:dyDescent="0.2"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  <c r="BK5" s="8" t="s">
        <v>2</v>
      </c>
      <c r="BL5" s="8" t="s">
        <v>1</v>
      </c>
      <c r="BM5" s="8" t="s">
        <v>0</v>
      </c>
      <c r="BN5" s="8" t="s">
        <v>2</v>
      </c>
      <c r="BO5" s="8" t="s">
        <v>1</v>
      </c>
      <c r="BP5" s="8" t="s">
        <v>0</v>
      </c>
      <c r="BQ5" s="8" t="s">
        <v>2</v>
      </c>
      <c r="BR5" s="8" t="s">
        <v>1</v>
      </c>
      <c r="BS5" s="8" t="s">
        <v>0</v>
      </c>
    </row>
    <row r="6" spans="1:71" x14ac:dyDescent="0.2">
      <c r="C6" s="3">
        <v>579.5</v>
      </c>
      <c r="D6" s="3">
        <v>15.49</v>
      </c>
      <c r="E6" s="2">
        <f>(C6*D6*D6)/1600000</f>
        <v>8.6903304968749998E-2</v>
      </c>
      <c r="F6" s="3">
        <v>19.34</v>
      </c>
      <c r="G6" s="3">
        <v>18.97</v>
      </c>
      <c r="H6" s="2">
        <f t="shared" ref="H6:H36" si="0">(F6*G6*G6)/1600000</f>
        <v>4.3498186287499992E-3</v>
      </c>
      <c r="I6" s="3">
        <v>482.33</v>
      </c>
      <c r="J6" s="3">
        <v>15.09</v>
      </c>
      <c r="K6" s="2">
        <f>(I6*J6*J6)/1600000</f>
        <v>6.8644029920625002E-2</v>
      </c>
      <c r="L6" s="3">
        <v>353.88</v>
      </c>
      <c r="M6" s="3">
        <v>13.73</v>
      </c>
      <c r="N6" s="2">
        <f>(L6*M6*M6)/1600000</f>
        <v>4.1694340657499995E-2</v>
      </c>
      <c r="O6" s="3">
        <v>501.89</v>
      </c>
      <c r="P6" s="3">
        <v>20.52</v>
      </c>
      <c r="Q6" s="2">
        <f t="shared" ref="Q6:Q23" si="1">(O6*P6*P6)/1600000</f>
        <v>0.13208188940999999</v>
      </c>
      <c r="R6" s="3">
        <v>727.92</v>
      </c>
      <c r="S6" s="3">
        <v>23.98</v>
      </c>
      <c r="T6" s="2">
        <f t="shared" ref="T6:T13" si="2">(R6*S6*S6)/1600000</f>
        <v>0.26161462998000001</v>
      </c>
      <c r="U6" s="3">
        <v>313.73</v>
      </c>
      <c r="V6" s="3">
        <v>16.21</v>
      </c>
      <c r="W6" s="2">
        <f>(U6*V6*V6)/1600000</f>
        <v>5.1523113183125004E-2</v>
      </c>
      <c r="X6" s="3">
        <v>613.79999999999995</v>
      </c>
      <c r="Y6" s="3">
        <v>14.61</v>
      </c>
      <c r="Z6" s="2">
        <f>(X6*Y6*Y6)/1600000</f>
        <v>8.1885561862499984E-2</v>
      </c>
      <c r="AA6" s="3">
        <v>301.29000000000002</v>
      </c>
      <c r="AB6" s="3">
        <v>14.27</v>
      </c>
      <c r="AC6" s="2">
        <f t="shared" ref="AC6:AC11" si="3">(AA6*AB6*AB6)/1600000</f>
        <v>3.8345347775625004E-2</v>
      </c>
      <c r="AD6" s="3">
        <v>284.89</v>
      </c>
      <c r="AE6" s="3">
        <v>28.73</v>
      </c>
      <c r="AF6" s="2">
        <f t="shared" ref="AF6:AF23" si="4">(AD6*AE6*AE6)/1600000</f>
        <v>0.146969925675625</v>
      </c>
      <c r="AG6" s="3">
        <v>521.6</v>
      </c>
      <c r="AH6" s="3">
        <v>20.12</v>
      </c>
      <c r="AI6" s="2">
        <f>(AG6*AH6*AH6)/1600000</f>
        <v>0.13196949440000003</v>
      </c>
      <c r="AJ6" s="3">
        <v>400.86</v>
      </c>
      <c r="AK6" s="3">
        <v>16.29</v>
      </c>
      <c r="AL6" s="2">
        <f>(AJ6*AK6*AK6)/1600000</f>
        <v>6.648365820374999E-2</v>
      </c>
      <c r="AM6" s="3">
        <v>1535.9</v>
      </c>
      <c r="AN6" s="3">
        <v>44.48</v>
      </c>
      <c r="AO6" s="2">
        <f>(AM6*AN6*AN6)/1600000</f>
        <v>1.8992079295999997</v>
      </c>
      <c r="AP6" s="3">
        <v>347.59</v>
      </c>
      <c r="AQ6" s="3">
        <v>9.86</v>
      </c>
      <c r="AR6" s="2">
        <f>(AP6*AQ6*AQ6)/1600000</f>
        <v>2.1120350477499997E-2</v>
      </c>
      <c r="AS6" s="3">
        <v>365.15</v>
      </c>
      <c r="AT6" s="3">
        <v>12.49</v>
      </c>
      <c r="AU6" s="2">
        <f>(AS6*AT6*AT6)/1600000</f>
        <v>3.5602147821874999E-2</v>
      </c>
      <c r="AV6" s="3">
        <v>380.73</v>
      </c>
      <c r="AW6" s="3">
        <v>29.01</v>
      </c>
      <c r="AX6" s="2">
        <f>(AV6*AW6*AW6)/1600000</f>
        <v>0.200259244670625</v>
      </c>
      <c r="AY6" s="3">
        <v>257.77</v>
      </c>
      <c r="AZ6" s="3">
        <v>28.3</v>
      </c>
      <c r="BA6" s="2">
        <f>(AY6*AZ6*AZ6)/1600000</f>
        <v>0.12902838456249999</v>
      </c>
      <c r="BB6" s="3">
        <v>645.99</v>
      </c>
      <c r="BC6" s="3">
        <v>23.82</v>
      </c>
      <c r="BD6" s="2">
        <f t="shared" ref="BD6:BD15" si="5">(BB6*BC6*BC6)/1600000</f>
        <v>0.22908113529750002</v>
      </c>
      <c r="BE6" s="3">
        <v>447.45</v>
      </c>
      <c r="BF6" s="3">
        <v>15.13</v>
      </c>
      <c r="BG6" s="2">
        <f t="shared" ref="BG6:BG20" si="6">(BE6*BF6*BF6)/1600000</f>
        <v>6.4018041815624996E-2</v>
      </c>
      <c r="BH6" s="3">
        <v>367.43</v>
      </c>
      <c r="BI6" s="3">
        <v>12.29</v>
      </c>
      <c r="BJ6" s="2">
        <f>(BH6*BI6*BI6)/1600000</f>
        <v>3.4686333539374996E-2</v>
      </c>
      <c r="BK6" s="3">
        <v>326.41000000000003</v>
      </c>
      <c r="BL6" s="3">
        <v>14.35</v>
      </c>
      <c r="BM6" s="2">
        <f>(BK6*BL6*BL6)/1600000</f>
        <v>4.2009477015624998E-2</v>
      </c>
      <c r="BN6" s="3">
        <v>434.16</v>
      </c>
      <c r="BO6" s="3">
        <v>23.66</v>
      </c>
      <c r="BP6" s="2">
        <f>(BN6*BO6*BO6)/1600000</f>
        <v>0.15190053606000001</v>
      </c>
      <c r="BQ6" s="3">
        <v>238.11</v>
      </c>
      <c r="BR6" s="3">
        <v>9.6300000000000008</v>
      </c>
      <c r="BS6" s="2">
        <f>(BQ6*BR6*BR6)/1600000</f>
        <v>1.3800989536875004E-2</v>
      </c>
    </row>
    <row r="7" spans="1:71" x14ac:dyDescent="0.2">
      <c r="C7" s="3">
        <v>319.66000000000003</v>
      </c>
      <c r="D7" s="3">
        <v>13.3</v>
      </c>
      <c r="E7" s="2">
        <f>(C7*D7*D7)/1600000</f>
        <v>3.5340410875000013E-2</v>
      </c>
      <c r="F7" s="3">
        <v>209.39</v>
      </c>
      <c r="G7" s="3">
        <v>20.79</v>
      </c>
      <c r="H7" s="2">
        <f t="shared" si="0"/>
        <v>5.656462768687498E-2</v>
      </c>
      <c r="I7" s="3">
        <v>669.44</v>
      </c>
      <c r="J7" s="3">
        <v>19.64</v>
      </c>
      <c r="K7" s="2">
        <f>(I7*J7*J7)/1600000</f>
        <v>0.16138926464000003</v>
      </c>
      <c r="L7" s="3">
        <v>401.32</v>
      </c>
      <c r="M7" s="3">
        <v>11.57</v>
      </c>
      <c r="N7" s="2">
        <f>(L7*M7*M7)/1600000</f>
        <v>3.3576663542500003E-2</v>
      </c>
      <c r="O7" s="3">
        <v>641.23</v>
      </c>
      <c r="P7" s="3">
        <v>23.22</v>
      </c>
      <c r="Q7" s="2">
        <f t="shared" si="1"/>
        <v>0.2160818457075</v>
      </c>
      <c r="R7" s="3">
        <v>912.61</v>
      </c>
      <c r="S7" s="3">
        <v>30.42</v>
      </c>
      <c r="T7" s="2">
        <f t="shared" si="2"/>
        <v>0.52781734775250011</v>
      </c>
      <c r="U7" s="3">
        <v>312.27999999999997</v>
      </c>
      <c r="V7" s="3">
        <v>11.36</v>
      </c>
      <c r="W7" s="2">
        <f>(U7*V7*V7)/1600000</f>
        <v>2.5187255679999992E-2</v>
      </c>
      <c r="X7" s="3">
        <v>1082.96</v>
      </c>
      <c r="Y7" s="3">
        <v>41.11</v>
      </c>
      <c r="Z7" s="2">
        <f>(X7*Y7*Y7)/1600000</f>
        <v>1.143898226885</v>
      </c>
      <c r="AA7" s="3">
        <v>405.08</v>
      </c>
      <c r="AB7" s="3">
        <v>18.97</v>
      </c>
      <c r="AC7" s="2">
        <f t="shared" si="3"/>
        <v>9.11077833575E-2</v>
      </c>
      <c r="AD7" s="3">
        <v>391.26</v>
      </c>
      <c r="AE7" s="3">
        <v>23.82</v>
      </c>
      <c r="AF7" s="2">
        <f t="shared" si="4"/>
        <v>0.13874871901499999</v>
      </c>
      <c r="AG7" s="3"/>
      <c r="AH7" s="3"/>
      <c r="AI7" s="2"/>
      <c r="AJ7" s="3">
        <v>275.76</v>
      </c>
      <c r="AK7" s="3">
        <v>16.829999999999998</v>
      </c>
      <c r="AL7" s="2">
        <f>(AJ7*AK7*AK7)/1600000</f>
        <v>4.8817947914999993E-2</v>
      </c>
      <c r="AM7" s="3"/>
      <c r="AN7" s="3"/>
      <c r="AO7" s="2"/>
      <c r="AP7" s="3"/>
      <c r="AQ7" s="3"/>
      <c r="AR7" s="2"/>
      <c r="AS7" s="3">
        <v>720.82</v>
      </c>
      <c r="AT7" s="3">
        <v>22.98</v>
      </c>
      <c r="AU7" s="2">
        <f>(AS7*AT7*AT7)/1600000</f>
        <v>0.23790682120500006</v>
      </c>
      <c r="AV7" s="3"/>
      <c r="AW7" s="3"/>
      <c r="AX7" s="2"/>
      <c r="AY7" s="3">
        <v>192.43</v>
      </c>
      <c r="AZ7" s="3">
        <v>20.2</v>
      </c>
      <c r="BA7" s="2">
        <f>(AY7*AZ7*AZ7)/1600000</f>
        <v>4.907446075E-2</v>
      </c>
      <c r="BB7" s="3">
        <v>352.94</v>
      </c>
      <c r="BC7" s="3">
        <v>17.100000000000001</v>
      </c>
      <c r="BD7" s="2">
        <f t="shared" si="5"/>
        <v>6.4501990875000012E-2</v>
      </c>
      <c r="BE7" s="3">
        <v>292.68</v>
      </c>
      <c r="BF7" s="3">
        <v>13.37</v>
      </c>
      <c r="BG7" s="2">
        <f t="shared" si="6"/>
        <v>3.26991059325E-2</v>
      </c>
      <c r="BH7" s="3">
        <v>577.54999999999995</v>
      </c>
      <c r="BI7" s="3">
        <v>25.27</v>
      </c>
      <c r="BJ7" s="2">
        <f>(BH7*BI7*BI7)/1600000</f>
        <v>0.23050486149687499</v>
      </c>
      <c r="BK7" s="3">
        <v>212.75</v>
      </c>
      <c r="BL7" s="3">
        <v>10.130000000000001</v>
      </c>
      <c r="BM7" s="2">
        <f>(BK7*BL7*BL7)/1600000</f>
        <v>1.3644840921875002E-2</v>
      </c>
      <c r="BN7" s="3">
        <v>529.95000000000005</v>
      </c>
      <c r="BO7" s="3">
        <v>27.87</v>
      </c>
      <c r="BP7" s="2">
        <f>(BN7*BO7*BO7)/1600000</f>
        <v>0.25726982509687502</v>
      </c>
      <c r="BQ7" s="3">
        <v>285.36</v>
      </c>
      <c r="BR7" s="3">
        <v>11.41</v>
      </c>
      <c r="BS7" s="2">
        <f>(BQ7*BR7*BR7)/1600000</f>
        <v>2.3219047635E-2</v>
      </c>
    </row>
    <row r="8" spans="1:71" x14ac:dyDescent="0.2">
      <c r="C8" s="3"/>
      <c r="D8" s="3"/>
      <c r="E8" s="2"/>
      <c r="F8" s="3">
        <v>257.36</v>
      </c>
      <c r="G8" s="3">
        <v>17.61</v>
      </c>
      <c r="H8" s="2">
        <f t="shared" si="0"/>
        <v>4.9881531284999989E-2</v>
      </c>
      <c r="I8" s="3"/>
      <c r="J8" s="3"/>
      <c r="K8" s="2"/>
      <c r="L8" s="3">
        <v>379.7</v>
      </c>
      <c r="M8" s="3">
        <v>11.23</v>
      </c>
      <c r="N8" s="2">
        <f>(L8*M8*M8)/1600000</f>
        <v>2.9928167581249998E-2</v>
      </c>
      <c r="O8" s="3">
        <v>868.22</v>
      </c>
      <c r="P8" s="3">
        <v>31.18</v>
      </c>
      <c r="Q8" s="2">
        <f t="shared" si="1"/>
        <v>0.527548053455</v>
      </c>
      <c r="R8" s="3">
        <v>997.95</v>
      </c>
      <c r="S8" s="3">
        <v>28.96</v>
      </c>
      <c r="T8" s="2">
        <f t="shared" si="2"/>
        <v>0.52310143920000007</v>
      </c>
      <c r="U8" s="3"/>
      <c r="V8" s="3"/>
      <c r="W8" s="2"/>
      <c r="X8" s="3">
        <v>1205.6500000000001</v>
      </c>
      <c r="Y8" s="3">
        <v>37.270000000000003</v>
      </c>
      <c r="Z8" s="2">
        <f>(X8*Y8*Y8)/1600000</f>
        <v>1.0466947680531253</v>
      </c>
      <c r="AA8" s="3">
        <v>251.16</v>
      </c>
      <c r="AB8" s="3">
        <v>14.16</v>
      </c>
      <c r="AC8" s="2">
        <f t="shared" si="3"/>
        <v>3.1474366560000001E-2</v>
      </c>
      <c r="AD8" s="3">
        <v>287.94</v>
      </c>
      <c r="AE8" s="3">
        <v>14.7</v>
      </c>
      <c r="AF8" s="2">
        <f t="shared" si="4"/>
        <v>3.8888096625E-2</v>
      </c>
      <c r="AG8" s="3"/>
      <c r="AH8" s="3"/>
      <c r="AI8" s="2"/>
      <c r="AJ8" s="3"/>
      <c r="AK8" s="3"/>
      <c r="AL8" s="2"/>
      <c r="AM8" s="3"/>
      <c r="AN8" s="3"/>
      <c r="AO8" s="2"/>
      <c r="AP8" s="3"/>
      <c r="AQ8" s="3"/>
      <c r="AR8" s="2"/>
      <c r="AS8" s="3"/>
      <c r="AT8" s="3"/>
      <c r="AU8" s="2"/>
      <c r="AV8" s="3"/>
      <c r="AW8" s="3"/>
      <c r="AX8" s="2"/>
      <c r="AY8" s="3"/>
      <c r="AZ8" s="3"/>
      <c r="BA8" s="2"/>
      <c r="BB8" s="3">
        <v>692.93</v>
      </c>
      <c r="BC8" s="3">
        <v>31.43</v>
      </c>
      <c r="BD8" s="2">
        <f t="shared" si="5"/>
        <v>0.42781710409812496</v>
      </c>
      <c r="BE8" s="3">
        <v>117.67</v>
      </c>
      <c r="BF8" s="3">
        <v>9.74</v>
      </c>
      <c r="BG8" s="2">
        <f t="shared" si="6"/>
        <v>6.9769190575000002E-3</v>
      </c>
      <c r="BH8" s="3"/>
      <c r="BI8" s="3"/>
      <c r="BJ8" s="2"/>
      <c r="BK8" s="3">
        <v>689.19</v>
      </c>
      <c r="BL8" s="3">
        <v>21.28</v>
      </c>
      <c r="BM8" s="2">
        <f>(BK8*BL8*BL8)/1600000</f>
        <v>0.19505731056000003</v>
      </c>
      <c r="BN8" s="3"/>
      <c r="BO8" s="3"/>
      <c r="BP8" s="2"/>
      <c r="BQ8" s="3">
        <v>451.17</v>
      </c>
      <c r="BR8" s="3">
        <v>12.9</v>
      </c>
      <c r="BS8" s="2">
        <f>(BQ8*BR8*BR8)/1600000</f>
        <v>4.6924499812500006E-2</v>
      </c>
    </row>
    <row r="9" spans="1:71" x14ac:dyDescent="0.2">
      <c r="C9" s="3"/>
      <c r="D9" s="3"/>
      <c r="E9" s="2"/>
      <c r="F9" s="3">
        <v>295.45</v>
      </c>
      <c r="G9" s="3">
        <v>13.79</v>
      </c>
      <c r="H9" s="2">
        <f t="shared" si="0"/>
        <v>3.5114989590624993E-2</v>
      </c>
      <c r="I9" s="3"/>
      <c r="J9" s="3"/>
      <c r="K9" s="2"/>
      <c r="L9" s="3">
        <v>321.08</v>
      </c>
      <c r="M9" s="3">
        <v>9.34</v>
      </c>
      <c r="N9" s="2">
        <f>(L9*M9*M9)/1600000</f>
        <v>1.7506004029999998E-2</v>
      </c>
      <c r="O9" s="3">
        <v>626.20000000000005</v>
      </c>
      <c r="P9" s="3">
        <v>20.49</v>
      </c>
      <c r="Q9" s="2">
        <f t="shared" si="1"/>
        <v>0.16431491913749999</v>
      </c>
      <c r="R9" s="3">
        <v>658.62</v>
      </c>
      <c r="S9" s="3">
        <v>22.52</v>
      </c>
      <c r="T9" s="2">
        <f t="shared" si="2"/>
        <v>0.20876212278</v>
      </c>
      <c r="U9" s="3"/>
      <c r="V9" s="3"/>
      <c r="W9" s="2"/>
      <c r="X9" s="3">
        <v>1285.6500000000001</v>
      </c>
      <c r="Y9" s="3">
        <v>29.32</v>
      </c>
      <c r="Z9" s="2">
        <f>(X9*Y9*Y9)/1600000</f>
        <v>0.69076560284999999</v>
      </c>
      <c r="AA9" s="3">
        <v>226</v>
      </c>
      <c r="AB9" s="3">
        <v>13.81</v>
      </c>
      <c r="AC9" s="2">
        <f t="shared" si="3"/>
        <v>2.6938649125000002E-2</v>
      </c>
      <c r="AD9" s="3">
        <v>329.49</v>
      </c>
      <c r="AE9" s="3">
        <v>21.36</v>
      </c>
      <c r="AF9" s="2">
        <f t="shared" si="4"/>
        <v>9.3956050439999994E-2</v>
      </c>
      <c r="AG9" s="3"/>
      <c r="AH9" s="3"/>
      <c r="AI9" s="2"/>
      <c r="AJ9" s="3"/>
      <c r="AK9" s="3"/>
      <c r="AL9" s="2"/>
      <c r="AM9" s="3"/>
      <c r="AN9" s="3"/>
      <c r="AO9" s="2"/>
      <c r="AP9" s="3"/>
      <c r="AQ9" s="3"/>
      <c r="AR9" s="2"/>
      <c r="AS9" s="3"/>
      <c r="AT9" s="3"/>
      <c r="AU9" s="2"/>
      <c r="AV9" s="3"/>
      <c r="AW9" s="3"/>
      <c r="AX9" s="2"/>
      <c r="AY9" s="3"/>
      <c r="AZ9" s="3"/>
      <c r="BA9" s="2"/>
      <c r="BB9" s="3">
        <v>322.42</v>
      </c>
      <c r="BC9" s="3">
        <v>17.79</v>
      </c>
      <c r="BD9" s="2">
        <f t="shared" si="5"/>
        <v>6.3775502201250001E-2</v>
      </c>
      <c r="BE9" s="3">
        <v>449.02</v>
      </c>
      <c r="BF9" s="3">
        <v>13.57</v>
      </c>
      <c r="BG9" s="2">
        <f t="shared" si="6"/>
        <v>5.1677964373750003E-2</v>
      </c>
      <c r="BH9" s="3"/>
      <c r="BI9" s="3"/>
      <c r="BJ9" s="2"/>
      <c r="BK9" s="3"/>
      <c r="BL9" s="3"/>
      <c r="BM9" s="2"/>
      <c r="BN9" s="3"/>
      <c r="BO9" s="3"/>
      <c r="BP9" s="2"/>
      <c r="BQ9" s="3"/>
      <c r="BR9" s="3"/>
      <c r="BS9" s="2"/>
    </row>
    <row r="10" spans="1:71" x14ac:dyDescent="0.2">
      <c r="C10" s="3"/>
      <c r="D10" s="3"/>
      <c r="E10" s="2"/>
      <c r="F10" s="3">
        <v>220.56</v>
      </c>
      <c r="G10" s="3">
        <v>20.87</v>
      </c>
      <c r="H10" s="2">
        <f t="shared" si="0"/>
        <v>6.0041518665000002E-2</v>
      </c>
      <c r="I10" s="3"/>
      <c r="J10" s="3"/>
      <c r="K10" s="2"/>
      <c r="L10" s="3"/>
      <c r="M10" s="3"/>
      <c r="N10" s="2"/>
      <c r="O10" s="3">
        <v>591.11</v>
      </c>
      <c r="P10" s="3">
        <v>17.48</v>
      </c>
      <c r="Q10" s="2">
        <f t="shared" si="1"/>
        <v>0.11288368559</v>
      </c>
      <c r="R10" s="3">
        <v>531.09</v>
      </c>
      <c r="S10" s="3">
        <v>16.920000000000002</v>
      </c>
      <c r="T10" s="2">
        <f t="shared" si="2"/>
        <v>9.502740261000002E-2</v>
      </c>
      <c r="U10" s="3"/>
      <c r="V10" s="3"/>
      <c r="W10" s="2"/>
      <c r="X10" s="3">
        <v>1127.26</v>
      </c>
      <c r="Y10" s="3">
        <v>32.75</v>
      </c>
      <c r="Z10" s="2">
        <f>(X10*Y10*Y10)/1600000</f>
        <v>0.75566050234374993</v>
      </c>
      <c r="AA10" s="3">
        <v>2420.0700000000002</v>
      </c>
      <c r="AB10" s="3">
        <v>12.9</v>
      </c>
      <c r="AC10" s="2">
        <f t="shared" si="3"/>
        <v>0.2517024054375</v>
      </c>
      <c r="AD10" s="3">
        <v>176.11</v>
      </c>
      <c r="AE10" s="3">
        <v>14.77</v>
      </c>
      <c r="AF10" s="2">
        <f t="shared" si="4"/>
        <v>2.4011817011874999E-2</v>
      </c>
      <c r="AG10" s="3"/>
      <c r="AH10" s="3"/>
      <c r="AI10" s="2"/>
      <c r="AJ10" s="3"/>
      <c r="AK10" s="3"/>
      <c r="AL10" s="2"/>
      <c r="AM10" s="3"/>
      <c r="AN10" s="3"/>
      <c r="AO10" s="2"/>
      <c r="AP10" s="3"/>
      <c r="AQ10" s="3"/>
      <c r="AR10" s="2"/>
      <c r="AS10" s="3"/>
      <c r="AT10" s="3"/>
      <c r="AU10" s="2"/>
      <c r="AV10" s="3"/>
      <c r="AW10" s="3"/>
      <c r="AX10" s="2"/>
      <c r="AY10" s="3"/>
      <c r="AZ10" s="3"/>
      <c r="BA10" s="2"/>
      <c r="BB10" s="3">
        <v>725.91</v>
      </c>
      <c r="BC10" s="3">
        <v>34.380000000000003</v>
      </c>
      <c r="BD10" s="2">
        <f t="shared" si="5"/>
        <v>0.53625893487750009</v>
      </c>
      <c r="BE10" s="3">
        <v>407.12</v>
      </c>
      <c r="BF10" s="3">
        <v>20.6</v>
      </c>
      <c r="BG10" s="2">
        <f t="shared" si="6"/>
        <v>0.107978402</v>
      </c>
      <c r="BH10" s="3"/>
      <c r="BI10" s="3"/>
      <c r="BJ10" s="2"/>
      <c r="BK10" s="3"/>
      <c r="BL10" s="3"/>
      <c r="BM10" s="2"/>
      <c r="BN10" s="3"/>
      <c r="BO10" s="3"/>
      <c r="BP10" s="2"/>
      <c r="BQ10" s="3"/>
      <c r="BR10" s="3"/>
      <c r="BS10" s="2"/>
    </row>
    <row r="11" spans="1:71" x14ac:dyDescent="0.2">
      <c r="C11" s="3"/>
      <c r="D11" s="3"/>
      <c r="E11" s="2"/>
      <c r="F11" s="3">
        <v>314.63</v>
      </c>
      <c r="G11" s="3">
        <v>16.8</v>
      </c>
      <c r="H11" s="2">
        <f t="shared" si="0"/>
        <v>5.5500732000000004E-2</v>
      </c>
      <c r="I11" s="3"/>
      <c r="J11" s="3"/>
      <c r="K11" s="2"/>
      <c r="L11" s="3"/>
      <c r="M11" s="3"/>
      <c r="N11" s="2"/>
      <c r="O11" s="3">
        <v>334.27</v>
      </c>
      <c r="P11" s="3">
        <v>13.76</v>
      </c>
      <c r="Q11" s="2">
        <f t="shared" si="1"/>
        <v>3.9556174719999997E-2</v>
      </c>
      <c r="R11" s="3">
        <v>991.51</v>
      </c>
      <c r="S11" s="3">
        <v>28.73</v>
      </c>
      <c r="T11" s="2">
        <f t="shared" si="2"/>
        <v>0.51150321529937504</v>
      </c>
      <c r="U11" s="3"/>
      <c r="V11" s="3"/>
      <c r="W11" s="2"/>
      <c r="X11" s="3"/>
      <c r="Y11" s="3"/>
      <c r="Z11" s="2"/>
      <c r="AA11" s="3">
        <v>231.48</v>
      </c>
      <c r="AB11" s="3">
        <v>12.44</v>
      </c>
      <c r="AC11" s="2">
        <f t="shared" si="3"/>
        <v>2.2388977080000001E-2</v>
      </c>
      <c r="AD11" s="3">
        <v>216</v>
      </c>
      <c r="AE11" s="3">
        <v>21.86</v>
      </c>
      <c r="AF11" s="2">
        <f t="shared" si="4"/>
        <v>6.4511046000000002E-2</v>
      </c>
      <c r="AG11" s="3"/>
      <c r="AH11" s="3"/>
      <c r="AI11" s="2"/>
      <c r="AJ11" s="3"/>
      <c r="AK11" s="3"/>
      <c r="AL11" s="2"/>
      <c r="AM11" s="3"/>
      <c r="AN11" s="3"/>
      <c r="AO11" s="2"/>
      <c r="AP11" s="3"/>
      <c r="AQ11" s="3"/>
      <c r="AR11" s="2"/>
      <c r="AS11" s="3"/>
      <c r="AT11" s="3"/>
      <c r="AU11" s="2"/>
      <c r="AV11" s="3"/>
      <c r="AW11" s="3"/>
      <c r="AX11" s="2"/>
      <c r="AY11" s="3"/>
      <c r="AZ11" s="3"/>
      <c r="BA11" s="2"/>
      <c r="BB11" s="3">
        <v>648.27</v>
      </c>
      <c r="BC11" s="3">
        <v>28.76</v>
      </c>
      <c r="BD11" s="2">
        <f t="shared" si="5"/>
        <v>0.33513030747000006</v>
      </c>
      <c r="BE11" s="3">
        <v>443.78</v>
      </c>
      <c r="BF11" s="3">
        <v>18.21</v>
      </c>
      <c r="BG11" s="2">
        <f t="shared" si="6"/>
        <v>9.1974542186249994E-2</v>
      </c>
      <c r="BH11" s="3"/>
      <c r="BI11" s="3"/>
      <c r="BJ11" s="2"/>
      <c r="BK11" s="3"/>
      <c r="BL11" s="3"/>
      <c r="BM11" s="2"/>
      <c r="BN11" s="3"/>
      <c r="BO11" s="3"/>
      <c r="BP11" s="2"/>
      <c r="BQ11" s="3"/>
      <c r="BR11" s="3"/>
      <c r="BS11" s="2"/>
    </row>
    <row r="12" spans="1:71" x14ac:dyDescent="0.2">
      <c r="C12" s="3"/>
      <c r="D12" s="3"/>
      <c r="E12" s="2"/>
      <c r="F12" s="3">
        <v>362.39</v>
      </c>
      <c r="G12" s="3">
        <v>19.98</v>
      </c>
      <c r="H12" s="2">
        <f t="shared" si="0"/>
        <v>9.0416395597499991E-2</v>
      </c>
      <c r="I12" s="3"/>
      <c r="J12" s="3"/>
      <c r="K12" s="2"/>
      <c r="L12" s="3"/>
      <c r="M12" s="3"/>
      <c r="N12" s="2"/>
      <c r="O12" s="3">
        <v>722.35</v>
      </c>
      <c r="P12" s="3">
        <v>23.73</v>
      </c>
      <c r="Q12" s="2">
        <f t="shared" si="1"/>
        <v>0.254227877071875</v>
      </c>
      <c r="R12" s="3">
        <v>976.21</v>
      </c>
      <c r="S12" s="3">
        <v>30.39</v>
      </c>
      <c r="T12" s="2">
        <f t="shared" si="2"/>
        <v>0.56348799721312504</v>
      </c>
      <c r="U12" s="3"/>
      <c r="V12" s="3"/>
      <c r="W12" s="2"/>
      <c r="X12" s="3"/>
      <c r="Y12" s="3"/>
      <c r="Z12" s="2"/>
      <c r="AA12" s="3"/>
      <c r="AB12" s="3"/>
      <c r="AC12" s="2"/>
      <c r="AD12" s="3">
        <v>327.92</v>
      </c>
      <c r="AE12" s="3">
        <v>14.8</v>
      </c>
      <c r="AF12" s="2">
        <f t="shared" si="4"/>
        <v>4.489224800000001E-2</v>
      </c>
      <c r="AG12" s="3"/>
      <c r="AH12" s="3"/>
      <c r="AI12" s="2"/>
      <c r="AJ12" s="3"/>
      <c r="AK12" s="3"/>
      <c r="AL12" s="2"/>
      <c r="AM12" s="3"/>
      <c r="AN12" s="3"/>
      <c r="AO12" s="2"/>
      <c r="AP12" s="3"/>
      <c r="AQ12" s="3"/>
      <c r="AR12" s="2"/>
      <c r="AS12" s="3"/>
      <c r="AT12" s="3"/>
      <c r="AU12" s="2"/>
      <c r="AV12" s="3"/>
      <c r="AW12" s="3"/>
      <c r="AX12" s="2"/>
      <c r="AY12" s="3"/>
      <c r="AZ12" s="3"/>
      <c r="BA12" s="2"/>
      <c r="BB12" s="3">
        <v>772.44</v>
      </c>
      <c r="BC12" s="3">
        <v>36.33</v>
      </c>
      <c r="BD12" s="2">
        <f t="shared" si="5"/>
        <v>0.63719970819750005</v>
      </c>
      <c r="BE12" s="3">
        <v>299.2</v>
      </c>
      <c r="BF12" s="3">
        <v>13.79</v>
      </c>
      <c r="BG12" s="2">
        <f t="shared" si="6"/>
        <v>3.5560686699999997E-2</v>
      </c>
      <c r="BH12" s="3"/>
      <c r="BI12" s="3"/>
      <c r="BJ12" s="2"/>
      <c r="BK12" s="3"/>
      <c r="BL12" s="3"/>
      <c r="BM12" s="2"/>
      <c r="BN12" s="3"/>
      <c r="BO12" s="3"/>
      <c r="BP12" s="2"/>
      <c r="BQ12" s="3"/>
      <c r="BR12" s="3"/>
      <c r="BS12" s="2"/>
    </row>
    <row r="13" spans="1:71" x14ac:dyDescent="0.2">
      <c r="C13" s="3"/>
      <c r="D13" s="3"/>
      <c r="E13" s="2"/>
      <c r="F13" s="3">
        <v>384.36</v>
      </c>
      <c r="G13" s="3">
        <v>16.88</v>
      </c>
      <c r="H13" s="2">
        <f t="shared" si="0"/>
        <v>6.8448366240000003E-2</v>
      </c>
      <c r="I13" s="3"/>
      <c r="J13" s="3"/>
      <c r="K13" s="2"/>
      <c r="L13" s="3"/>
      <c r="M13" s="3"/>
      <c r="N13" s="2"/>
      <c r="O13" s="3">
        <v>717.21</v>
      </c>
      <c r="P13" s="3">
        <v>26.64</v>
      </c>
      <c r="Q13" s="2">
        <f t="shared" si="1"/>
        <v>0.31812279876000005</v>
      </c>
      <c r="R13" s="3">
        <v>1190.6400000000001</v>
      </c>
      <c r="S13" s="3">
        <v>28.85</v>
      </c>
      <c r="T13" s="2">
        <f t="shared" si="2"/>
        <v>0.61937278837500021</v>
      </c>
      <c r="U13" s="3"/>
      <c r="V13" s="3"/>
      <c r="W13" s="2"/>
      <c r="X13" s="3"/>
      <c r="Y13" s="3"/>
      <c r="Z13" s="2"/>
      <c r="AA13" s="3"/>
      <c r="AB13" s="3"/>
      <c r="AC13" s="2"/>
      <c r="AD13" s="3">
        <v>383.33</v>
      </c>
      <c r="AE13" s="3">
        <v>23.18</v>
      </c>
      <c r="AF13" s="2">
        <f t="shared" si="4"/>
        <v>0.12872997643249998</v>
      </c>
      <c r="AG13" s="3"/>
      <c r="AH13" s="3"/>
      <c r="AI13" s="2"/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/>
      <c r="AW13" s="3"/>
      <c r="AX13" s="2"/>
      <c r="AY13" s="3"/>
      <c r="AZ13" s="3"/>
      <c r="BA13" s="2"/>
      <c r="BB13" s="3">
        <v>336.32</v>
      </c>
      <c r="BC13" s="3">
        <v>19.2</v>
      </c>
      <c r="BD13" s="2">
        <f t="shared" si="5"/>
        <v>7.7488128000000003E-2</v>
      </c>
      <c r="BE13" s="3">
        <v>178.67</v>
      </c>
      <c r="BF13" s="3">
        <v>9.4</v>
      </c>
      <c r="BG13" s="2">
        <f t="shared" si="6"/>
        <v>9.8670507500000001E-3</v>
      </c>
      <c r="BH13" s="3"/>
      <c r="BI13" s="3"/>
      <c r="BJ13" s="2"/>
      <c r="BK13" s="3"/>
      <c r="BL13" s="3"/>
      <c r="BM13" s="2"/>
      <c r="BN13" s="3"/>
      <c r="BO13" s="3"/>
      <c r="BP13" s="2"/>
      <c r="BQ13" s="3"/>
      <c r="BR13" s="3"/>
      <c r="BS13" s="2"/>
    </row>
    <row r="14" spans="1:71" x14ac:dyDescent="0.2">
      <c r="C14" s="3"/>
      <c r="D14" s="3"/>
      <c r="E14" s="2"/>
      <c r="F14" s="3">
        <v>407.1</v>
      </c>
      <c r="G14" s="3">
        <v>18.8</v>
      </c>
      <c r="H14" s="2">
        <f t="shared" si="0"/>
        <v>8.9928390000000011E-2</v>
      </c>
      <c r="I14" s="3"/>
      <c r="J14" s="3"/>
      <c r="K14" s="2"/>
      <c r="L14" s="3"/>
      <c r="M14" s="3"/>
      <c r="N14" s="2"/>
      <c r="O14" s="3">
        <v>731.65</v>
      </c>
      <c r="P14" s="3">
        <v>29.33</v>
      </c>
      <c r="Q14" s="2">
        <f t="shared" si="1"/>
        <v>0.39337569230312491</v>
      </c>
      <c r="R14" s="3"/>
      <c r="S14" s="3"/>
      <c r="T14" s="2"/>
      <c r="U14" s="3"/>
      <c r="V14" s="3"/>
      <c r="W14" s="2"/>
      <c r="X14" s="3"/>
      <c r="Y14" s="3"/>
      <c r="Z14" s="2"/>
      <c r="AA14" s="3"/>
      <c r="AB14" s="3"/>
      <c r="AC14" s="2"/>
      <c r="AD14" s="3">
        <v>318.01</v>
      </c>
      <c r="AE14" s="3">
        <v>17.25</v>
      </c>
      <c r="AF14" s="2">
        <f t="shared" si="4"/>
        <v>5.9142406640624992E-2</v>
      </c>
      <c r="AG14" s="3"/>
      <c r="AH14" s="3"/>
      <c r="AI14" s="2"/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/>
      <c r="AW14" s="3"/>
      <c r="AX14" s="2"/>
      <c r="AY14" s="3"/>
      <c r="AZ14" s="3"/>
      <c r="BA14" s="2"/>
      <c r="BB14" s="3">
        <v>396.37</v>
      </c>
      <c r="BC14" s="3">
        <v>20.9</v>
      </c>
      <c r="BD14" s="2">
        <f t="shared" si="5"/>
        <v>0.10821148731249999</v>
      </c>
      <c r="BE14" s="3">
        <v>230.22</v>
      </c>
      <c r="BF14" s="3">
        <v>10.57</v>
      </c>
      <c r="BG14" s="2">
        <f t="shared" si="6"/>
        <v>1.607581654875E-2</v>
      </c>
      <c r="BH14" s="3"/>
      <c r="BI14" s="3"/>
      <c r="BJ14" s="2"/>
      <c r="BK14" s="3"/>
      <c r="BL14" s="3"/>
      <c r="BM14" s="2"/>
      <c r="BN14" s="3"/>
      <c r="BO14" s="3"/>
      <c r="BP14" s="2"/>
      <c r="BQ14" s="3"/>
      <c r="BR14" s="3"/>
      <c r="BS14" s="2"/>
    </row>
    <row r="15" spans="1:71" x14ac:dyDescent="0.2">
      <c r="C15" s="3"/>
      <c r="D15" s="3"/>
      <c r="E15" s="2"/>
      <c r="F15" s="3">
        <v>358.72</v>
      </c>
      <c r="G15" s="3">
        <v>18.11</v>
      </c>
      <c r="H15" s="2">
        <f t="shared" si="0"/>
        <v>7.3531344820000011E-2</v>
      </c>
      <c r="I15" s="3"/>
      <c r="J15" s="3"/>
      <c r="K15" s="2"/>
      <c r="L15" s="3"/>
      <c r="M15" s="3"/>
      <c r="N15" s="2"/>
      <c r="O15" s="3">
        <v>497</v>
      </c>
      <c r="P15" s="3">
        <v>18.03</v>
      </c>
      <c r="Q15" s="2">
        <f t="shared" si="1"/>
        <v>0.10097825456250001</v>
      </c>
      <c r="R15" s="3"/>
      <c r="S15" s="3"/>
      <c r="T15" s="2"/>
      <c r="U15" s="3"/>
      <c r="V15" s="3"/>
      <c r="W15" s="2"/>
      <c r="X15" s="3"/>
      <c r="Y15" s="3"/>
      <c r="Z15" s="2"/>
      <c r="AA15" s="3"/>
      <c r="AB15" s="3"/>
      <c r="AC15" s="2"/>
      <c r="AD15" s="3">
        <v>294.62</v>
      </c>
      <c r="AE15" s="3">
        <v>19.260000000000002</v>
      </c>
      <c r="AF15" s="2">
        <f t="shared" si="4"/>
        <v>6.830536369500001E-2</v>
      </c>
      <c r="AG15" s="3"/>
      <c r="AH15" s="3"/>
      <c r="AI15" s="2"/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/>
      <c r="AW15" s="3"/>
      <c r="AX15" s="2"/>
      <c r="AY15" s="3"/>
      <c r="AZ15" s="3"/>
      <c r="BA15" s="2"/>
      <c r="BB15" s="3">
        <v>319.91000000000003</v>
      </c>
      <c r="BC15" s="3">
        <v>18.350000000000001</v>
      </c>
      <c r="BD15" s="2">
        <f t="shared" si="5"/>
        <v>6.7325559359375023E-2</v>
      </c>
      <c r="BE15" s="3">
        <v>276.04000000000002</v>
      </c>
      <c r="BF15" s="3">
        <v>12.14</v>
      </c>
      <c r="BG15" s="2">
        <f t="shared" si="6"/>
        <v>2.5426665490000003E-2</v>
      </c>
      <c r="BH15" s="3"/>
      <c r="BI15" s="3"/>
      <c r="BJ15" s="2"/>
      <c r="BK15" s="3"/>
      <c r="BL15" s="3"/>
      <c r="BM15" s="2"/>
      <c r="BN15" s="3"/>
      <c r="BO15" s="3"/>
      <c r="BP15" s="2"/>
      <c r="BQ15" s="3"/>
      <c r="BR15" s="3"/>
      <c r="BS15" s="2"/>
    </row>
    <row r="16" spans="1:71" x14ac:dyDescent="0.2">
      <c r="C16" s="3"/>
      <c r="D16" s="3"/>
      <c r="E16" s="2"/>
      <c r="F16" s="3">
        <v>353.69</v>
      </c>
      <c r="G16" s="3">
        <v>18.2</v>
      </c>
      <c r="H16" s="2">
        <f t="shared" si="0"/>
        <v>7.3222672249999982E-2</v>
      </c>
      <c r="I16" s="3"/>
      <c r="J16" s="3"/>
      <c r="K16" s="2"/>
      <c r="L16" s="3"/>
      <c r="M16" s="3"/>
      <c r="N16" s="2"/>
      <c r="O16" s="3">
        <v>476.52</v>
      </c>
      <c r="P16" s="3">
        <v>23.53</v>
      </c>
      <c r="Q16" s="2">
        <f t="shared" si="1"/>
        <v>0.1648940575425</v>
      </c>
      <c r="R16" s="3"/>
      <c r="S16" s="3"/>
      <c r="T16" s="2"/>
      <c r="U16" s="3"/>
      <c r="V16" s="3"/>
      <c r="W16" s="2"/>
      <c r="X16" s="3"/>
      <c r="Y16" s="3"/>
      <c r="Z16" s="2"/>
      <c r="AA16" s="3"/>
      <c r="AB16" s="3"/>
      <c r="AC16" s="2"/>
      <c r="AD16" s="3">
        <v>286.98</v>
      </c>
      <c r="AE16" s="3">
        <v>20.059999999999999</v>
      </c>
      <c r="AF16" s="2">
        <f t="shared" si="4"/>
        <v>7.2176115704999988E-2</v>
      </c>
      <c r="AG16" s="3"/>
      <c r="AH16" s="3"/>
      <c r="AI16" s="2"/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/>
      <c r="AW16" s="3"/>
      <c r="AX16" s="2"/>
      <c r="AY16" s="3"/>
      <c r="AZ16" s="3"/>
      <c r="BA16" s="2"/>
      <c r="BB16" s="3"/>
      <c r="BC16" s="3"/>
      <c r="BD16" s="2"/>
      <c r="BE16" s="3">
        <v>409.91</v>
      </c>
      <c r="BF16" s="3">
        <v>16.91</v>
      </c>
      <c r="BG16" s="2">
        <f t="shared" si="6"/>
        <v>7.3258116044375016E-2</v>
      </c>
      <c r="BH16" s="3"/>
      <c r="BI16" s="3"/>
      <c r="BJ16" s="2"/>
      <c r="BK16" s="3"/>
      <c r="BL16" s="3"/>
      <c r="BM16" s="2"/>
      <c r="BN16" s="3"/>
      <c r="BO16" s="3"/>
      <c r="BP16" s="2"/>
      <c r="BQ16" s="3"/>
      <c r="BR16" s="3"/>
      <c r="BS16" s="2"/>
    </row>
    <row r="17" spans="3:71" x14ac:dyDescent="0.2">
      <c r="C17" s="3"/>
      <c r="D17" s="3"/>
      <c r="E17" s="2"/>
      <c r="F17" s="3">
        <v>271.57</v>
      </c>
      <c r="G17" s="3">
        <v>16.84</v>
      </c>
      <c r="H17" s="2">
        <f t="shared" si="0"/>
        <v>4.8133338370000001E-2</v>
      </c>
      <c r="I17" s="3"/>
      <c r="J17" s="3"/>
      <c r="K17" s="2"/>
      <c r="L17" s="3"/>
      <c r="M17" s="3"/>
      <c r="N17" s="2"/>
      <c r="O17" s="3">
        <v>701.62</v>
      </c>
      <c r="P17" s="3">
        <v>24.93</v>
      </c>
      <c r="Q17" s="2">
        <f t="shared" si="1"/>
        <v>0.27253766746125002</v>
      </c>
      <c r="R17" s="3"/>
      <c r="S17" s="3"/>
      <c r="T17" s="2"/>
      <c r="U17" s="3"/>
      <c r="V17" s="3"/>
      <c r="W17" s="2"/>
      <c r="X17" s="3"/>
      <c r="Y17" s="3"/>
      <c r="Z17" s="2"/>
      <c r="AA17" s="3"/>
      <c r="AB17" s="3"/>
      <c r="AC17" s="2"/>
      <c r="AD17" s="3">
        <v>424.8</v>
      </c>
      <c r="AE17" s="3">
        <v>19.18</v>
      </c>
      <c r="AF17" s="2">
        <f t="shared" si="4"/>
        <v>9.7670122199999987E-2</v>
      </c>
      <c r="AG17" s="3"/>
      <c r="AH17" s="3"/>
      <c r="AI17" s="2"/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/>
      <c r="AW17" s="3"/>
      <c r="AX17" s="2"/>
      <c r="AY17" s="3"/>
      <c r="AZ17" s="3"/>
      <c r="BA17" s="2"/>
      <c r="BB17" s="3"/>
      <c r="BC17" s="3"/>
      <c r="BD17" s="2"/>
      <c r="BE17" s="3">
        <v>244.52</v>
      </c>
      <c r="BF17" s="3">
        <v>12.07</v>
      </c>
      <c r="BG17" s="2">
        <f t="shared" si="6"/>
        <v>2.2264294842500004E-2</v>
      </c>
      <c r="BH17" s="3"/>
      <c r="BI17" s="3"/>
      <c r="BJ17" s="2"/>
      <c r="BK17" s="3"/>
      <c r="BL17" s="3"/>
      <c r="BM17" s="2"/>
      <c r="BN17" s="3"/>
      <c r="BO17" s="3"/>
      <c r="BP17" s="2"/>
      <c r="BQ17" s="3"/>
      <c r="BR17" s="3"/>
      <c r="BS17" s="2"/>
    </row>
    <row r="18" spans="3:71" x14ac:dyDescent="0.2">
      <c r="C18" s="3"/>
      <c r="D18" s="3"/>
      <c r="E18" s="2"/>
      <c r="F18" s="3">
        <v>243.02</v>
      </c>
      <c r="G18" s="3">
        <v>13.7</v>
      </c>
      <c r="H18" s="2">
        <f t="shared" si="0"/>
        <v>2.8507764874999997E-2</v>
      </c>
      <c r="I18" s="3"/>
      <c r="J18" s="3"/>
      <c r="K18" s="2"/>
      <c r="L18" s="3"/>
      <c r="M18" s="3"/>
      <c r="N18" s="2"/>
      <c r="O18" s="3">
        <v>758.97</v>
      </c>
      <c r="P18" s="3">
        <v>18.36</v>
      </c>
      <c r="Q18" s="2">
        <f t="shared" si="1"/>
        <v>0.15990055857000002</v>
      </c>
      <c r="R18" s="3"/>
      <c r="S18" s="3"/>
      <c r="T18" s="2"/>
      <c r="U18" s="3"/>
      <c r="V18" s="3"/>
      <c r="W18" s="2"/>
      <c r="X18" s="3"/>
      <c r="Y18" s="3"/>
      <c r="Z18" s="2"/>
      <c r="AA18" s="3"/>
      <c r="AB18" s="3"/>
      <c r="AC18" s="2"/>
      <c r="AD18" s="3">
        <v>401.75</v>
      </c>
      <c r="AE18" s="3">
        <v>21.63</v>
      </c>
      <c r="AF18" s="2">
        <f t="shared" si="4"/>
        <v>0.11747594348437498</v>
      </c>
      <c r="AG18" s="3"/>
      <c r="AH18" s="3"/>
      <c r="AI18" s="2"/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/>
      <c r="AW18" s="3"/>
      <c r="AX18" s="2"/>
      <c r="AY18" s="3"/>
      <c r="AZ18" s="3"/>
      <c r="BA18" s="2"/>
      <c r="BB18" s="3"/>
      <c r="BC18" s="3"/>
      <c r="BD18" s="2"/>
      <c r="BE18" s="3">
        <v>186.05</v>
      </c>
      <c r="BF18" s="3">
        <v>9.42</v>
      </c>
      <c r="BG18" s="2">
        <f t="shared" si="6"/>
        <v>1.03183795125E-2</v>
      </c>
      <c r="BH18" s="3"/>
      <c r="BI18" s="3"/>
      <c r="BJ18" s="2"/>
      <c r="BK18" s="3"/>
      <c r="BL18" s="3"/>
      <c r="BM18" s="2"/>
      <c r="BN18" s="3"/>
      <c r="BO18" s="3"/>
      <c r="BP18" s="2"/>
      <c r="BQ18" s="3"/>
      <c r="BR18" s="3"/>
      <c r="BS18" s="2"/>
    </row>
    <row r="19" spans="3:71" x14ac:dyDescent="0.2">
      <c r="C19" s="3"/>
      <c r="D19" s="3"/>
      <c r="E19" s="2"/>
      <c r="F19" s="3">
        <v>411.58</v>
      </c>
      <c r="G19" s="3">
        <v>22.99</v>
      </c>
      <c r="H19" s="2">
        <f t="shared" si="0"/>
        <v>0.13596033397374996</v>
      </c>
      <c r="I19" s="3"/>
      <c r="J19" s="3"/>
      <c r="K19" s="2"/>
      <c r="L19" s="3"/>
      <c r="M19" s="3"/>
      <c r="N19" s="2"/>
      <c r="O19" s="3">
        <v>430.5</v>
      </c>
      <c r="P19" s="3">
        <v>19.98</v>
      </c>
      <c r="Q19" s="2">
        <f t="shared" si="1"/>
        <v>0.10740985762499998</v>
      </c>
      <c r="R19" s="3"/>
      <c r="S19" s="3"/>
      <c r="T19" s="2"/>
      <c r="U19" s="3"/>
      <c r="V19" s="3"/>
      <c r="W19" s="2"/>
      <c r="X19" s="3"/>
      <c r="Y19" s="3"/>
      <c r="Z19" s="2"/>
      <c r="AA19" s="3"/>
      <c r="AB19" s="3"/>
      <c r="AC19" s="2"/>
      <c r="AD19" s="3">
        <v>271.20999999999998</v>
      </c>
      <c r="AE19" s="3">
        <v>17.32</v>
      </c>
      <c r="AF19" s="2">
        <f t="shared" si="4"/>
        <v>5.0848891689999988E-2</v>
      </c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/>
      <c r="AW19" s="3"/>
      <c r="AX19" s="2"/>
      <c r="AY19" s="3"/>
      <c r="AZ19" s="3"/>
      <c r="BA19" s="2"/>
      <c r="BB19" s="3"/>
      <c r="BC19" s="3"/>
      <c r="BD19" s="2"/>
      <c r="BE19" s="3">
        <v>262.89999999999998</v>
      </c>
      <c r="BF19" s="3">
        <v>10.62</v>
      </c>
      <c r="BG19" s="2">
        <f t="shared" si="6"/>
        <v>1.8531886724999995E-2</v>
      </c>
      <c r="BH19" s="3"/>
      <c r="BI19" s="3"/>
      <c r="BJ19" s="2"/>
      <c r="BK19" s="3"/>
      <c r="BL19" s="3"/>
      <c r="BM19" s="2"/>
      <c r="BN19" s="3"/>
      <c r="BO19" s="3"/>
      <c r="BP19" s="2"/>
      <c r="BQ19" s="3"/>
      <c r="BR19" s="3"/>
      <c r="BS19" s="2"/>
    </row>
    <row r="20" spans="3:71" x14ac:dyDescent="0.2">
      <c r="C20" s="3"/>
      <c r="D20" s="3"/>
      <c r="E20" s="2"/>
      <c r="F20" s="3">
        <v>434.72</v>
      </c>
      <c r="G20" s="3">
        <v>24.09</v>
      </c>
      <c r="H20" s="2">
        <f t="shared" si="0"/>
        <v>0.15767514477</v>
      </c>
      <c r="I20" s="3"/>
      <c r="J20" s="3"/>
      <c r="K20" s="2"/>
      <c r="L20" s="3"/>
      <c r="M20" s="3"/>
      <c r="N20" s="2"/>
      <c r="O20" s="3">
        <v>394.88</v>
      </c>
      <c r="P20" s="3">
        <v>18.82</v>
      </c>
      <c r="Q20" s="2">
        <f t="shared" si="1"/>
        <v>8.7414684319999991E-2</v>
      </c>
      <c r="R20" s="3"/>
      <c r="S20" s="3"/>
      <c r="T20" s="2"/>
      <c r="U20" s="3"/>
      <c r="V20" s="3"/>
      <c r="W20" s="2"/>
      <c r="X20" s="3"/>
      <c r="Y20" s="3"/>
      <c r="Z20" s="2"/>
      <c r="AA20" s="3"/>
      <c r="AB20" s="3"/>
      <c r="AC20" s="2"/>
      <c r="AD20" s="3">
        <v>336.61</v>
      </c>
      <c r="AE20" s="3">
        <v>17.07</v>
      </c>
      <c r="AF20" s="2">
        <f t="shared" si="4"/>
        <v>6.1301919493125002E-2</v>
      </c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  <c r="BE20" s="3">
        <v>234.72</v>
      </c>
      <c r="BF20" s="3">
        <v>10.08</v>
      </c>
      <c r="BG20" s="2">
        <f t="shared" si="6"/>
        <v>1.490565888E-2</v>
      </c>
      <c r="BH20" s="3"/>
      <c r="BI20" s="3"/>
      <c r="BJ20" s="2"/>
      <c r="BK20" s="3"/>
      <c r="BL20" s="3"/>
      <c r="BM20" s="2"/>
      <c r="BN20" s="3"/>
      <c r="BO20" s="3"/>
      <c r="BP20" s="2"/>
      <c r="BQ20" s="3"/>
      <c r="BR20" s="3"/>
      <c r="BS20" s="2"/>
    </row>
    <row r="21" spans="3:71" x14ac:dyDescent="0.2">
      <c r="C21" s="3"/>
      <c r="D21" s="3"/>
      <c r="E21" s="2"/>
      <c r="F21" s="3">
        <v>260.3</v>
      </c>
      <c r="G21" s="3">
        <v>26.64</v>
      </c>
      <c r="H21" s="2">
        <f t="shared" si="0"/>
        <v>0.11545762680000002</v>
      </c>
      <c r="I21" s="3"/>
      <c r="J21" s="3"/>
      <c r="K21" s="2"/>
      <c r="L21" s="3"/>
      <c r="M21" s="3"/>
      <c r="N21" s="2"/>
      <c r="O21" s="3">
        <v>879.84</v>
      </c>
      <c r="P21" s="3">
        <v>26.67</v>
      </c>
      <c r="Q21" s="2">
        <f t="shared" si="1"/>
        <v>0.39113776611000006</v>
      </c>
      <c r="R21" s="3"/>
      <c r="S21" s="3"/>
      <c r="T21" s="2"/>
      <c r="U21" s="3"/>
      <c r="V21" s="3"/>
      <c r="W21" s="2"/>
      <c r="X21" s="3"/>
      <c r="Y21" s="3"/>
      <c r="Z21" s="2"/>
      <c r="AA21" s="3"/>
      <c r="AB21" s="3"/>
      <c r="AC21" s="2"/>
      <c r="AD21" s="3">
        <v>260.79000000000002</v>
      </c>
      <c r="AE21" s="3">
        <v>24.17</v>
      </c>
      <c r="AF21" s="2">
        <f t="shared" si="4"/>
        <v>9.5219139519375023E-2</v>
      </c>
      <c r="AG21" s="3"/>
      <c r="AH21" s="3"/>
      <c r="AI21" s="2"/>
      <c r="AJ21" s="3"/>
      <c r="AK21" s="3"/>
      <c r="AL21" s="2"/>
      <c r="AM21" s="3"/>
      <c r="AN21" s="3"/>
      <c r="AO21" s="2"/>
      <c r="AP21" s="3"/>
      <c r="AQ21" s="3"/>
      <c r="AR21" s="2"/>
      <c r="AS21" s="3"/>
      <c r="AT21" s="3"/>
      <c r="AU21" s="2"/>
      <c r="AV21" s="3"/>
      <c r="AW21" s="3"/>
      <c r="AX21" s="2"/>
      <c r="AY21" s="3"/>
      <c r="AZ21" s="3"/>
      <c r="BA21" s="2"/>
      <c r="BB21" s="3"/>
      <c r="BC21" s="3"/>
      <c r="BD21" s="2"/>
      <c r="BE21" s="3"/>
      <c r="BF21" s="3"/>
      <c r="BG21" s="2"/>
      <c r="BH21" s="3"/>
      <c r="BI21" s="3"/>
      <c r="BJ21" s="2"/>
      <c r="BK21" s="3"/>
      <c r="BL21" s="3"/>
      <c r="BM21" s="2"/>
      <c r="BN21" s="3"/>
      <c r="BO21" s="3"/>
      <c r="BP21" s="2"/>
      <c r="BQ21" s="3"/>
      <c r="BR21" s="3"/>
      <c r="BS21" s="2"/>
    </row>
    <row r="22" spans="3:71" x14ac:dyDescent="0.2">
      <c r="C22" s="3"/>
      <c r="D22" s="3"/>
      <c r="E22" s="2"/>
      <c r="F22" s="3">
        <v>250.54</v>
      </c>
      <c r="G22" s="3">
        <v>30.31</v>
      </c>
      <c r="H22" s="2">
        <f t="shared" si="0"/>
        <v>0.14385632555874997</v>
      </c>
      <c r="I22" s="3"/>
      <c r="J22" s="3"/>
      <c r="K22" s="2"/>
      <c r="L22" s="3"/>
      <c r="M22" s="3"/>
      <c r="N22" s="2"/>
      <c r="O22" s="3">
        <v>861.19</v>
      </c>
      <c r="P22" s="3">
        <v>26.62</v>
      </c>
      <c r="Q22" s="2">
        <f t="shared" si="1"/>
        <v>0.38141265439750011</v>
      </c>
      <c r="R22" s="3"/>
      <c r="S22" s="3"/>
      <c r="T22" s="2"/>
      <c r="U22" s="3"/>
      <c r="V22" s="3"/>
      <c r="W22" s="2"/>
      <c r="X22" s="3"/>
      <c r="Y22" s="3"/>
      <c r="Z22" s="2"/>
      <c r="AA22" s="3"/>
      <c r="AB22" s="3"/>
      <c r="AC22" s="2"/>
      <c r="AD22" s="3">
        <v>311.60000000000002</v>
      </c>
      <c r="AE22" s="3">
        <v>21.08</v>
      </c>
      <c r="AF22" s="2">
        <f t="shared" si="4"/>
        <v>8.6540356400000004E-2</v>
      </c>
      <c r="AG22" s="3"/>
      <c r="AH22" s="3"/>
      <c r="AI22" s="2"/>
      <c r="AJ22" s="3"/>
      <c r="AK22" s="3"/>
      <c r="AL22" s="2"/>
      <c r="AM22" s="3"/>
      <c r="AN22" s="3"/>
      <c r="AO22" s="2"/>
      <c r="AP22" s="3"/>
      <c r="AQ22" s="3"/>
      <c r="AR22" s="2"/>
      <c r="AS22" s="3"/>
      <c r="AT22" s="3"/>
      <c r="AU22" s="2"/>
      <c r="AV22" s="3"/>
      <c r="AW22" s="3"/>
      <c r="AX22" s="2"/>
      <c r="AY22" s="3"/>
      <c r="AZ22" s="3"/>
      <c r="BA22" s="2"/>
      <c r="BB22" s="3"/>
      <c r="BC22" s="3"/>
      <c r="BD22" s="2"/>
      <c r="BE22" s="3"/>
      <c r="BF22" s="3"/>
      <c r="BG22" s="2"/>
      <c r="BH22" s="3"/>
      <c r="BI22" s="3"/>
      <c r="BJ22" s="2"/>
      <c r="BK22" s="3"/>
      <c r="BL22" s="3"/>
      <c r="BM22" s="2"/>
      <c r="BN22" s="3"/>
      <c r="BO22" s="3"/>
      <c r="BP22" s="2"/>
      <c r="BQ22" s="3"/>
      <c r="BR22" s="3"/>
      <c r="BS22" s="2"/>
    </row>
    <row r="23" spans="3:71" x14ac:dyDescent="0.2">
      <c r="C23" s="3"/>
      <c r="D23" s="3"/>
      <c r="E23" s="2"/>
      <c r="F23" s="3">
        <v>262.39</v>
      </c>
      <c r="G23" s="3">
        <v>26.41</v>
      </c>
      <c r="H23" s="2">
        <f t="shared" si="0"/>
        <v>0.114383689099375</v>
      </c>
      <c r="I23" s="3"/>
      <c r="J23" s="3"/>
      <c r="K23" s="2"/>
      <c r="L23" s="3"/>
      <c r="M23" s="3"/>
      <c r="N23" s="2"/>
      <c r="O23" s="3">
        <v>512.37</v>
      </c>
      <c r="P23" s="3">
        <v>21.6</v>
      </c>
      <c r="Q23" s="2">
        <f t="shared" si="1"/>
        <v>0.14940709200000002</v>
      </c>
      <c r="R23" s="3"/>
      <c r="S23" s="3"/>
      <c r="T23" s="2"/>
      <c r="U23" s="3"/>
      <c r="V23" s="3"/>
      <c r="W23" s="2"/>
      <c r="X23" s="3"/>
      <c r="Y23" s="3"/>
      <c r="Z23" s="2"/>
      <c r="AA23" s="3"/>
      <c r="AB23" s="3"/>
      <c r="AC23" s="2"/>
      <c r="AD23" s="3">
        <v>351.2</v>
      </c>
      <c r="AE23" s="3">
        <v>22.41</v>
      </c>
      <c r="AF23" s="2">
        <f t="shared" si="4"/>
        <v>0.11023467795</v>
      </c>
      <c r="AG23" s="3"/>
      <c r="AH23" s="3"/>
      <c r="AI23" s="2"/>
      <c r="AJ23" s="3"/>
      <c r="AK23" s="3"/>
      <c r="AL23" s="2"/>
      <c r="AM23" s="3"/>
      <c r="AN23" s="3"/>
      <c r="AO23" s="2"/>
      <c r="AP23" s="3"/>
      <c r="AQ23" s="3"/>
      <c r="AR23" s="2"/>
      <c r="AS23" s="3"/>
      <c r="AT23" s="3"/>
      <c r="AU23" s="2"/>
      <c r="AV23" s="3"/>
      <c r="AW23" s="3"/>
      <c r="AX23" s="2"/>
      <c r="AY23" s="3"/>
      <c r="AZ23" s="3"/>
      <c r="BA23" s="2"/>
      <c r="BB23" s="3"/>
      <c r="BC23" s="3"/>
      <c r="BD23" s="2"/>
      <c r="BE23" s="3"/>
      <c r="BF23" s="3"/>
      <c r="BG23" s="2"/>
      <c r="BH23" s="3"/>
      <c r="BI23" s="3"/>
      <c r="BJ23" s="2"/>
      <c r="BK23" s="3"/>
      <c r="BL23" s="3"/>
      <c r="BM23" s="2"/>
      <c r="BN23" s="3"/>
      <c r="BO23" s="3"/>
      <c r="BP23" s="2"/>
      <c r="BQ23" s="3"/>
      <c r="BR23" s="3"/>
      <c r="BS23" s="2"/>
    </row>
    <row r="24" spans="3:71" x14ac:dyDescent="0.2">
      <c r="C24" s="3"/>
      <c r="D24" s="3"/>
      <c r="E24" s="2"/>
      <c r="F24" s="3">
        <v>484.59</v>
      </c>
      <c r="G24" s="3">
        <v>14.6</v>
      </c>
      <c r="H24" s="2">
        <f t="shared" si="0"/>
        <v>6.4559502749999997E-2</v>
      </c>
      <c r="I24" s="3"/>
      <c r="J24" s="3"/>
      <c r="K24" s="2"/>
      <c r="L24" s="3"/>
      <c r="M24" s="3"/>
      <c r="N24" s="2"/>
      <c r="O24" s="3"/>
      <c r="P24" s="3"/>
      <c r="Q24" s="2"/>
      <c r="R24" s="3"/>
      <c r="S24" s="3"/>
      <c r="T24" s="2"/>
      <c r="U24" s="3"/>
      <c r="V24" s="3"/>
      <c r="W24" s="2"/>
      <c r="X24" s="3"/>
      <c r="Y24" s="3"/>
      <c r="Z24" s="2"/>
      <c r="AA24" s="3"/>
      <c r="AB24" s="3"/>
      <c r="AC24" s="2"/>
      <c r="AD24" s="3"/>
      <c r="AE24" s="3"/>
      <c r="AF24" s="2"/>
      <c r="AG24" s="3"/>
      <c r="AH24" s="3"/>
      <c r="AI24" s="2"/>
      <c r="AJ24" s="3"/>
      <c r="AK24" s="3"/>
      <c r="AL24" s="2"/>
      <c r="AM24" s="3"/>
      <c r="AN24" s="3"/>
      <c r="AO24" s="2"/>
      <c r="AP24" s="3"/>
      <c r="AQ24" s="3"/>
      <c r="AR24" s="2"/>
      <c r="AS24" s="3"/>
      <c r="AT24" s="3"/>
      <c r="AU24" s="2"/>
      <c r="AV24" s="3"/>
      <c r="AW24" s="3"/>
      <c r="AX24" s="2"/>
      <c r="AY24" s="3"/>
      <c r="AZ24" s="3"/>
      <c r="BA24" s="2"/>
      <c r="BB24" s="3"/>
      <c r="BC24" s="3"/>
      <c r="BD24" s="2"/>
      <c r="BE24" s="3"/>
      <c r="BF24" s="3"/>
      <c r="BG24" s="2"/>
      <c r="BH24" s="3"/>
      <c r="BI24" s="3"/>
      <c r="BJ24" s="2"/>
      <c r="BK24" s="3"/>
      <c r="BL24" s="3"/>
      <c r="BM24" s="2"/>
      <c r="BN24" s="3"/>
      <c r="BO24" s="3"/>
      <c r="BP24" s="2"/>
      <c r="BQ24" s="3"/>
      <c r="BR24" s="3"/>
      <c r="BS24" s="2"/>
    </row>
    <row r="25" spans="3:71" x14ac:dyDescent="0.2">
      <c r="C25" s="3"/>
      <c r="D25" s="3"/>
      <c r="E25" s="2"/>
      <c r="F25" s="3">
        <v>399.56</v>
      </c>
      <c r="G25" s="3">
        <v>23.58</v>
      </c>
      <c r="H25" s="2">
        <f t="shared" si="0"/>
        <v>0.13885119549</v>
      </c>
      <c r="I25" s="3"/>
      <c r="J25" s="3"/>
      <c r="K25" s="2"/>
      <c r="L25" s="3"/>
      <c r="M25" s="3"/>
      <c r="N25" s="2"/>
      <c r="O25" s="3"/>
      <c r="P25" s="3"/>
      <c r="Q25" s="2"/>
      <c r="R25" s="3"/>
      <c r="S25" s="3"/>
      <c r="T25" s="2"/>
      <c r="U25" s="3"/>
      <c r="V25" s="3"/>
      <c r="W25" s="2"/>
      <c r="X25" s="3"/>
      <c r="Y25" s="3"/>
      <c r="Z25" s="2"/>
      <c r="AA25" s="3"/>
      <c r="AB25" s="3"/>
      <c r="AC25" s="2"/>
      <c r="AD25" s="3"/>
      <c r="AE25" s="3"/>
      <c r="AF25" s="2"/>
      <c r="AG25" s="3"/>
      <c r="AH25" s="3"/>
      <c r="AI25" s="2"/>
      <c r="AJ25" s="3"/>
      <c r="AK25" s="3"/>
      <c r="AL25" s="2"/>
      <c r="AM25" s="3"/>
      <c r="AN25" s="3"/>
      <c r="AO25" s="2"/>
      <c r="AP25" s="3"/>
      <c r="AQ25" s="3"/>
      <c r="AR25" s="2"/>
      <c r="AS25" s="3"/>
      <c r="AT25" s="3"/>
      <c r="AU25" s="2"/>
      <c r="AV25" s="3"/>
      <c r="AW25" s="3"/>
      <c r="AX25" s="2"/>
      <c r="AY25" s="3"/>
      <c r="AZ25" s="3"/>
      <c r="BA25" s="2"/>
      <c r="BB25" s="3"/>
      <c r="BC25" s="3"/>
      <c r="BD25" s="2"/>
      <c r="BE25" s="3"/>
      <c r="BF25" s="3"/>
      <c r="BG25" s="2"/>
      <c r="BH25" s="3"/>
      <c r="BI25" s="3"/>
      <c r="BJ25" s="2"/>
      <c r="BK25" s="3"/>
      <c r="BL25" s="3"/>
      <c r="BM25" s="2"/>
      <c r="BN25" s="3"/>
      <c r="BO25" s="3"/>
      <c r="BP25" s="2"/>
      <c r="BQ25" s="3"/>
      <c r="BR25" s="3"/>
      <c r="BS25" s="2"/>
    </row>
    <row r="26" spans="3:71" x14ac:dyDescent="0.2">
      <c r="C26" s="3"/>
      <c r="D26" s="3"/>
      <c r="E26" s="2"/>
      <c r="F26" s="3">
        <v>394.56</v>
      </c>
      <c r="G26" s="3">
        <v>21.18</v>
      </c>
      <c r="H26" s="2">
        <f t="shared" si="0"/>
        <v>0.11062288584</v>
      </c>
      <c r="I26" s="3"/>
      <c r="J26" s="3"/>
      <c r="K26" s="2"/>
      <c r="L26" s="3"/>
      <c r="M26" s="3"/>
      <c r="N26" s="2"/>
      <c r="O26" s="3"/>
      <c r="P26" s="3"/>
      <c r="Q26" s="2"/>
      <c r="R26" s="3"/>
      <c r="S26" s="3"/>
      <c r="T26" s="2"/>
      <c r="U26" s="3"/>
      <c r="V26" s="3"/>
      <c r="W26" s="2"/>
      <c r="X26" s="3"/>
      <c r="Y26" s="3"/>
      <c r="Z26" s="2"/>
      <c r="AA26" s="3"/>
      <c r="AB26" s="3"/>
      <c r="AC26" s="2"/>
      <c r="AD26" s="3"/>
      <c r="AE26" s="3"/>
      <c r="AF26" s="2"/>
      <c r="AG26" s="3"/>
      <c r="AH26" s="3"/>
      <c r="AI26" s="2"/>
      <c r="AJ26" s="3"/>
      <c r="AK26" s="3"/>
      <c r="AL26" s="2"/>
      <c r="AM26" s="3"/>
      <c r="AN26" s="3"/>
      <c r="AO26" s="2"/>
      <c r="AP26" s="3"/>
      <c r="AQ26" s="3"/>
      <c r="AR26" s="2"/>
      <c r="AS26" s="3"/>
      <c r="AT26" s="3"/>
      <c r="AU26" s="2"/>
      <c r="AV26" s="3"/>
      <c r="AW26" s="3"/>
      <c r="AX26" s="2"/>
      <c r="AY26" s="3"/>
      <c r="AZ26" s="3"/>
      <c r="BA26" s="2"/>
      <c r="BB26" s="3"/>
      <c r="BC26" s="3"/>
      <c r="BD26" s="2"/>
      <c r="BE26" s="3"/>
      <c r="BF26" s="3"/>
      <c r="BG26" s="2"/>
      <c r="BH26" s="3"/>
      <c r="BI26" s="3"/>
      <c r="BJ26" s="2"/>
      <c r="BK26" s="3"/>
      <c r="BL26" s="3"/>
      <c r="BM26" s="2"/>
      <c r="BN26" s="3"/>
      <c r="BO26" s="3"/>
      <c r="BP26" s="2"/>
      <c r="BQ26" s="3"/>
      <c r="BR26" s="3"/>
      <c r="BS26" s="2"/>
    </row>
    <row r="27" spans="3:71" x14ac:dyDescent="0.2">
      <c r="C27" s="3"/>
      <c r="D27" s="3"/>
      <c r="E27" s="2"/>
      <c r="F27" s="3">
        <v>379.42</v>
      </c>
      <c r="G27" s="3">
        <v>19.34</v>
      </c>
      <c r="H27" s="2">
        <f t="shared" si="0"/>
        <v>8.8697867095000008E-2</v>
      </c>
      <c r="I27" s="3"/>
      <c r="J27" s="3"/>
      <c r="K27" s="2"/>
      <c r="L27" s="3"/>
      <c r="M27" s="3"/>
      <c r="N27" s="2"/>
      <c r="O27" s="3"/>
      <c r="P27" s="3"/>
      <c r="Q27" s="2"/>
      <c r="R27" s="3"/>
      <c r="S27" s="3"/>
      <c r="T27" s="2"/>
      <c r="U27" s="3"/>
      <c r="V27" s="3"/>
      <c r="W27" s="2"/>
      <c r="X27" s="3"/>
      <c r="Y27" s="3"/>
      <c r="Z27" s="2"/>
      <c r="AA27" s="3"/>
      <c r="AB27" s="3"/>
      <c r="AC27" s="2"/>
      <c r="AD27" s="3"/>
      <c r="AE27" s="3"/>
      <c r="AF27" s="2"/>
      <c r="AG27" s="3"/>
      <c r="AH27" s="3"/>
      <c r="AI27" s="2"/>
      <c r="AJ27" s="3"/>
      <c r="AK27" s="3"/>
      <c r="AL27" s="2"/>
      <c r="AM27" s="3"/>
      <c r="AN27" s="3"/>
      <c r="AO27" s="2"/>
      <c r="AP27" s="3"/>
      <c r="AQ27" s="3"/>
      <c r="AR27" s="2"/>
      <c r="AS27" s="3"/>
      <c r="AT27" s="3"/>
      <c r="AU27" s="2"/>
      <c r="AV27" s="3"/>
      <c r="AW27" s="3"/>
      <c r="AX27" s="2"/>
      <c r="AY27" s="3"/>
      <c r="AZ27" s="3"/>
      <c r="BA27" s="2"/>
      <c r="BB27" s="3"/>
      <c r="BC27" s="3"/>
      <c r="BD27" s="2"/>
      <c r="BE27" s="3"/>
      <c r="BF27" s="3"/>
      <c r="BG27" s="2"/>
      <c r="BH27" s="3"/>
      <c r="BI27" s="3"/>
      <c r="BJ27" s="2"/>
      <c r="BK27" s="3"/>
      <c r="BL27" s="3"/>
      <c r="BM27" s="2"/>
      <c r="BN27" s="3"/>
      <c r="BO27" s="3"/>
      <c r="BP27" s="2"/>
      <c r="BQ27" s="3"/>
      <c r="BR27" s="3"/>
      <c r="BS27" s="2"/>
    </row>
    <row r="28" spans="3:71" x14ac:dyDescent="0.2">
      <c r="C28" s="3"/>
      <c r="D28" s="3"/>
      <c r="E28" s="2"/>
      <c r="F28" s="3">
        <v>245.63</v>
      </c>
      <c r="G28" s="3">
        <v>15.49</v>
      </c>
      <c r="H28" s="2">
        <f t="shared" si="0"/>
        <v>3.6835304226874997E-2</v>
      </c>
      <c r="I28" s="3"/>
      <c r="J28" s="3"/>
      <c r="K28" s="2"/>
      <c r="L28" s="3"/>
      <c r="M28" s="3"/>
      <c r="N28" s="2"/>
      <c r="O28" s="3"/>
      <c r="P28" s="3"/>
      <c r="Q28" s="2"/>
      <c r="R28" s="3"/>
      <c r="S28" s="3"/>
      <c r="T28" s="2"/>
      <c r="U28" s="3"/>
      <c r="V28" s="3"/>
      <c r="W28" s="2"/>
      <c r="X28" s="3"/>
      <c r="Y28" s="3"/>
      <c r="Z28" s="2"/>
      <c r="AA28" s="3"/>
      <c r="AB28" s="3"/>
      <c r="AC28" s="2"/>
      <c r="AD28" s="3"/>
      <c r="AE28" s="3"/>
      <c r="AF28" s="2"/>
      <c r="AG28" s="3"/>
      <c r="AH28" s="3"/>
      <c r="AI28" s="2"/>
      <c r="AJ28" s="3"/>
      <c r="AK28" s="3"/>
      <c r="AL28" s="2"/>
      <c r="AM28" s="3"/>
      <c r="AN28" s="3"/>
      <c r="AO28" s="2"/>
      <c r="AP28" s="3"/>
      <c r="AQ28" s="3"/>
      <c r="AR28" s="2"/>
      <c r="AS28" s="3"/>
      <c r="AT28" s="3"/>
      <c r="AU28" s="2"/>
      <c r="AV28" s="3"/>
      <c r="AW28" s="3"/>
      <c r="AX28" s="2"/>
      <c r="AY28" s="3"/>
      <c r="AZ28" s="3"/>
      <c r="BA28" s="2"/>
      <c r="BB28" s="3"/>
      <c r="BC28" s="3"/>
      <c r="BD28" s="2"/>
      <c r="BE28" s="3"/>
      <c r="BF28" s="3"/>
      <c r="BG28" s="2"/>
      <c r="BH28" s="3"/>
      <c r="BI28" s="3"/>
      <c r="BJ28" s="2"/>
      <c r="BK28" s="3"/>
      <c r="BL28" s="3"/>
      <c r="BM28" s="2"/>
      <c r="BN28" s="3"/>
      <c r="BO28" s="3"/>
      <c r="BP28" s="2"/>
      <c r="BQ28" s="3"/>
      <c r="BR28" s="3"/>
      <c r="BS28" s="2"/>
    </row>
    <row r="29" spans="3:71" x14ac:dyDescent="0.2">
      <c r="C29" s="3"/>
      <c r="D29" s="3"/>
      <c r="E29" s="2"/>
      <c r="F29" s="3">
        <v>204.83</v>
      </c>
      <c r="G29" s="3">
        <v>12.94</v>
      </c>
      <c r="H29" s="2">
        <f t="shared" si="0"/>
        <v>2.1435920367499996E-2</v>
      </c>
      <c r="I29" s="3"/>
      <c r="J29" s="3"/>
      <c r="K29" s="2"/>
      <c r="L29" s="3"/>
      <c r="M29" s="3"/>
      <c r="N29" s="2"/>
      <c r="O29" s="3"/>
      <c r="P29" s="3"/>
      <c r="Q29" s="2"/>
      <c r="R29" s="3"/>
      <c r="S29" s="3"/>
      <c r="T29" s="2"/>
      <c r="U29" s="3"/>
      <c r="V29" s="3"/>
      <c r="W29" s="2"/>
      <c r="X29" s="3"/>
      <c r="Y29" s="3"/>
      <c r="Z29" s="2"/>
      <c r="AA29" s="3"/>
      <c r="AB29" s="3"/>
      <c r="AC29" s="2"/>
      <c r="AD29" s="3"/>
      <c r="AE29" s="3"/>
      <c r="AF29" s="2"/>
      <c r="AG29" s="3"/>
      <c r="AH29" s="3"/>
      <c r="AI29" s="2"/>
      <c r="AJ29" s="3"/>
      <c r="AK29" s="3"/>
      <c r="AL29" s="2"/>
      <c r="AM29" s="3"/>
      <c r="AN29" s="3"/>
      <c r="AO29" s="2"/>
      <c r="AP29" s="3"/>
      <c r="AQ29" s="3"/>
      <c r="AR29" s="2"/>
      <c r="AS29" s="3"/>
      <c r="AT29" s="3"/>
      <c r="AU29" s="2"/>
      <c r="AV29" s="3"/>
      <c r="AW29" s="3"/>
      <c r="AX29" s="2"/>
      <c r="AY29" s="3"/>
      <c r="AZ29" s="3"/>
      <c r="BA29" s="2"/>
      <c r="BB29" s="3"/>
      <c r="BC29" s="3"/>
      <c r="BD29" s="2"/>
      <c r="BE29" s="3"/>
      <c r="BF29" s="3"/>
      <c r="BG29" s="2"/>
      <c r="BH29" s="3"/>
      <c r="BI29" s="3"/>
      <c r="BJ29" s="2"/>
      <c r="BK29" s="3"/>
      <c r="BL29" s="3"/>
      <c r="BM29" s="2"/>
      <c r="BN29" s="3"/>
      <c r="BO29" s="3"/>
      <c r="BP29" s="2"/>
      <c r="BQ29" s="3"/>
      <c r="BR29" s="3"/>
      <c r="BS29" s="2"/>
    </row>
    <row r="30" spans="3:71" x14ac:dyDescent="0.2">
      <c r="C30" s="3"/>
      <c r="D30" s="3"/>
      <c r="E30" s="2"/>
      <c r="F30" s="3">
        <v>195.54</v>
      </c>
      <c r="G30" s="3">
        <v>14.5</v>
      </c>
      <c r="H30" s="2">
        <f t="shared" si="0"/>
        <v>2.5695178124999999E-2</v>
      </c>
      <c r="I30" s="3"/>
      <c r="J30" s="3"/>
      <c r="K30" s="2"/>
      <c r="L30" s="3"/>
      <c r="M30" s="3"/>
      <c r="N30" s="2"/>
      <c r="O30" s="3"/>
      <c r="P30" s="3"/>
      <c r="Q30" s="2"/>
      <c r="R30" s="3"/>
      <c r="S30" s="3"/>
      <c r="T30" s="2"/>
      <c r="U30" s="3"/>
      <c r="V30" s="3"/>
      <c r="W30" s="2"/>
      <c r="X30" s="3"/>
      <c r="Y30" s="3"/>
      <c r="Z30" s="2"/>
      <c r="AA30" s="3"/>
      <c r="AB30" s="3"/>
      <c r="AC30" s="2"/>
      <c r="AD30" s="3"/>
      <c r="AE30" s="3"/>
      <c r="AF30" s="2"/>
      <c r="AG30" s="3"/>
      <c r="AH30" s="3"/>
      <c r="AI30" s="2"/>
      <c r="AJ30" s="3"/>
      <c r="AK30" s="3"/>
      <c r="AL30" s="2"/>
      <c r="AM30" s="3"/>
      <c r="AN30" s="3"/>
      <c r="AO30" s="2"/>
      <c r="AP30" s="3"/>
      <c r="AQ30" s="3"/>
      <c r="AR30" s="2"/>
      <c r="AS30" s="3"/>
      <c r="AT30" s="3"/>
      <c r="AU30" s="2"/>
      <c r="AV30" s="3"/>
      <c r="AW30" s="3"/>
      <c r="AX30" s="2"/>
      <c r="AY30" s="3"/>
      <c r="AZ30" s="3"/>
      <c r="BA30" s="2"/>
      <c r="BB30" s="3"/>
      <c r="BC30" s="3"/>
      <c r="BD30" s="2"/>
      <c r="BE30" s="3"/>
      <c r="BF30" s="3"/>
      <c r="BG30" s="2"/>
      <c r="BH30" s="3"/>
      <c r="BI30" s="3"/>
      <c r="BJ30" s="2"/>
      <c r="BK30" s="3"/>
      <c r="BL30" s="3"/>
      <c r="BM30" s="2"/>
      <c r="BN30" s="3"/>
      <c r="BO30" s="3"/>
      <c r="BP30" s="2"/>
      <c r="BQ30" s="3"/>
      <c r="BR30" s="3"/>
      <c r="BS30" s="2"/>
    </row>
    <row r="31" spans="3:71" x14ac:dyDescent="0.2">
      <c r="C31" s="3"/>
      <c r="D31" s="3"/>
      <c r="E31" s="2"/>
      <c r="F31" s="3">
        <v>175.47</v>
      </c>
      <c r="G31" s="3">
        <v>12.52</v>
      </c>
      <c r="H31" s="2">
        <f t="shared" si="0"/>
        <v>1.7190620429999998E-2</v>
      </c>
      <c r="I31" s="3"/>
      <c r="J31" s="3"/>
      <c r="K31" s="2"/>
      <c r="L31" s="3"/>
      <c r="M31" s="3"/>
      <c r="N31" s="2"/>
      <c r="O31" s="3"/>
      <c r="P31" s="3"/>
      <c r="Q31" s="2"/>
      <c r="R31" s="3"/>
      <c r="S31" s="3"/>
      <c r="T31" s="2"/>
      <c r="U31" s="3"/>
      <c r="V31" s="3"/>
      <c r="W31" s="2"/>
      <c r="X31" s="3"/>
      <c r="Y31" s="3"/>
      <c r="Z31" s="2"/>
      <c r="AA31" s="3"/>
      <c r="AB31" s="3"/>
      <c r="AC31" s="2"/>
      <c r="AD31" s="3"/>
      <c r="AE31" s="3"/>
      <c r="AF31" s="2"/>
      <c r="AG31" s="3"/>
      <c r="AH31" s="3"/>
      <c r="AI31" s="2"/>
      <c r="AJ31" s="3"/>
      <c r="AK31" s="3"/>
      <c r="AL31" s="2"/>
      <c r="AM31" s="3"/>
      <c r="AN31" s="3"/>
      <c r="AO31" s="2"/>
      <c r="AP31" s="3"/>
      <c r="AQ31" s="3"/>
      <c r="AR31" s="2"/>
      <c r="AS31" s="3"/>
      <c r="AT31" s="3"/>
      <c r="AU31" s="2"/>
      <c r="AV31" s="3"/>
      <c r="AW31" s="3"/>
      <c r="AX31" s="2"/>
      <c r="AY31" s="3"/>
      <c r="AZ31" s="3"/>
      <c r="BA31" s="2"/>
      <c r="BB31" s="3"/>
      <c r="BC31" s="3"/>
      <c r="BD31" s="2"/>
      <c r="BE31" s="3"/>
      <c r="BF31" s="3"/>
      <c r="BG31" s="2"/>
      <c r="BH31" s="3"/>
      <c r="BI31" s="3"/>
      <c r="BJ31" s="2"/>
      <c r="BK31" s="3"/>
      <c r="BL31" s="3"/>
      <c r="BM31" s="2"/>
      <c r="BN31" s="3"/>
      <c r="BO31" s="3"/>
      <c r="BP31" s="2"/>
      <c r="BQ31" s="3"/>
      <c r="BR31" s="3"/>
      <c r="BS31" s="2"/>
    </row>
    <row r="32" spans="3:71" x14ac:dyDescent="0.2">
      <c r="C32" s="3"/>
      <c r="D32" s="3"/>
      <c r="E32" s="2"/>
      <c r="F32" s="3">
        <v>238.52</v>
      </c>
      <c r="G32" s="3">
        <v>14.75</v>
      </c>
      <c r="H32" s="2">
        <f t="shared" si="0"/>
        <v>3.2433129687499999E-2</v>
      </c>
      <c r="I32" s="3"/>
      <c r="J32" s="3"/>
      <c r="K32" s="2"/>
      <c r="L32" s="3"/>
      <c r="M32" s="3"/>
      <c r="N32" s="2"/>
      <c r="O32" s="3"/>
      <c r="P32" s="3"/>
      <c r="Q32" s="2"/>
      <c r="R32" s="3"/>
      <c r="S32" s="3"/>
      <c r="T32" s="2"/>
      <c r="U32" s="3"/>
      <c r="V32" s="3"/>
      <c r="W32" s="2"/>
      <c r="X32" s="3"/>
      <c r="Y32" s="3"/>
      <c r="Z32" s="2"/>
      <c r="AA32" s="3"/>
      <c r="AB32" s="3"/>
      <c r="AC32" s="2"/>
      <c r="AD32" s="3"/>
      <c r="AE32" s="3"/>
      <c r="AF32" s="2"/>
      <c r="AG32" s="3"/>
      <c r="AH32" s="3"/>
      <c r="AI32" s="2"/>
      <c r="AJ32" s="3"/>
      <c r="AK32" s="3"/>
      <c r="AL32" s="2"/>
      <c r="AM32" s="3"/>
      <c r="AN32" s="3"/>
      <c r="AO32" s="2"/>
      <c r="AP32" s="3"/>
      <c r="AQ32" s="3"/>
      <c r="AR32" s="2"/>
      <c r="AS32" s="3"/>
      <c r="AT32" s="3"/>
      <c r="AU32" s="2"/>
      <c r="AV32" s="3"/>
      <c r="AW32" s="3"/>
      <c r="AX32" s="2"/>
      <c r="AY32" s="3"/>
      <c r="AZ32" s="3"/>
      <c r="BA32" s="2"/>
      <c r="BB32" s="3"/>
      <c r="BC32" s="3"/>
      <c r="BD32" s="2"/>
      <c r="BE32" s="3"/>
      <c r="BF32" s="3"/>
      <c r="BG32" s="2"/>
      <c r="BH32" s="3"/>
      <c r="BI32" s="3"/>
      <c r="BJ32" s="2"/>
      <c r="BK32" s="3"/>
      <c r="BL32" s="3"/>
      <c r="BM32" s="2"/>
      <c r="BN32" s="3"/>
      <c r="BO32" s="3"/>
      <c r="BP32" s="2"/>
      <c r="BQ32" s="3"/>
      <c r="BR32" s="3"/>
      <c r="BS32" s="2"/>
    </row>
    <row r="33" spans="3:71" x14ac:dyDescent="0.2">
      <c r="C33" s="3"/>
      <c r="D33" s="3"/>
      <c r="E33" s="2"/>
      <c r="F33" s="3">
        <v>320.24</v>
      </c>
      <c r="G33" s="3">
        <v>16.57</v>
      </c>
      <c r="H33" s="2">
        <f t="shared" si="0"/>
        <v>5.4954164735000005E-2</v>
      </c>
      <c r="I33" s="3"/>
      <c r="J33" s="3"/>
      <c r="K33" s="2"/>
      <c r="L33" s="3"/>
      <c r="M33" s="3"/>
      <c r="N33" s="2"/>
      <c r="O33" s="3"/>
      <c r="P33" s="3"/>
      <c r="Q33" s="2"/>
      <c r="R33" s="3"/>
      <c r="S33" s="3"/>
      <c r="T33" s="2"/>
      <c r="U33" s="3"/>
      <c r="V33" s="3"/>
      <c r="W33" s="2"/>
      <c r="X33" s="3"/>
      <c r="Y33" s="3"/>
      <c r="Z33" s="2"/>
      <c r="AA33" s="3"/>
      <c r="AB33" s="3"/>
      <c r="AC33" s="2"/>
      <c r="AD33" s="3"/>
      <c r="AE33" s="3"/>
      <c r="AF33" s="2"/>
      <c r="AG33" s="3"/>
      <c r="AH33" s="3"/>
      <c r="AI33" s="2"/>
      <c r="AJ33" s="3"/>
      <c r="AK33" s="3"/>
      <c r="AL33" s="2"/>
      <c r="AM33" s="3"/>
      <c r="AN33" s="3"/>
      <c r="AO33" s="2"/>
      <c r="AP33" s="3"/>
      <c r="AQ33" s="3"/>
      <c r="AR33" s="2"/>
      <c r="AS33" s="3"/>
      <c r="AT33" s="3"/>
      <c r="AU33" s="2"/>
      <c r="AV33" s="3"/>
      <c r="AW33" s="3"/>
      <c r="AX33" s="2"/>
      <c r="AY33" s="3"/>
      <c r="AZ33" s="3"/>
      <c r="BA33" s="2"/>
      <c r="BB33" s="3"/>
      <c r="BC33" s="3"/>
      <c r="BD33" s="2"/>
      <c r="BE33" s="3"/>
      <c r="BF33" s="3"/>
      <c r="BG33" s="2"/>
      <c r="BH33" s="3"/>
      <c r="BI33" s="3"/>
      <c r="BJ33" s="2"/>
      <c r="BK33" s="3"/>
      <c r="BL33" s="3"/>
      <c r="BM33" s="2"/>
      <c r="BN33" s="3"/>
      <c r="BO33" s="3"/>
      <c r="BP33" s="2"/>
      <c r="BQ33" s="3"/>
      <c r="BR33" s="3"/>
      <c r="BS33" s="2"/>
    </row>
    <row r="34" spans="3:71" x14ac:dyDescent="0.2">
      <c r="C34" s="3"/>
      <c r="D34" s="3"/>
      <c r="E34" s="2"/>
      <c r="F34" s="3">
        <v>249.39</v>
      </c>
      <c r="G34" s="3">
        <v>14.65</v>
      </c>
      <c r="H34" s="2">
        <f t="shared" si="0"/>
        <v>3.3452940796874997E-2</v>
      </c>
      <c r="I34" s="3"/>
      <c r="J34" s="3"/>
      <c r="K34" s="2"/>
      <c r="L34" s="3"/>
      <c r="M34" s="3"/>
      <c r="N34" s="2"/>
      <c r="O34" s="3"/>
      <c r="P34" s="3"/>
      <c r="Q34" s="2"/>
      <c r="R34" s="3"/>
      <c r="S34" s="3"/>
      <c r="T34" s="2"/>
      <c r="U34" s="3"/>
      <c r="V34" s="3"/>
      <c r="W34" s="2"/>
      <c r="X34" s="3"/>
      <c r="Y34" s="3"/>
      <c r="Z34" s="2"/>
      <c r="AA34" s="3"/>
      <c r="AB34" s="3"/>
      <c r="AC34" s="2"/>
      <c r="AD34" s="3"/>
      <c r="AE34" s="3"/>
      <c r="AF34" s="2"/>
      <c r="AG34" s="3"/>
      <c r="AH34" s="3"/>
      <c r="AI34" s="2"/>
      <c r="AJ34" s="3"/>
      <c r="AK34" s="3"/>
      <c r="AL34" s="2"/>
      <c r="AM34" s="3"/>
      <c r="AN34" s="3"/>
      <c r="AO34" s="2"/>
      <c r="AP34" s="3"/>
      <c r="AQ34" s="3"/>
      <c r="AR34" s="2"/>
      <c r="AS34" s="3"/>
      <c r="AT34" s="3"/>
      <c r="AU34" s="2"/>
      <c r="AV34" s="3"/>
      <c r="AW34" s="3"/>
      <c r="AX34" s="2"/>
      <c r="AY34" s="3"/>
      <c r="AZ34" s="3"/>
      <c r="BA34" s="2"/>
      <c r="BB34" s="3"/>
      <c r="BC34" s="3"/>
      <c r="BD34" s="2"/>
      <c r="BE34" s="3"/>
      <c r="BF34" s="3"/>
      <c r="BG34" s="2"/>
      <c r="BH34" s="3"/>
      <c r="BI34" s="3"/>
      <c r="BJ34" s="2"/>
      <c r="BK34" s="3"/>
      <c r="BL34" s="3"/>
      <c r="BM34" s="2"/>
      <c r="BN34" s="3"/>
      <c r="BO34" s="3"/>
      <c r="BP34" s="2"/>
      <c r="BQ34" s="3"/>
      <c r="BR34" s="3"/>
      <c r="BS34" s="2"/>
    </row>
    <row r="35" spans="3:71" x14ac:dyDescent="0.2">
      <c r="C35" s="3"/>
      <c r="D35" s="3"/>
      <c r="E35" s="2"/>
      <c r="F35" s="3">
        <v>319.52999999999997</v>
      </c>
      <c r="G35" s="3">
        <v>18.579999999999998</v>
      </c>
      <c r="H35" s="2">
        <f t="shared" si="0"/>
        <v>6.8941872682499988E-2</v>
      </c>
      <c r="I35" s="3"/>
      <c r="J35" s="3"/>
      <c r="K35" s="2"/>
      <c r="L35" s="3"/>
      <c r="M35" s="3"/>
      <c r="N35" s="2"/>
      <c r="O35" s="3"/>
      <c r="P35" s="3"/>
      <c r="Q35" s="2"/>
      <c r="R35" s="3"/>
      <c r="S35" s="3"/>
      <c r="T35" s="2"/>
      <c r="U35" s="3"/>
      <c r="V35" s="3"/>
      <c r="W35" s="2"/>
      <c r="X35" s="3"/>
      <c r="Y35" s="3"/>
      <c r="Z35" s="2"/>
      <c r="AA35" s="3"/>
      <c r="AB35" s="3"/>
      <c r="AC35" s="2"/>
      <c r="AD35" s="3"/>
      <c r="AE35" s="3"/>
      <c r="AF35" s="2"/>
      <c r="AG35" s="3"/>
      <c r="AH35" s="3"/>
      <c r="AI35" s="2"/>
      <c r="AJ35" s="3"/>
      <c r="AK35" s="3"/>
      <c r="AL35" s="2"/>
      <c r="AM35" s="3"/>
      <c r="AN35" s="3"/>
      <c r="AO35" s="2"/>
      <c r="AP35" s="3"/>
      <c r="AQ35" s="3"/>
      <c r="AR35" s="2"/>
      <c r="AS35" s="3"/>
      <c r="AT35" s="3"/>
      <c r="AU35" s="2"/>
      <c r="AV35" s="3"/>
      <c r="AW35" s="3"/>
      <c r="AX35" s="2"/>
      <c r="AY35" s="3"/>
      <c r="AZ35" s="3"/>
      <c r="BA35" s="2"/>
      <c r="BB35" s="3"/>
      <c r="BC35" s="3"/>
      <c r="BD35" s="2"/>
      <c r="BE35" s="3"/>
      <c r="BF35" s="3"/>
      <c r="BG35" s="2"/>
      <c r="BH35" s="3"/>
      <c r="BI35" s="3"/>
      <c r="BJ35" s="2"/>
      <c r="BK35" s="3"/>
      <c r="BL35" s="3"/>
      <c r="BM35" s="2"/>
      <c r="BN35" s="3"/>
      <c r="BO35" s="3"/>
      <c r="BP35" s="2"/>
      <c r="BQ35" s="3"/>
      <c r="BR35" s="3"/>
      <c r="BS35" s="2"/>
    </row>
    <row r="36" spans="3:71" x14ac:dyDescent="0.2">
      <c r="C36" s="3"/>
      <c r="D36" s="3"/>
      <c r="E36" s="2"/>
      <c r="F36" s="3">
        <v>312.23</v>
      </c>
      <c r="G36" s="3">
        <v>16</v>
      </c>
      <c r="H36" s="2">
        <f t="shared" si="0"/>
        <v>4.9956800000000003E-2</v>
      </c>
      <c r="I36" s="3"/>
      <c r="J36" s="3"/>
      <c r="K36" s="2"/>
      <c r="L36" s="3"/>
      <c r="M36" s="3"/>
      <c r="N36" s="2"/>
      <c r="O36" s="3"/>
      <c r="P36" s="3"/>
      <c r="Q36" s="2"/>
      <c r="R36" s="3"/>
      <c r="S36" s="3"/>
      <c r="T36" s="2"/>
      <c r="U36" s="3"/>
      <c r="V36" s="3"/>
      <c r="W36" s="2"/>
      <c r="X36" s="3"/>
      <c r="Y36" s="3"/>
      <c r="Z36" s="2"/>
      <c r="AA36" s="3"/>
      <c r="AB36" s="3"/>
      <c r="AC36" s="2"/>
      <c r="AD36" s="3"/>
      <c r="AE36" s="3"/>
      <c r="AF36" s="2"/>
      <c r="AG36" s="3"/>
      <c r="AH36" s="3"/>
      <c r="AI36" s="2"/>
      <c r="AJ36" s="3"/>
      <c r="AK36" s="3"/>
      <c r="AL36" s="2"/>
      <c r="AM36" s="3"/>
      <c r="AN36" s="3"/>
      <c r="AO36" s="2"/>
      <c r="AP36" s="3"/>
      <c r="AQ36" s="3"/>
      <c r="AR36" s="2"/>
      <c r="AS36" s="3"/>
      <c r="AT36" s="3"/>
      <c r="AU36" s="2"/>
      <c r="AV36" s="3"/>
      <c r="AW36" s="3"/>
      <c r="AX36" s="2"/>
      <c r="AY36" s="3"/>
      <c r="AZ36" s="3"/>
      <c r="BA36" s="2"/>
      <c r="BB36" s="3"/>
      <c r="BC36" s="3"/>
      <c r="BD36" s="2"/>
      <c r="BE36" s="3"/>
      <c r="BF36" s="3"/>
      <c r="BG36" s="2"/>
      <c r="BH36" s="3"/>
      <c r="BI36" s="3"/>
      <c r="BJ36" s="2"/>
      <c r="BK36" s="3"/>
      <c r="BL36" s="3"/>
      <c r="BM36" s="2"/>
      <c r="BN36" s="3"/>
      <c r="BO36" s="3"/>
      <c r="BP36" s="2"/>
      <c r="BQ36" s="3"/>
      <c r="BR36" s="3"/>
      <c r="BS36" s="2"/>
    </row>
    <row r="37" spans="3:71" x14ac:dyDescent="0.2">
      <c r="C37" s="3"/>
      <c r="D37" s="3"/>
      <c r="E37" s="2"/>
      <c r="F37" s="3"/>
      <c r="G37" s="3"/>
      <c r="H37" s="2"/>
      <c r="I37" s="3"/>
      <c r="J37" s="3"/>
      <c r="K37" s="2"/>
      <c r="L37" s="3"/>
      <c r="M37" s="3"/>
      <c r="N37" s="2"/>
      <c r="O37" s="3"/>
      <c r="P37" s="3"/>
      <c r="Q37" s="2"/>
      <c r="R37" s="3"/>
      <c r="S37" s="3"/>
      <c r="T37" s="2"/>
      <c r="U37" s="3"/>
      <c r="V37" s="3"/>
      <c r="W37" s="2"/>
      <c r="X37" s="3"/>
      <c r="Y37" s="3"/>
      <c r="Z37" s="2"/>
      <c r="AA37" s="3"/>
      <c r="AB37" s="3"/>
      <c r="AC37" s="2"/>
      <c r="AD37" s="3"/>
      <c r="AE37" s="3"/>
      <c r="AF37" s="2"/>
      <c r="AG37" s="3"/>
      <c r="AH37" s="3"/>
      <c r="AI37" s="2"/>
      <c r="AJ37" s="3"/>
      <c r="AK37" s="3"/>
      <c r="AL37" s="2"/>
      <c r="AM37" s="3"/>
      <c r="AN37" s="3"/>
      <c r="AO37" s="2"/>
      <c r="AP37" s="3"/>
      <c r="AQ37" s="3"/>
      <c r="AR37" s="2"/>
      <c r="AS37" s="3"/>
      <c r="AT37" s="3"/>
      <c r="AU37" s="2"/>
      <c r="AV37" s="3"/>
      <c r="AW37" s="3"/>
      <c r="AX37" s="2"/>
      <c r="AY37" s="3"/>
      <c r="AZ37" s="3"/>
      <c r="BA37" s="2"/>
      <c r="BB37" s="3"/>
      <c r="BC37" s="3"/>
      <c r="BD37" s="2"/>
      <c r="BE37" s="3"/>
      <c r="BF37" s="3"/>
      <c r="BG37" s="2"/>
      <c r="BH37" s="3"/>
      <c r="BI37" s="3"/>
      <c r="BJ37" s="2"/>
      <c r="BK37" s="3"/>
      <c r="BL37" s="3"/>
      <c r="BM37" s="2"/>
      <c r="BN37" s="3"/>
      <c r="BO37" s="3"/>
      <c r="BP37" s="2"/>
      <c r="BQ37" s="3"/>
      <c r="BR37" s="3"/>
      <c r="BS37" s="2"/>
    </row>
    <row r="38" spans="3:71" x14ac:dyDescent="0.2">
      <c r="C38" s="3"/>
      <c r="D38" s="3"/>
      <c r="E38" s="2"/>
      <c r="F38" s="3"/>
      <c r="G38" s="3"/>
      <c r="H38" s="2"/>
      <c r="I38" s="3"/>
      <c r="J38" s="3"/>
      <c r="K38" s="2"/>
      <c r="L38" s="3"/>
      <c r="M38" s="3"/>
      <c r="N38" s="2"/>
      <c r="O38" s="3"/>
      <c r="P38" s="3"/>
      <c r="Q38" s="2"/>
      <c r="R38" s="3"/>
      <c r="S38" s="3"/>
      <c r="T38" s="2"/>
      <c r="U38" s="3"/>
      <c r="V38" s="3"/>
      <c r="W38" s="2"/>
      <c r="X38" s="3"/>
      <c r="Y38" s="3"/>
      <c r="Z38" s="2"/>
      <c r="AA38" s="3"/>
      <c r="AB38" s="3"/>
      <c r="AC38" s="2"/>
      <c r="AD38" s="3"/>
      <c r="AE38" s="3"/>
      <c r="AF38" s="2"/>
      <c r="AG38" s="3"/>
      <c r="AH38" s="3"/>
      <c r="AI38" s="2"/>
      <c r="AJ38" s="3"/>
      <c r="AK38" s="3"/>
      <c r="AL38" s="2"/>
      <c r="AM38" s="3"/>
      <c r="AN38" s="3"/>
      <c r="AO38" s="2"/>
      <c r="AP38" s="3"/>
      <c r="AQ38" s="3"/>
      <c r="AR38" s="2"/>
      <c r="AS38" s="3"/>
      <c r="AT38" s="3"/>
      <c r="AU38" s="2"/>
      <c r="AV38" s="3"/>
      <c r="AW38" s="3"/>
      <c r="AX38" s="2"/>
      <c r="AY38" s="3"/>
      <c r="AZ38" s="3"/>
      <c r="BA38" s="2"/>
      <c r="BB38" s="3"/>
      <c r="BC38" s="3"/>
      <c r="BD38" s="2"/>
      <c r="BE38" s="3"/>
      <c r="BF38" s="3"/>
      <c r="BG38" s="2"/>
      <c r="BH38" s="3"/>
      <c r="BI38" s="3"/>
      <c r="BJ38" s="2"/>
      <c r="BK38" s="3"/>
      <c r="BL38" s="3"/>
      <c r="BM38" s="2"/>
      <c r="BN38" s="3"/>
      <c r="BO38" s="3"/>
      <c r="BP38" s="2"/>
      <c r="BQ38" s="3"/>
      <c r="BR38" s="3"/>
      <c r="BS38" s="2"/>
    </row>
    <row r="39" spans="3:71" x14ac:dyDescent="0.2">
      <c r="C39" s="3"/>
      <c r="D39" s="3"/>
      <c r="E39" s="2"/>
      <c r="F39" s="3"/>
      <c r="G39" s="3"/>
      <c r="H39" s="2"/>
      <c r="I39" s="3"/>
      <c r="J39" s="3"/>
      <c r="K39" s="2"/>
      <c r="L39" s="3"/>
      <c r="M39" s="3"/>
      <c r="N39" s="2"/>
      <c r="O39" s="3"/>
      <c r="P39" s="3"/>
      <c r="Q39" s="2"/>
      <c r="R39" s="3"/>
      <c r="S39" s="3"/>
      <c r="T39" s="2"/>
      <c r="U39" s="3"/>
      <c r="V39" s="3"/>
      <c r="W39" s="2"/>
      <c r="X39" s="3"/>
      <c r="Y39" s="3"/>
      <c r="Z39" s="2"/>
      <c r="AA39" s="3"/>
      <c r="AB39" s="3"/>
      <c r="AC39" s="2"/>
      <c r="AD39" s="3"/>
      <c r="AE39" s="3"/>
      <c r="AF39" s="2"/>
      <c r="AG39" s="3"/>
      <c r="AH39" s="3"/>
      <c r="AI39" s="2"/>
      <c r="AJ39" s="3"/>
      <c r="AK39" s="3"/>
      <c r="AL39" s="2"/>
      <c r="AM39" s="3"/>
      <c r="AN39" s="3"/>
      <c r="AO39" s="2"/>
      <c r="AP39" s="3"/>
      <c r="AQ39" s="3"/>
      <c r="AR39" s="2"/>
      <c r="AS39" s="3"/>
      <c r="AT39" s="3"/>
      <c r="AU39" s="2"/>
      <c r="AV39" s="3"/>
      <c r="AW39" s="3"/>
      <c r="AX39" s="2"/>
      <c r="AY39" s="3"/>
      <c r="AZ39" s="3"/>
      <c r="BA39" s="2"/>
      <c r="BB39" s="3"/>
      <c r="BC39" s="3"/>
      <c r="BD39" s="2"/>
      <c r="BE39" s="3"/>
      <c r="BF39" s="3"/>
      <c r="BG39" s="2"/>
      <c r="BH39" s="3"/>
      <c r="BI39" s="3"/>
      <c r="BJ39" s="2"/>
      <c r="BK39" s="3"/>
      <c r="BL39" s="3"/>
      <c r="BM39" s="2"/>
      <c r="BN39" s="3"/>
      <c r="BO39" s="3"/>
      <c r="BP39" s="2"/>
      <c r="BQ39" s="3"/>
      <c r="BR39" s="3"/>
      <c r="BS39" s="2"/>
    </row>
    <row r="40" spans="3:71" x14ac:dyDescent="0.2">
      <c r="C40" s="3"/>
      <c r="D40" s="3"/>
      <c r="E40" s="2"/>
      <c r="F40" s="3"/>
      <c r="G40" s="3"/>
      <c r="H40" s="2"/>
      <c r="I40" s="3"/>
      <c r="J40" s="3"/>
      <c r="K40" s="2"/>
      <c r="L40" s="3"/>
      <c r="M40" s="3"/>
      <c r="N40" s="2"/>
      <c r="O40" s="3"/>
      <c r="P40" s="3"/>
      <c r="Q40" s="2"/>
      <c r="R40" s="3"/>
      <c r="S40" s="3"/>
      <c r="T40" s="2"/>
      <c r="U40" s="3"/>
      <c r="V40" s="3"/>
      <c r="W40" s="2"/>
      <c r="X40" s="3"/>
      <c r="Y40" s="3"/>
      <c r="Z40" s="2"/>
      <c r="AA40" s="3"/>
      <c r="AB40" s="3"/>
      <c r="AC40" s="2"/>
      <c r="AD40" s="3"/>
      <c r="AE40" s="3"/>
      <c r="AF40" s="2"/>
      <c r="AG40" s="3"/>
      <c r="AH40" s="3"/>
      <c r="AI40" s="2"/>
      <c r="AJ40" s="3"/>
      <c r="AK40" s="3"/>
      <c r="AL40" s="2"/>
      <c r="AM40" s="3"/>
      <c r="AN40" s="3"/>
      <c r="AO40" s="2"/>
      <c r="AP40" s="3"/>
      <c r="AQ40" s="3"/>
      <c r="AR40" s="2"/>
      <c r="AS40" s="3"/>
      <c r="AT40" s="3"/>
      <c r="AU40" s="2"/>
      <c r="AV40" s="3"/>
      <c r="AW40" s="3"/>
      <c r="AX40" s="2"/>
      <c r="AY40" s="3"/>
      <c r="AZ40" s="3"/>
      <c r="BA40" s="2"/>
      <c r="BB40" s="3"/>
      <c r="BC40" s="3"/>
      <c r="BD40" s="2"/>
      <c r="BE40" s="3"/>
      <c r="BF40" s="3"/>
      <c r="BG40" s="2"/>
      <c r="BH40" s="3"/>
      <c r="BI40" s="3"/>
      <c r="BJ40" s="2"/>
      <c r="BK40" s="3"/>
      <c r="BL40" s="3"/>
      <c r="BM40" s="2"/>
      <c r="BN40" s="3"/>
      <c r="BO40" s="3"/>
      <c r="BP40" s="2"/>
      <c r="BQ40" s="3"/>
      <c r="BR40" s="3"/>
      <c r="BS40" s="2"/>
    </row>
    <row r="41" spans="3:71" x14ac:dyDescent="0.2">
      <c r="C41" s="3"/>
      <c r="D41" s="3"/>
      <c r="E41" s="2"/>
      <c r="F41" s="3"/>
      <c r="G41" s="3"/>
      <c r="H41" s="2"/>
      <c r="I41" s="3"/>
      <c r="J41" s="3"/>
      <c r="K41" s="2"/>
      <c r="L41" s="3"/>
      <c r="M41" s="3"/>
      <c r="N41" s="2"/>
      <c r="O41" s="3"/>
      <c r="P41" s="3"/>
      <c r="Q41" s="2"/>
      <c r="R41" s="3"/>
      <c r="S41" s="3"/>
      <c r="T41" s="2"/>
      <c r="U41" s="3"/>
      <c r="V41" s="3"/>
      <c r="W41" s="2"/>
      <c r="X41" s="3"/>
      <c r="Y41" s="3"/>
      <c r="Z41" s="2"/>
      <c r="AA41" s="3"/>
      <c r="AB41" s="3"/>
      <c r="AC41" s="2"/>
      <c r="AD41" s="3"/>
      <c r="AE41" s="3"/>
      <c r="AF41" s="2"/>
      <c r="AG41" s="3"/>
      <c r="AH41" s="3"/>
      <c r="AI41" s="2"/>
      <c r="AJ41" s="3"/>
      <c r="AK41" s="3"/>
      <c r="AL41" s="2"/>
      <c r="AM41" s="3"/>
      <c r="AN41" s="3"/>
      <c r="AO41" s="2"/>
      <c r="AP41" s="3"/>
      <c r="AQ41" s="3"/>
      <c r="AR41" s="2"/>
      <c r="AS41" s="3"/>
      <c r="AT41" s="3"/>
      <c r="AU41" s="2"/>
      <c r="AV41" s="3"/>
      <c r="AW41" s="3"/>
      <c r="AX41" s="2"/>
      <c r="AY41" s="3"/>
      <c r="AZ41" s="3"/>
      <c r="BA41" s="2"/>
      <c r="BB41" s="3"/>
      <c r="BC41" s="3"/>
      <c r="BD41" s="2"/>
      <c r="BE41" s="3"/>
      <c r="BF41" s="3"/>
      <c r="BG41" s="2"/>
      <c r="BH41" s="3"/>
      <c r="BI41" s="3"/>
      <c r="BJ41" s="2"/>
      <c r="BK41" s="3"/>
      <c r="BL41" s="3"/>
      <c r="BM41" s="2"/>
      <c r="BN41" s="3"/>
      <c r="BO41" s="3"/>
      <c r="BP41" s="2"/>
      <c r="BQ41" s="3"/>
      <c r="BR41" s="3"/>
      <c r="BS41" s="2"/>
    </row>
    <row r="42" spans="3:71" x14ac:dyDescent="0.2"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  <c r="BJ42" s="2"/>
      <c r="BM42" s="2"/>
      <c r="BP42" s="2"/>
      <c r="BS42" s="2"/>
    </row>
    <row r="43" spans="3:71" x14ac:dyDescent="0.2"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  <c r="BJ43" s="2"/>
      <c r="BM43" s="2"/>
      <c r="BP43" s="2"/>
      <c r="BS43" s="2"/>
    </row>
    <row r="44" spans="3:71" x14ac:dyDescent="0.2"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  <c r="BJ44" s="2"/>
      <c r="BM44" s="2"/>
      <c r="BP44" s="2"/>
      <c r="BS44" s="2"/>
    </row>
    <row r="45" spans="3:71" x14ac:dyDescent="0.2"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  <c r="BJ45" s="2"/>
      <c r="BM45" s="2"/>
      <c r="BP45" s="2"/>
      <c r="BS45" s="2"/>
    </row>
    <row r="46" spans="3:71" x14ac:dyDescent="0.2"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  <c r="BJ46" s="2"/>
      <c r="BM46" s="2"/>
      <c r="BP46" s="2"/>
      <c r="BS46" s="2"/>
    </row>
    <row r="47" spans="3:71" x14ac:dyDescent="0.2"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  <c r="BJ47" s="2"/>
      <c r="BM47" s="2"/>
      <c r="BP47" s="2"/>
      <c r="BS47" s="2"/>
    </row>
    <row r="48" spans="3:71" x14ac:dyDescent="0.2"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  <c r="BJ48" s="2"/>
      <c r="BM48" s="2"/>
      <c r="BP48" s="2"/>
      <c r="BS48" s="2"/>
    </row>
    <row r="49" spans="5:71" x14ac:dyDescent="0.2"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  <c r="BJ49" s="2"/>
      <c r="BM49" s="2"/>
      <c r="BP49" s="2"/>
      <c r="BS49" s="2"/>
    </row>
    <row r="50" spans="5:71" x14ac:dyDescent="0.2"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  <c r="BM50" s="2"/>
      <c r="BP50" s="2"/>
      <c r="BS50" s="2"/>
    </row>
    <row r="51" spans="5:71" x14ac:dyDescent="0.2"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  <c r="BM51" s="2"/>
      <c r="BP51" s="2"/>
      <c r="BS51" s="2"/>
    </row>
    <row r="52" spans="5:71" x14ac:dyDescent="0.2"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  <c r="BM52" s="2"/>
      <c r="BP52" s="2"/>
      <c r="BS52" s="2"/>
    </row>
    <row r="53" spans="5:71" x14ac:dyDescent="0.2"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  <c r="BM53" s="2"/>
      <c r="BP53" s="2"/>
      <c r="BS53" s="2"/>
    </row>
    <row r="54" spans="5:71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  <c r="BM54" s="2"/>
      <c r="BP54" s="2"/>
      <c r="BS54" s="2"/>
    </row>
    <row r="55" spans="5:71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  <c r="BM55" s="2"/>
      <c r="BP55" s="2"/>
      <c r="BS55" s="2"/>
    </row>
    <row r="56" spans="5:71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  <c r="BM56" s="2"/>
      <c r="BP56" s="2"/>
      <c r="BS56" s="2"/>
    </row>
    <row r="57" spans="5:71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  <c r="BM57" s="2"/>
      <c r="BP57" s="2"/>
      <c r="BS57" s="2"/>
    </row>
    <row r="58" spans="5:71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  <c r="BM58" s="2"/>
      <c r="BP58" s="2"/>
      <c r="BS58" s="2"/>
    </row>
    <row r="59" spans="5:71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  <c r="BM59" s="2"/>
      <c r="BP59" s="2"/>
      <c r="BS59" s="2"/>
    </row>
    <row r="60" spans="5:71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  <c r="BM60" s="2"/>
      <c r="BP60" s="2"/>
      <c r="BS60" s="2"/>
    </row>
    <row r="61" spans="5:71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  <c r="BM61" s="2"/>
      <c r="BP61" s="2"/>
      <c r="BS61" s="2"/>
    </row>
    <row r="62" spans="5:71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  <c r="BM62" s="2"/>
      <c r="BP62" s="2"/>
      <c r="BS62" s="2"/>
    </row>
    <row r="63" spans="5:71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  <c r="BM63" s="2"/>
      <c r="BP63" s="2"/>
      <c r="BS63" s="2"/>
    </row>
    <row r="64" spans="5:71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  <c r="BM64" s="2"/>
      <c r="BP64" s="2"/>
      <c r="BS64" s="2"/>
    </row>
    <row r="65" spans="5:71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  <c r="BM65" s="2"/>
      <c r="BP65" s="2"/>
      <c r="BS65" s="2"/>
    </row>
    <row r="66" spans="5:71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  <c r="BM66" s="2"/>
      <c r="BP66" s="2"/>
      <c r="BS66" s="2"/>
    </row>
    <row r="67" spans="5:71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  <c r="BM67" s="2"/>
      <c r="BP67" s="2"/>
      <c r="BS67" s="2"/>
    </row>
    <row r="68" spans="5:71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  <c r="BM68" s="2"/>
      <c r="BP68" s="2"/>
      <c r="BS68" s="2"/>
    </row>
    <row r="69" spans="5:71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  <c r="BM69" s="2"/>
      <c r="BP69" s="2"/>
      <c r="BS69" s="2"/>
    </row>
    <row r="70" spans="5:71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  <c r="BM70" s="2"/>
      <c r="BP70" s="2"/>
      <c r="BS70" s="2"/>
    </row>
    <row r="71" spans="5:71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  <c r="BM71" s="2"/>
      <c r="BP71" s="2"/>
      <c r="BS71" s="2"/>
    </row>
    <row r="72" spans="5:71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  <c r="BM72" s="2"/>
      <c r="BP72" s="2"/>
      <c r="BS72" s="2"/>
    </row>
    <row r="73" spans="5:71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  <c r="BP73" s="2"/>
      <c r="BS73" s="2"/>
    </row>
    <row r="74" spans="5:71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  <c r="BP74" s="2"/>
      <c r="BS74" s="2"/>
    </row>
    <row r="75" spans="5:71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  <c r="BP75" s="2"/>
      <c r="BS75" s="2"/>
    </row>
    <row r="76" spans="5:71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  <c r="BP76" s="2"/>
      <c r="BS76" s="2"/>
    </row>
    <row r="77" spans="5:71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  <c r="BP77" s="2"/>
      <c r="BS77" s="2"/>
    </row>
    <row r="78" spans="5:71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  <c r="BP78" s="2"/>
      <c r="BS78" s="2"/>
    </row>
    <row r="79" spans="5:71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  <c r="BP79" s="2"/>
      <c r="BS79" s="2"/>
    </row>
    <row r="80" spans="5:71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  <c r="BP80" s="2"/>
      <c r="BS80" s="2"/>
    </row>
    <row r="81" spans="5:71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  <c r="BP81" s="2"/>
      <c r="BS81" s="2"/>
    </row>
    <row r="82" spans="5:71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  <c r="BP82" s="2"/>
      <c r="BS82" s="2"/>
    </row>
    <row r="83" spans="5:71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  <c r="BP83" s="2"/>
      <c r="BS83" s="2"/>
    </row>
    <row r="84" spans="5:71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  <c r="BP84" s="2"/>
      <c r="BS84" s="2"/>
    </row>
    <row r="85" spans="5:71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  <c r="BP85" s="2"/>
      <c r="BS85" s="2"/>
    </row>
    <row r="86" spans="5:71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  <c r="BP86" s="2"/>
      <c r="BS86" s="2"/>
    </row>
    <row r="87" spans="5:71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  <c r="BP87" s="2"/>
      <c r="BS87" s="2"/>
    </row>
    <row r="88" spans="5:71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  <c r="BP88" s="2"/>
      <c r="BS88" s="2"/>
    </row>
    <row r="89" spans="5:71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  <c r="BP89" s="2"/>
      <c r="BS89" s="2"/>
    </row>
    <row r="90" spans="5:71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  <c r="BP90" s="2"/>
      <c r="BS90" s="2"/>
    </row>
    <row r="91" spans="5:71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  <c r="BP91" s="2"/>
      <c r="BS91" s="2"/>
    </row>
    <row r="92" spans="5:71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  <c r="BP92" s="2"/>
      <c r="BS92" s="2"/>
    </row>
    <row r="93" spans="5:71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  <c r="BP93" s="2"/>
      <c r="BS93" s="2"/>
    </row>
    <row r="94" spans="5:71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  <c r="BP94" s="2"/>
      <c r="BS94" s="2"/>
    </row>
    <row r="95" spans="5:71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  <c r="BP95" s="2"/>
      <c r="BS95" s="2"/>
    </row>
    <row r="96" spans="5:71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  <c r="BP96" s="2"/>
      <c r="BS96" s="2"/>
    </row>
    <row r="97" spans="5:71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  <c r="BP97" s="2"/>
      <c r="BS97" s="2"/>
    </row>
    <row r="98" spans="5:71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  <c r="BP98" s="2"/>
      <c r="BS98" s="2"/>
    </row>
    <row r="99" spans="5:71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  <c r="BP99" s="2"/>
      <c r="BS99" s="2"/>
    </row>
    <row r="100" spans="5:71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  <c r="BP100" s="2"/>
      <c r="BS100" s="2"/>
    </row>
    <row r="101" spans="5:71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  <c r="BP101" s="2"/>
      <c r="BS101" s="2"/>
    </row>
    <row r="102" spans="5:71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  <c r="BP102" s="2"/>
      <c r="BS102" s="2"/>
    </row>
    <row r="103" spans="5:71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  <c r="BP103" s="2"/>
      <c r="BS103" s="2"/>
    </row>
    <row r="104" spans="5:71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  <c r="BP104" s="2"/>
      <c r="BS104" s="2"/>
    </row>
    <row r="105" spans="5:71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  <c r="BP105" s="2"/>
      <c r="BS105" s="2"/>
    </row>
    <row r="106" spans="5:71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  <c r="BP106" s="2"/>
      <c r="BS106" s="2"/>
    </row>
    <row r="107" spans="5:71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  <c r="BP107" s="2"/>
      <c r="BS107" s="2"/>
    </row>
    <row r="108" spans="5:71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  <c r="BP108" s="2"/>
      <c r="BS108" s="2"/>
    </row>
    <row r="109" spans="5:71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  <c r="BP109" s="2"/>
      <c r="BS109" s="2"/>
    </row>
    <row r="110" spans="5:71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  <c r="BP110" s="2"/>
      <c r="BS110" s="2"/>
    </row>
    <row r="111" spans="5:71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  <c r="BP111" s="2"/>
      <c r="BS111" s="2"/>
    </row>
    <row r="112" spans="5:71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  <c r="BP112" s="2"/>
      <c r="BS112" s="2"/>
    </row>
    <row r="113" spans="1:71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  <c r="BP113" s="2"/>
      <c r="BS113" s="2"/>
    </row>
    <row r="114" spans="1:71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  <c r="BP114" s="2"/>
      <c r="BS114" s="2"/>
    </row>
    <row r="115" spans="1:71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  <c r="BP115" s="2"/>
      <c r="BS115" s="2"/>
    </row>
    <row r="116" spans="1:71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  <c r="BP116" s="2"/>
      <c r="BS116" s="2"/>
    </row>
    <row r="117" spans="1:71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  <c r="BP117" s="2"/>
      <c r="BS117" s="2"/>
    </row>
    <row r="118" spans="1:71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  <c r="BP118" s="2"/>
      <c r="BS118" s="2"/>
    </row>
    <row r="119" spans="1:71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  <c r="BP119" s="2"/>
      <c r="BS119" s="2"/>
    </row>
    <row r="120" spans="1:71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  <c r="BP120" s="2"/>
      <c r="BS120" s="2"/>
    </row>
    <row r="121" spans="1:71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  <c r="BP121" s="2"/>
      <c r="BS121" s="2"/>
    </row>
    <row r="128" spans="1:71" s="6" customFormat="1" x14ac:dyDescent="0.2">
      <c r="A128" s="1"/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</row>
    <row r="129" spans="1:71" s="6" customFormat="1" x14ac:dyDescent="0.2">
      <c r="A129" s="1"/>
      <c r="B129" s="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</row>
    <row r="130" spans="1:71" s="6" customForma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</row>
  </sheetData>
  <mergeCells count="93">
    <mergeCell ref="BN1:BP1"/>
    <mergeCell ref="BQ1:BS1"/>
    <mergeCell ref="AV1:AX1"/>
    <mergeCell ref="AY1:BA1"/>
    <mergeCell ref="BB1:BD1"/>
    <mergeCell ref="BE1:BG1"/>
    <mergeCell ref="BH1:BJ1"/>
    <mergeCell ref="BK1:BM1"/>
    <mergeCell ref="AD1:AF1"/>
    <mergeCell ref="AG1:AI1"/>
    <mergeCell ref="AJ1:AL1"/>
    <mergeCell ref="AM1:AO1"/>
    <mergeCell ref="AP1:AR1"/>
    <mergeCell ref="AS1:AU1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AD2:AE2"/>
    <mergeCell ref="AG2:AH2"/>
    <mergeCell ref="AJ2:AK2"/>
    <mergeCell ref="AM2:AN2"/>
    <mergeCell ref="AP2:AQ2"/>
    <mergeCell ref="AS2:AT2"/>
    <mergeCell ref="BQ4:BR4"/>
    <mergeCell ref="AJ4:AK4"/>
    <mergeCell ref="AM4:AN4"/>
    <mergeCell ref="AP4:AQ4"/>
    <mergeCell ref="AS4:AT4"/>
    <mergeCell ref="AV4:AW4"/>
    <mergeCell ref="AY4:AZ4"/>
    <mergeCell ref="BB4:BC4"/>
    <mergeCell ref="BE4:BF4"/>
    <mergeCell ref="BH4:BI4"/>
    <mergeCell ref="BK4:BL4"/>
    <mergeCell ref="BN4:BO4"/>
    <mergeCell ref="U4:V4"/>
    <mergeCell ref="X4:Y4"/>
    <mergeCell ref="AA4:AB4"/>
    <mergeCell ref="AD4:AE4"/>
    <mergeCell ref="AG4:AH4"/>
    <mergeCell ref="BH3:BI3"/>
    <mergeCell ref="BK3:BL3"/>
    <mergeCell ref="BN3:BO3"/>
    <mergeCell ref="BQ3:BR3"/>
    <mergeCell ref="C4:D4"/>
    <mergeCell ref="F4:G4"/>
    <mergeCell ref="I4:J4"/>
    <mergeCell ref="L4:M4"/>
    <mergeCell ref="O4:P4"/>
    <mergeCell ref="R4:S4"/>
    <mergeCell ref="AP3:AQ3"/>
    <mergeCell ref="AS3:AT3"/>
    <mergeCell ref="AV3:AW3"/>
    <mergeCell ref="AY3:AZ3"/>
    <mergeCell ref="BB3:BC3"/>
    <mergeCell ref="BE3:BF3"/>
    <mergeCell ref="AA3:AB3"/>
    <mergeCell ref="AD3:AE3"/>
    <mergeCell ref="AG3:AH3"/>
    <mergeCell ref="AJ3:AK3"/>
    <mergeCell ref="AM3:AN3"/>
    <mergeCell ref="BN2:BO2"/>
    <mergeCell ref="BQ2:BR2"/>
    <mergeCell ref="C3:D3"/>
    <mergeCell ref="F3:G3"/>
    <mergeCell ref="I3:J3"/>
    <mergeCell ref="L3:M3"/>
    <mergeCell ref="O3:P3"/>
    <mergeCell ref="R3:S3"/>
    <mergeCell ref="U3:V3"/>
    <mergeCell ref="X3:Y3"/>
    <mergeCell ref="AV2:AW2"/>
    <mergeCell ref="AY2:AZ2"/>
    <mergeCell ref="BB2:BC2"/>
    <mergeCell ref="BE2:BF2"/>
    <mergeCell ref="BH2:BI2"/>
    <mergeCell ref="BK2:BL2"/>
    <mergeCell ref="O2:P2"/>
    <mergeCell ref="R2:S2"/>
    <mergeCell ref="U2:V2"/>
    <mergeCell ref="X2:Y2"/>
    <mergeCell ref="AA2:AB2"/>
    <mergeCell ref="O1:Q1"/>
    <mergeCell ref="R1:T1"/>
    <mergeCell ref="U1:W1"/>
    <mergeCell ref="X1:Z1"/>
    <mergeCell ref="AA1:AC1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6AAD-3781-4521-9AC6-4B462B7C6375}">
  <dimension ref="A1:BG139"/>
  <sheetViews>
    <sheetView zoomScaleNormal="100" workbookViewId="0">
      <selection activeCell="B7" sqref="B7"/>
    </sheetView>
  </sheetViews>
  <sheetFormatPr defaultColWidth="9" defaultRowHeight="14.25" x14ac:dyDescent="0.2"/>
  <cols>
    <col min="1" max="1" width="14.875" style="1" customWidth="1"/>
    <col min="2" max="4" width="9" style="1"/>
    <col min="5" max="5" width="9" style="6"/>
    <col min="6" max="7" width="9" style="1"/>
    <col min="8" max="8" width="9" style="6"/>
    <col min="9" max="10" width="9" style="1"/>
    <col min="11" max="11" width="9" style="6"/>
    <col min="12" max="13" width="9" style="1"/>
    <col min="14" max="14" width="9" style="6"/>
    <col min="15" max="16" width="9" style="1"/>
    <col min="17" max="17" width="9" style="6"/>
    <col min="18" max="19" width="9" style="1"/>
    <col min="20" max="20" width="9" style="6"/>
    <col min="21" max="22" width="9" style="1"/>
    <col min="23" max="23" width="9" style="6"/>
    <col min="24" max="25" width="9" style="1"/>
    <col min="26" max="26" width="9" style="6"/>
    <col min="27" max="28" width="9" style="1"/>
    <col min="29" max="29" width="9" style="6"/>
    <col min="30" max="31" width="9" style="1"/>
    <col min="32" max="32" width="9" style="6"/>
    <col min="33" max="34" width="9" style="1"/>
    <col min="35" max="35" width="9" style="6"/>
    <col min="36" max="37" width="9" style="1"/>
    <col min="38" max="38" width="9" style="6"/>
    <col min="39" max="40" width="9" style="1"/>
    <col min="41" max="41" width="9" style="6"/>
    <col min="42" max="43" width="9" style="1"/>
    <col min="44" max="44" width="9" style="6"/>
    <col min="45" max="46" width="9" style="1"/>
    <col min="47" max="47" width="9" style="6"/>
    <col min="48" max="49" width="9" style="1"/>
    <col min="50" max="50" width="9" style="6"/>
    <col min="51" max="52" width="9" style="1"/>
    <col min="53" max="53" width="9" style="6"/>
    <col min="54" max="55" width="9" style="1"/>
    <col min="56" max="56" width="9" style="6"/>
    <col min="57" max="58" width="9" style="1"/>
    <col min="59" max="59" width="9" style="6"/>
    <col min="60" max="16384" width="9" style="1"/>
  </cols>
  <sheetData>
    <row r="1" spans="1:59" s="5" customFormat="1" x14ac:dyDescent="0.2">
      <c r="A1" s="20" t="s">
        <v>45</v>
      </c>
      <c r="B1" s="20"/>
      <c r="C1" s="18" t="s">
        <v>19</v>
      </c>
      <c r="D1" s="18"/>
      <c r="E1" s="18"/>
      <c r="F1" s="18" t="s">
        <v>12</v>
      </c>
      <c r="G1" s="18"/>
      <c r="H1" s="18"/>
      <c r="I1" s="18" t="s">
        <v>22</v>
      </c>
      <c r="J1" s="18"/>
      <c r="K1" s="18"/>
      <c r="L1" s="18" t="s">
        <v>25</v>
      </c>
      <c r="M1" s="18"/>
      <c r="N1" s="18"/>
      <c r="O1" s="18" t="s">
        <v>21</v>
      </c>
      <c r="P1" s="18"/>
      <c r="Q1" s="18"/>
      <c r="R1" s="18" t="s">
        <v>23</v>
      </c>
      <c r="S1" s="18"/>
      <c r="T1" s="18"/>
      <c r="U1" s="18" t="s">
        <v>31</v>
      </c>
      <c r="V1" s="18"/>
      <c r="W1" s="18"/>
      <c r="X1" s="18" t="s">
        <v>6</v>
      </c>
      <c r="Y1" s="18"/>
      <c r="Z1" s="18"/>
      <c r="AA1" s="18" t="s">
        <v>34</v>
      </c>
      <c r="AB1" s="18"/>
      <c r="AC1" s="18"/>
      <c r="AD1" s="18" t="s">
        <v>46</v>
      </c>
      <c r="AE1" s="18"/>
      <c r="AF1" s="18"/>
      <c r="AG1" s="18" t="s">
        <v>41</v>
      </c>
      <c r="AH1" s="18"/>
      <c r="AI1" s="18"/>
      <c r="AJ1" s="18" t="s">
        <v>8</v>
      </c>
      <c r="AK1" s="18"/>
      <c r="AL1" s="18"/>
      <c r="AM1" s="18" t="s">
        <v>15</v>
      </c>
      <c r="AN1" s="18"/>
      <c r="AO1" s="18"/>
      <c r="AP1" s="18" t="s">
        <v>20</v>
      </c>
      <c r="AQ1" s="18"/>
      <c r="AR1" s="18"/>
      <c r="AS1" s="18" t="s">
        <v>44</v>
      </c>
      <c r="AT1" s="18"/>
      <c r="AU1" s="18"/>
      <c r="AV1" s="18" t="s">
        <v>11</v>
      </c>
      <c r="AW1" s="18"/>
      <c r="AX1" s="18"/>
      <c r="AY1" s="18" t="s">
        <v>13</v>
      </c>
      <c r="AZ1" s="18"/>
      <c r="BA1" s="18"/>
      <c r="BB1" s="18" t="s">
        <v>33</v>
      </c>
      <c r="BC1" s="18"/>
      <c r="BD1" s="18"/>
      <c r="BE1" s="18" t="s">
        <v>40</v>
      </c>
      <c r="BF1" s="18"/>
      <c r="BG1" s="18"/>
    </row>
    <row r="2" spans="1:59" x14ac:dyDescent="0.2">
      <c r="A2" s="1" t="s">
        <v>5</v>
      </c>
      <c r="B2" s="1">
        <f>SUM(C2:WQ2)</f>
        <v>250</v>
      </c>
      <c r="C2" s="19" t="s">
        <v>5</v>
      </c>
      <c r="D2" s="19"/>
      <c r="E2" s="8">
        <f>COUNT(E6:E300)</f>
        <v>9</v>
      </c>
      <c r="F2" s="19" t="s">
        <v>5</v>
      </c>
      <c r="G2" s="19"/>
      <c r="H2" s="8">
        <f>COUNT(H6:H300)</f>
        <v>134</v>
      </c>
      <c r="I2" s="19" t="s">
        <v>5</v>
      </c>
      <c r="J2" s="19"/>
      <c r="K2" s="8">
        <f>COUNT(K6:K300)</f>
        <v>11</v>
      </c>
      <c r="L2" s="19" t="s">
        <v>5</v>
      </c>
      <c r="M2" s="19"/>
      <c r="N2" s="8">
        <f>COUNT(N6:N300)</f>
        <v>8</v>
      </c>
      <c r="O2" s="19" t="s">
        <v>5</v>
      </c>
      <c r="P2" s="19"/>
      <c r="Q2" s="8">
        <f>COUNT(Q6:Q300)</f>
        <v>22</v>
      </c>
      <c r="R2" s="19" t="s">
        <v>5</v>
      </c>
      <c r="S2" s="19"/>
      <c r="T2" s="8">
        <f>COUNT(T6:T300)</f>
        <v>16</v>
      </c>
      <c r="U2" s="19" t="s">
        <v>5</v>
      </c>
      <c r="V2" s="19"/>
      <c r="W2" s="8">
        <f>COUNT(W6:W300)</f>
        <v>2</v>
      </c>
      <c r="X2" s="19" t="s">
        <v>5</v>
      </c>
      <c r="Y2" s="19"/>
      <c r="Z2" s="8">
        <f>COUNT(Z6:Z300)</f>
        <v>4</v>
      </c>
      <c r="AA2" s="19" t="s">
        <v>5</v>
      </c>
      <c r="AB2" s="19"/>
      <c r="AC2" s="8">
        <f>COUNT(AC6:AC300)</f>
        <v>6</v>
      </c>
      <c r="AD2" s="19" t="s">
        <v>5</v>
      </c>
      <c r="AE2" s="19"/>
      <c r="AF2" s="8">
        <f>COUNT(AF6:AF300)</f>
        <v>10</v>
      </c>
      <c r="AG2" s="19" t="s">
        <v>5</v>
      </c>
      <c r="AH2" s="19"/>
      <c r="AI2" s="8">
        <f>COUNT(AI6:AI300)</f>
        <v>3</v>
      </c>
      <c r="AJ2" s="19" t="s">
        <v>5</v>
      </c>
      <c r="AK2" s="19"/>
      <c r="AL2" s="8">
        <f>COUNT(AL6:AL300)</f>
        <v>2</v>
      </c>
      <c r="AM2" s="19" t="s">
        <v>5</v>
      </c>
      <c r="AN2" s="19"/>
      <c r="AO2" s="8">
        <f>COUNT(AO6:AO300)</f>
        <v>2</v>
      </c>
      <c r="AP2" s="19" t="s">
        <v>5</v>
      </c>
      <c r="AQ2" s="19"/>
      <c r="AR2" s="8">
        <f>COUNT(AR6:AR300)</f>
        <v>9</v>
      </c>
      <c r="AS2" s="19" t="s">
        <v>5</v>
      </c>
      <c r="AT2" s="19"/>
      <c r="AU2" s="8">
        <f>COUNT(AU6:AU300)</f>
        <v>1</v>
      </c>
      <c r="AV2" s="19" t="s">
        <v>5</v>
      </c>
      <c r="AW2" s="19"/>
      <c r="AX2" s="8">
        <f>COUNT(AX6:AX300)</f>
        <v>3</v>
      </c>
      <c r="AY2" s="19" t="s">
        <v>5</v>
      </c>
      <c r="AZ2" s="19"/>
      <c r="BA2" s="8">
        <f>COUNT(BA6:BA300)</f>
        <v>6</v>
      </c>
      <c r="BB2" s="19" t="s">
        <v>5</v>
      </c>
      <c r="BC2" s="19"/>
      <c r="BD2" s="8">
        <f>COUNT(BD6:BD300)</f>
        <v>1</v>
      </c>
      <c r="BE2" s="19" t="s">
        <v>5</v>
      </c>
      <c r="BF2" s="19"/>
      <c r="BG2" s="8">
        <f>COUNT(BG6:BG300)</f>
        <v>1</v>
      </c>
    </row>
    <row r="3" spans="1:59" x14ac:dyDescent="0.2">
      <c r="A3" s="1" t="s">
        <v>4</v>
      </c>
      <c r="B3" s="1">
        <f>SUM(C3:WQ3)</f>
        <v>35.605592181214554</v>
      </c>
      <c r="C3" s="19" t="s">
        <v>4</v>
      </c>
      <c r="D3" s="19"/>
      <c r="E3" s="8">
        <f>SUM(E6:E300)</f>
        <v>1.9209025777074999</v>
      </c>
      <c r="F3" s="19" t="s">
        <v>4</v>
      </c>
      <c r="G3" s="19"/>
      <c r="H3" s="8">
        <f>SUM(H6:H300)</f>
        <v>10.750914736989095</v>
      </c>
      <c r="I3" s="19" t="s">
        <v>4</v>
      </c>
      <c r="J3" s="19"/>
      <c r="K3" s="8">
        <f>SUM(K6:K300)</f>
        <v>0.33680671363187498</v>
      </c>
      <c r="L3" s="19" t="s">
        <v>4</v>
      </c>
      <c r="M3" s="19"/>
      <c r="N3" s="8">
        <f>SUM(N6:N300)</f>
        <v>0.20560356627062501</v>
      </c>
      <c r="O3" s="19" t="s">
        <v>4</v>
      </c>
      <c r="P3" s="19"/>
      <c r="Q3" s="8">
        <f>SUM(Q6:Q300)</f>
        <v>1.0910028780031251</v>
      </c>
      <c r="R3" s="19" t="s">
        <v>4</v>
      </c>
      <c r="S3" s="19"/>
      <c r="T3" s="8">
        <f>SUM(T6:T300)</f>
        <v>0.63556578740187508</v>
      </c>
      <c r="U3" s="19" t="s">
        <v>4</v>
      </c>
      <c r="V3" s="19"/>
      <c r="W3" s="8">
        <f>SUM(W6:W300)</f>
        <v>0.49694037788000006</v>
      </c>
      <c r="X3" s="19" t="s">
        <v>4</v>
      </c>
      <c r="Y3" s="19"/>
      <c r="Z3" s="8">
        <f>SUM(Z6:Z300)</f>
        <v>1.4166772815799999</v>
      </c>
      <c r="AA3" s="19" t="s">
        <v>4</v>
      </c>
      <c r="AB3" s="19"/>
      <c r="AC3" s="8">
        <f>SUM(AC6:AC300)</f>
        <v>0.55330377672999997</v>
      </c>
      <c r="AD3" s="19" t="s">
        <v>4</v>
      </c>
      <c r="AE3" s="19"/>
      <c r="AF3" s="8">
        <f>SUM(AF6:AF300)</f>
        <v>1.1180355146010938</v>
      </c>
      <c r="AG3" s="19" t="s">
        <v>4</v>
      </c>
      <c r="AH3" s="19"/>
      <c r="AI3" s="8">
        <f>SUM(AI6:AI300)</f>
        <v>0.249599586866875</v>
      </c>
      <c r="AJ3" s="19" t="s">
        <v>4</v>
      </c>
      <c r="AK3" s="19"/>
      <c r="AL3" s="8">
        <f>SUM(AL6:AL300)</f>
        <v>0.12794682830187498</v>
      </c>
      <c r="AM3" s="19" t="s">
        <v>4</v>
      </c>
      <c r="AN3" s="19"/>
      <c r="AO3" s="8">
        <f>SUM(AO6:AO300)</f>
        <v>0.11313092941999998</v>
      </c>
      <c r="AP3" s="19" t="s">
        <v>4</v>
      </c>
      <c r="AQ3" s="19"/>
      <c r="AR3" s="8">
        <f>SUM(AR6:AR300)</f>
        <v>2.526231465505</v>
      </c>
      <c r="AS3" s="19" t="s">
        <v>4</v>
      </c>
      <c r="AT3" s="19"/>
      <c r="AU3" s="8">
        <f>SUM(AU6:AU300)</f>
        <v>3.6947829239999994E-2</v>
      </c>
      <c r="AV3" s="19" t="s">
        <v>4</v>
      </c>
      <c r="AW3" s="19"/>
      <c r="AX3" s="8">
        <f>SUM(AX6:AX300)</f>
        <v>0.21261516454312498</v>
      </c>
      <c r="AY3" s="19" t="s">
        <v>4</v>
      </c>
      <c r="AZ3" s="19"/>
      <c r="BA3" s="8">
        <f>SUM(BA6:BA300)</f>
        <v>13.688393901162499</v>
      </c>
      <c r="BB3" s="19" t="s">
        <v>4</v>
      </c>
      <c r="BC3" s="19"/>
      <c r="BD3" s="8">
        <f>SUM(BD6:BD300)</f>
        <v>2.4985381679999995E-2</v>
      </c>
      <c r="BE3" s="19" t="s">
        <v>4</v>
      </c>
      <c r="BF3" s="19"/>
      <c r="BG3" s="8">
        <f>SUM(BG6:BG300)</f>
        <v>9.9987883700000002E-2</v>
      </c>
    </row>
    <row r="4" spans="1:59" x14ac:dyDescent="0.2">
      <c r="C4" s="19" t="s">
        <v>3</v>
      </c>
      <c r="D4" s="19"/>
      <c r="E4" s="8">
        <f>AVERAGE(E6:E300)</f>
        <v>0.21343361974527778</v>
      </c>
      <c r="F4" s="19" t="s">
        <v>3</v>
      </c>
      <c r="G4" s="19"/>
      <c r="H4" s="8">
        <f>AVERAGE(H6:H300)</f>
        <v>8.0230706992455936E-2</v>
      </c>
      <c r="I4" s="19" t="s">
        <v>3</v>
      </c>
      <c r="J4" s="19"/>
      <c r="K4" s="8">
        <f>AVERAGE(K6:K300)</f>
        <v>3.061879214835227E-2</v>
      </c>
      <c r="L4" s="19" t="s">
        <v>3</v>
      </c>
      <c r="M4" s="19"/>
      <c r="N4" s="8">
        <f>AVERAGE(N6:N300)</f>
        <v>2.5700445783828126E-2</v>
      </c>
      <c r="O4" s="19" t="s">
        <v>3</v>
      </c>
      <c r="P4" s="19"/>
      <c r="Q4" s="8">
        <f>AVERAGE(Q6:Q300)</f>
        <v>4.9591039909232963E-2</v>
      </c>
      <c r="R4" s="19" t="s">
        <v>3</v>
      </c>
      <c r="S4" s="19"/>
      <c r="T4" s="8">
        <f>AVERAGE(T6:T300)</f>
        <v>3.9722861712617193E-2</v>
      </c>
      <c r="U4" s="19" t="s">
        <v>3</v>
      </c>
      <c r="V4" s="19"/>
      <c r="W4" s="8">
        <f>AVERAGE(W6:W300)</f>
        <v>0.24847018894000003</v>
      </c>
      <c r="X4" s="19" t="s">
        <v>3</v>
      </c>
      <c r="Y4" s="19"/>
      <c r="Z4" s="8">
        <f>AVERAGE(Z6:Z300)</f>
        <v>0.35416932039499999</v>
      </c>
      <c r="AA4" s="19" t="s">
        <v>3</v>
      </c>
      <c r="AB4" s="19"/>
      <c r="AC4" s="8">
        <f>AVERAGE(AC6:AC300)</f>
        <v>9.2217296121666667E-2</v>
      </c>
      <c r="AD4" s="19" t="s">
        <v>3</v>
      </c>
      <c r="AE4" s="19"/>
      <c r="AF4" s="8">
        <f>AVERAGE(AF6:AF300)</f>
        <v>0.11180355146010938</v>
      </c>
      <c r="AG4" s="19" t="s">
        <v>3</v>
      </c>
      <c r="AH4" s="19"/>
      <c r="AI4" s="8">
        <f>AVERAGE(AI6:AI300)</f>
        <v>8.3199862288958329E-2</v>
      </c>
      <c r="AJ4" s="19" t="s">
        <v>3</v>
      </c>
      <c r="AK4" s="19"/>
      <c r="AL4" s="8">
        <f>AVERAGE(AL6:AL300)</f>
        <v>6.3973414150937491E-2</v>
      </c>
      <c r="AM4" s="19" t="s">
        <v>3</v>
      </c>
      <c r="AN4" s="19"/>
      <c r="AO4" s="8">
        <f>AVERAGE(AO6:AO300)</f>
        <v>5.6565464709999992E-2</v>
      </c>
      <c r="AP4" s="19" t="s">
        <v>3</v>
      </c>
      <c r="AQ4" s="19"/>
      <c r="AR4" s="8">
        <f>AVERAGE(AR6:AR300)</f>
        <v>0.2806923850561111</v>
      </c>
      <c r="AS4" s="19" t="s">
        <v>3</v>
      </c>
      <c r="AT4" s="19"/>
      <c r="AU4" s="8">
        <f>AVERAGE(AU6:AU300)</f>
        <v>3.6947829239999994E-2</v>
      </c>
      <c r="AV4" s="19" t="s">
        <v>3</v>
      </c>
      <c r="AW4" s="19"/>
      <c r="AX4" s="8">
        <f>AVERAGE(AX6:AX300)</f>
        <v>7.0871721514375E-2</v>
      </c>
      <c r="AY4" s="19" t="s">
        <v>3</v>
      </c>
      <c r="AZ4" s="19"/>
      <c r="BA4" s="8">
        <f>AVERAGE(BA6:BA300)</f>
        <v>2.2813989835270831</v>
      </c>
      <c r="BB4" s="19" t="s">
        <v>3</v>
      </c>
      <c r="BC4" s="19"/>
      <c r="BD4" s="8">
        <f>AVERAGE(BD6:BD300)</f>
        <v>2.4985381679999995E-2</v>
      </c>
      <c r="BE4" s="19" t="s">
        <v>3</v>
      </c>
      <c r="BF4" s="19"/>
      <c r="BG4" s="8">
        <f>AVERAGE(BG6:BG300)</f>
        <v>9.9987883700000002E-2</v>
      </c>
    </row>
    <row r="5" spans="1:59" x14ac:dyDescent="0.2"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</row>
    <row r="6" spans="1:59" x14ac:dyDescent="0.2">
      <c r="C6" s="3">
        <v>478.76</v>
      </c>
      <c r="D6" s="3">
        <v>22.94</v>
      </c>
      <c r="E6" s="2">
        <f t="shared" ref="E6:E14" si="0">(C6*D6*D6)/1600000</f>
        <v>0.15746524121</v>
      </c>
      <c r="F6" s="3">
        <v>323.83</v>
      </c>
      <c r="G6" s="3">
        <v>19.8</v>
      </c>
      <c r="H6" s="2">
        <f t="shared" ref="H6:H37" si="1">(F6*G6*G6)/1600000</f>
        <v>7.9346445750000008E-2</v>
      </c>
      <c r="I6" s="3">
        <v>341.66</v>
      </c>
      <c r="J6" s="3">
        <v>15.35</v>
      </c>
      <c r="K6" s="2">
        <f t="shared" ref="K6:K16" si="2">(I6*J6*J6)/1600000</f>
        <v>5.0314239593750011E-2</v>
      </c>
      <c r="L6" s="3">
        <v>198.23</v>
      </c>
      <c r="M6" s="3">
        <v>8.19</v>
      </c>
      <c r="N6" s="2">
        <f t="shared" ref="N6:N13" si="3">(L6*M6*M6)/1600000</f>
        <v>8.3103095643749982E-3</v>
      </c>
      <c r="O6" s="3">
        <v>434.24</v>
      </c>
      <c r="P6" s="3">
        <v>12.79</v>
      </c>
      <c r="Q6" s="2">
        <f t="shared" ref="Q6:Q27" si="4">(O6*P6*P6)/1600000</f>
        <v>4.439672473999999E-2</v>
      </c>
      <c r="R6" s="3">
        <v>329.84</v>
      </c>
      <c r="S6" s="3">
        <v>13.43</v>
      </c>
      <c r="T6" s="2">
        <f t="shared" ref="T6:T21" si="5">(R6*S6*S6)/1600000</f>
        <v>3.7182224134999997E-2</v>
      </c>
      <c r="U6" s="3">
        <v>605.98</v>
      </c>
      <c r="V6" s="3">
        <v>29.67</v>
      </c>
      <c r="W6" s="2">
        <f t="shared" ref="W6:W7" si="6">(U6*V6*V6)/1600000</f>
        <v>0.3334059920137501</v>
      </c>
      <c r="X6" s="3">
        <v>512.38</v>
      </c>
      <c r="Y6" s="3">
        <v>25.19</v>
      </c>
      <c r="Z6" s="2">
        <f t="shared" ref="Z6:Z9" si="7">(X6*Y6*Y6)/1600000</f>
        <v>0.20320225432375003</v>
      </c>
      <c r="AA6" s="3">
        <v>390.91</v>
      </c>
      <c r="AB6" s="3">
        <v>19.46</v>
      </c>
      <c r="AC6" s="2">
        <f t="shared" ref="AC6:AC11" si="8">(AA6*AB6*AB6)/1600000</f>
        <v>9.2521458347500016E-2</v>
      </c>
      <c r="AD6" s="3">
        <v>594.07000000000005</v>
      </c>
      <c r="AE6" s="3">
        <v>26.73</v>
      </c>
      <c r="AF6" s="2">
        <f t="shared" ref="AF6:AF15" si="9">(AD6*AE6*AE6)/1600000</f>
        <v>0.26528674818937503</v>
      </c>
      <c r="AG6" s="3">
        <v>417.55</v>
      </c>
      <c r="AH6" s="3">
        <v>17.38</v>
      </c>
      <c r="AI6" s="2">
        <f t="shared" ref="AI6:AI8" si="10">(AG6*AH6*AH6)/1600000</f>
        <v>7.8829368887500001E-2</v>
      </c>
      <c r="AJ6" s="3">
        <v>664.91</v>
      </c>
      <c r="AK6" s="3">
        <v>14.93</v>
      </c>
      <c r="AL6" s="2">
        <f t="shared" ref="AL6:AL7" si="11">(AJ6*AK6*AK6)/1600000</f>
        <v>9.2632310661874995E-2</v>
      </c>
      <c r="AM6" s="3">
        <v>297.94</v>
      </c>
      <c r="AN6" s="3">
        <v>22.24</v>
      </c>
      <c r="AO6" s="2">
        <f t="shared" ref="AO6:AO7" si="12">(AM6*AN6*AN6)/1600000</f>
        <v>9.2103979839999989E-2</v>
      </c>
      <c r="AP6" s="1">
        <v>725.55</v>
      </c>
      <c r="AQ6" s="1">
        <v>25.3</v>
      </c>
      <c r="AR6" s="2">
        <f t="shared" ref="AR6:AR14" si="13">(AP6*AQ6*AQ6)/1600000</f>
        <v>0.29026081218749999</v>
      </c>
      <c r="AS6" s="1">
        <v>394.59</v>
      </c>
      <c r="AT6" s="1">
        <v>12.24</v>
      </c>
      <c r="AU6" s="2">
        <f t="shared" ref="AU6" si="14">(AS6*AT6*AT6)/1600000</f>
        <v>3.6947829239999994E-2</v>
      </c>
      <c r="AV6" s="1">
        <v>399.65</v>
      </c>
      <c r="AW6" s="1">
        <v>15.14</v>
      </c>
      <c r="AX6" s="2">
        <f t="shared" ref="AX6:AX8" si="15">(AV6*AW6*AW6)/1600000</f>
        <v>5.72547582125E-2</v>
      </c>
      <c r="AY6" s="1">
        <v>1381.06</v>
      </c>
      <c r="AZ6" s="1">
        <v>54.35</v>
      </c>
      <c r="BA6" s="2">
        <f t="shared" ref="BA6:BA10" si="16">(AY6*AZ6*AZ6)/1600000</f>
        <v>2.5497151299062502</v>
      </c>
      <c r="BB6" s="1">
        <v>242.48</v>
      </c>
      <c r="BC6" s="1">
        <v>12.84</v>
      </c>
      <c r="BD6" s="2">
        <f t="shared" ref="BD6" si="17">(BB6*BC6*BC6)/1600000</f>
        <v>2.4985381679999995E-2</v>
      </c>
      <c r="BE6" s="1">
        <v>533.29999999999995</v>
      </c>
      <c r="BF6" s="1">
        <v>17.32</v>
      </c>
      <c r="BG6" s="2">
        <f t="shared" ref="BG6" si="18">(BE6*BF6*BF6)/1600000</f>
        <v>9.9987883700000002E-2</v>
      </c>
    </row>
    <row r="7" spans="1:59" x14ac:dyDescent="0.2">
      <c r="C7" s="3">
        <v>483.33</v>
      </c>
      <c r="D7" s="3">
        <v>16.86</v>
      </c>
      <c r="E7" s="2">
        <f t="shared" si="0"/>
        <v>8.58694952925E-2</v>
      </c>
      <c r="F7" s="3">
        <v>402.67</v>
      </c>
      <c r="G7" s="3">
        <v>20.9</v>
      </c>
      <c r="H7" s="2">
        <f t="shared" si="1"/>
        <v>0.10993142668749999</v>
      </c>
      <c r="I7" s="3">
        <v>248.48</v>
      </c>
      <c r="J7" s="3">
        <v>15.09</v>
      </c>
      <c r="K7" s="2">
        <f t="shared" si="2"/>
        <v>3.5363067929999999E-2</v>
      </c>
      <c r="L7" s="3">
        <v>227.41</v>
      </c>
      <c r="M7" s="3">
        <v>9.4600000000000009</v>
      </c>
      <c r="N7" s="2">
        <f t="shared" si="3"/>
        <v>1.2719552972500001E-2</v>
      </c>
      <c r="O7" s="3">
        <v>175.67</v>
      </c>
      <c r="P7" s="3">
        <v>9.5399999999999991</v>
      </c>
      <c r="Q7" s="2">
        <f t="shared" si="4"/>
        <v>9.9925048574999974E-3</v>
      </c>
      <c r="R7" s="3">
        <v>366.93</v>
      </c>
      <c r="S7" s="3">
        <v>15.32</v>
      </c>
      <c r="T7" s="2">
        <f t="shared" si="5"/>
        <v>5.3824594770000005E-2</v>
      </c>
      <c r="U7" s="3">
        <v>545.05999999999995</v>
      </c>
      <c r="V7" s="3">
        <v>21.91</v>
      </c>
      <c r="W7" s="2">
        <f t="shared" si="6"/>
        <v>0.16353438586624996</v>
      </c>
      <c r="X7" s="3">
        <v>581.62</v>
      </c>
      <c r="Y7" s="3">
        <v>41.14</v>
      </c>
      <c r="Z7" s="2">
        <f t="shared" si="7"/>
        <v>0.61524476084500002</v>
      </c>
      <c r="AA7" s="3">
        <v>510.45</v>
      </c>
      <c r="AB7" s="3">
        <v>19.34</v>
      </c>
      <c r="AC7" s="2">
        <f t="shared" si="8"/>
        <v>0.1193290450125</v>
      </c>
      <c r="AD7" s="3">
        <v>341.72</v>
      </c>
      <c r="AE7" s="3">
        <v>16.399999999999999</v>
      </c>
      <c r="AF7" s="2">
        <f t="shared" si="9"/>
        <v>5.7443131999999987E-2</v>
      </c>
      <c r="AG7" s="3">
        <v>433.03</v>
      </c>
      <c r="AH7" s="3">
        <v>16.329999999999998</v>
      </c>
      <c r="AI7" s="2">
        <f t="shared" si="10"/>
        <v>7.2172271104374991E-2</v>
      </c>
      <c r="AJ7" s="3">
        <v>447.24</v>
      </c>
      <c r="AK7" s="3">
        <v>11.24</v>
      </c>
      <c r="AL7" s="2">
        <f t="shared" si="11"/>
        <v>3.5314517640000001E-2</v>
      </c>
      <c r="AM7" s="3">
        <v>207.28</v>
      </c>
      <c r="AN7" s="3">
        <v>12.74</v>
      </c>
      <c r="AO7" s="2">
        <f t="shared" si="12"/>
        <v>2.1026949579999999E-2</v>
      </c>
      <c r="AP7" s="1">
        <v>516.55999999999995</v>
      </c>
      <c r="AQ7" s="1">
        <v>19.59</v>
      </c>
      <c r="AR7" s="2">
        <f t="shared" si="13"/>
        <v>0.12389953108499999</v>
      </c>
      <c r="AU7" s="2"/>
      <c r="AV7" s="1">
        <v>428.67</v>
      </c>
      <c r="AW7" s="1">
        <v>15.04</v>
      </c>
      <c r="AX7" s="2">
        <f t="shared" si="15"/>
        <v>6.0603649919999995E-2</v>
      </c>
      <c r="AY7" s="1">
        <v>883.86</v>
      </c>
      <c r="AZ7" s="1">
        <v>29.31</v>
      </c>
      <c r="BA7" s="2">
        <f t="shared" si="16"/>
        <v>0.47456437609125002</v>
      </c>
      <c r="BD7" s="2"/>
      <c r="BG7" s="2"/>
    </row>
    <row r="8" spans="1:59" x14ac:dyDescent="0.2">
      <c r="C8" s="3">
        <v>480.41</v>
      </c>
      <c r="D8" s="3">
        <v>16.82</v>
      </c>
      <c r="E8" s="2">
        <f t="shared" si="0"/>
        <v>8.4946216302500016E-2</v>
      </c>
      <c r="F8" s="3">
        <v>321.55</v>
      </c>
      <c r="G8" s="3">
        <v>16.760000000000002</v>
      </c>
      <c r="H8" s="2">
        <f t="shared" si="1"/>
        <v>5.6451639550000016E-2</v>
      </c>
      <c r="I8" s="3">
        <v>270.54000000000002</v>
      </c>
      <c r="J8" s="3">
        <v>13.51</v>
      </c>
      <c r="K8" s="2">
        <f t="shared" si="2"/>
        <v>3.086186740875E-2</v>
      </c>
      <c r="L8" s="3">
        <v>367.02</v>
      </c>
      <c r="M8" s="3">
        <v>11.97</v>
      </c>
      <c r="N8" s="2">
        <f t="shared" si="3"/>
        <v>3.2866847448750007E-2</v>
      </c>
      <c r="O8" s="3">
        <v>191.88</v>
      </c>
      <c r="P8" s="3">
        <v>9.91</v>
      </c>
      <c r="Q8" s="2">
        <f t="shared" si="4"/>
        <v>1.1777606392499999E-2</v>
      </c>
      <c r="R8" s="3">
        <v>311.82</v>
      </c>
      <c r="S8" s="3">
        <v>13.55</v>
      </c>
      <c r="T8" s="2">
        <f t="shared" si="5"/>
        <v>3.5781832218750004E-2</v>
      </c>
      <c r="U8" s="3"/>
      <c r="V8" s="3"/>
      <c r="W8" s="2"/>
      <c r="X8" s="3">
        <v>335.33</v>
      </c>
      <c r="Y8" s="3">
        <v>37.51</v>
      </c>
      <c r="Z8" s="2">
        <f t="shared" si="7"/>
        <v>0.29488083970812495</v>
      </c>
      <c r="AA8" s="3">
        <v>397.2</v>
      </c>
      <c r="AB8" s="3">
        <v>14.35</v>
      </c>
      <c r="AC8" s="2">
        <f t="shared" si="8"/>
        <v>5.112026062499999E-2</v>
      </c>
      <c r="AD8" s="3">
        <v>342.02</v>
      </c>
      <c r="AE8" s="3">
        <v>19.100000000000001</v>
      </c>
      <c r="AF8" s="2">
        <f t="shared" si="9"/>
        <v>7.7982697625000014E-2</v>
      </c>
      <c r="AG8" s="3">
        <v>460.94</v>
      </c>
      <c r="AH8" s="3">
        <v>18.5</v>
      </c>
      <c r="AI8" s="2">
        <f t="shared" si="10"/>
        <v>9.8597946874999995E-2</v>
      </c>
      <c r="AJ8" s="3"/>
      <c r="AK8" s="3"/>
      <c r="AL8" s="2"/>
      <c r="AM8" s="3"/>
      <c r="AN8" s="3"/>
      <c r="AO8" s="2"/>
      <c r="AP8" s="1">
        <v>573.20000000000005</v>
      </c>
      <c r="AQ8" s="1">
        <v>21.12</v>
      </c>
      <c r="AR8" s="2">
        <f t="shared" si="13"/>
        <v>0.15979898880000004</v>
      </c>
      <c r="AU8" s="2"/>
      <c r="AV8" s="1">
        <v>430.33</v>
      </c>
      <c r="AW8" s="1">
        <v>18.77</v>
      </c>
      <c r="AX8" s="2">
        <f t="shared" si="15"/>
        <v>9.475675641062499E-2</v>
      </c>
      <c r="AY8" s="1">
        <v>1653.42</v>
      </c>
      <c r="AZ8" s="1">
        <v>87.44</v>
      </c>
      <c r="BA8" s="2">
        <f t="shared" si="16"/>
        <v>7.9010261983200003</v>
      </c>
      <c r="BD8" s="2"/>
      <c r="BG8" s="2"/>
    </row>
    <row r="9" spans="1:59" x14ac:dyDescent="0.2">
      <c r="C9" s="3">
        <v>478.48</v>
      </c>
      <c r="D9" s="3">
        <v>15.39</v>
      </c>
      <c r="E9" s="2">
        <f t="shared" si="0"/>
        <v>7.0830620505000011E-2</v>
      </c>
      <c r="F9" s="3">
        <v>311.61</v>
      </c>
      <c r="G9" s="3">
        <v>22.67</v>
      </c>
      <c r="H9" s="2">
        <f t="shared" si="1"/>
        <v>0.10009086533062501</v>
      </c>
      <c r="I9" s="3">
        <v>241.74</v>
      </c>
      <c r="J9" s="3">
        <v>12.62</v>
      </c>
      <c r="K9" s="2">
        <f t="shared" si="2"/>
        <v>2.4062860034999998E-2</v>
      </c>
      <c r="L9" s="3">
        <v>273.62</v>
      </c>
      <c r="M9" s="3">
        <v>14.1</v>
      </c>
      <c r="N9" s="2">
        <f t="shared" si="3"/>
        <v>3.3998995124999994E-2</v>
      </c>
      <c r="O9" s="3">
        <v>468.78</v>
      </c>
      <c r="P9" s="3">
        <v>14.07</v>
      </c>
      <c r="Q9" s="2">
        <f t="shared" si="4"/>
        <v>5.800124113875E-2</v>
      </c>
      <c r="R9" s="3">
        <v>355.15</v>
      </c>
      <c r="S9" s="3">
        <v>13.48</v>
      </c>
      <c r="T9" s="2">
        <f t="shared" si="5"/>
        <v>4.0334030350000001E-2</v>
      </c>
      <c r="U9" s="3"/>
      <c r="V9" s="3"/>
      <c r="W9" s="2"/>
      <c r="X9" s="3">
        <v>541.09</v>
      </c>
      <c r="Y9" s="3">
        <v>29.95</v>
      </c>
      <c r="Z9" s="2">
        <f t="shared" si="7"/>
        <v>0.30334942670312498</v>
      </c>
      <c r="AA9" s="3">
        <v>410.34</v>
      </c>
      <c r="AB9" s="3">
        <v>20.010000000000002</v>
      </c>
      <c r="AC9" s="2">
        <f t="shared" si="8"/>
        <v>0.10268761064625</v>
      </c>
      <c r="AD9" s="3">
        <v>223.83</v>
      </c>
      <c r="AE9" s="3">
        <v>15.35</v>
      </c>
      <c r="AF9" s="2">
        <f t="shared" si="9"/>
        <v>3.2962115109375002E-2</v>
      </c>
      <c r="AG9" s="3"/>
      <c r="AH9" s="3"/>
      <c r="AI9" s="2"/>
      <c r="AJ9" s="3"/>
      <c r="AK9" s="3"/>
      <c r="AL9" s="2"/>
      <c r="AM9" s="3"/>
      <c r="AN9" s="3"/>
      <c r="AO9" s="2"/>
      <c r="AP9" s="1">
        <v>495.52</v>
      </c>
      <c r="AQ9" s="1">
        <v>18.190000000000001</v>
      </c>
      <c r="AR9" s="2">
        <f t="shared" si="13"/>
        <v>0.10247232817</v>
      </c>
      <c r="AU9" s="2"/>
      <c r="AX9" s="2"/>
      <c r="AY9" s="1">
        <v>1249.4000000000001</v>
      </c>
      <c r="AZ9" s="1">
        <v>34.5</v>
      </c>
      <c r="BA9" s="2">
        <f t="shared" si="16"/>
        <v>0.92943646875000008</v>
      </c>
      <c r="BD9" s="2"/>
      <c r="BG9" s="2"/>
    </row>
    <row r="10" spans="1:59" x14ac:dyDescent="0.2">
      <c r="C10" s="3">
        <v>640.79999999999995</v>
      </c>
      <c r="D10" s="3">
        <v>28.36</v>
      </c>
      <c r="E10" s="2">
        <f t="shared" si="0"/>
        <v>0.32211798479999998</v>
      </c>
      <c r="F10" s="3">
        <v>395.89</v>
      </c>
      <c r="G10" s="3">
        <v>18.78</v>
      </c>
      <c r="H10" s="2">
        <f t="shared" si="1"/>
        <v>8.7266131672499997E-2</v>
      </c>
      <c r="I10" s="3">
        <v>293.83999999999997</v>
      </c>
      <c r="J10" s="3">
        <v>15.18</v>
      </c>
      <c r="K10" s="2">
        <f t="shared" si="2"/>
        <v>4.2318910259999995E-2</v>
      </c>
      <c r="L10" s="3">
        <v>370.94</v>
      </c>
      <c r="M10" s="3">
        <v>10.8</v>
      </c>
      <c r="N10" s="2">
        <f t="shared" si="3"/>
        <v>2.7041526000000003E-2</v>
      </c>
      <c r="O10" s="3">
        <v>410.44</v>
      </c>
      <c r="P10" s="3">
        <v>14.43</v>
      </c>
      <c r="Q10" s="2">
        <f t="shared" si="4"/>
        <v>5.3414892472499996E-2</v>
      </c>
      <c r="R10" s="3">
        <v>270.64</v>
      </c>
      <c r="S10" s="3">
        <v>11.93</v>
      </c>
      <c r="T10" s="2">
        <f t="shared" si="5"/>
        <v>2.4074256834999995E-2</v>
      </c>
      <c r="U10" s="3"/>
      <c r="V10" s="3"/>
      <c r="W10" s="2"/>
      <c r="X10" s="3"/>
      <c r="Y10" s="3"/>
      <c r="Z10" s="2"/>
      <c r="AA10" s="3">
        <v>406.06</v>
      </c>
      <c r="AB10" s="3">
        <v>19.190000000000001</v>
      </c>
      <c r="AC10" s="2">
        <f t="shared" si="8"/>
        <v>9.3458794978750009E-2</v>
      </c>
      <c r="AD10" s="3">
        <v>325.97000000000003</v>
      </c>
      <c r="AE10" s="3">
        <v>14.84</v>
      </c>
      <c r="AF10" s="2">
        <f t="shared" si="9"/>
        <v>4.4866836770000001E-2</v>
      </c>
      <c r="AG10" s="3"/>
      <c r="AH10" s="3"/>
      <c r="AI10" s="2"/>
      <c r="AJ10" s="3"/>
      <c r="AK10" s="3"/>
      <c r="AL10" s="2"/>
      <c r="AM10" s="3"/>
      <c r="AN10" s="3"/>
      <c r="AO10" s="2"/>
      <c r="AP10" s="1">
        <v>722.05</v>
      </c>
      <c r="AQ10" s="1">
        <v>24.4</v>
      </c>
      <c r="AR10" s="2">
        <f t="shared" si="13"/>
        <v>0.26867480499999996</v>
      </c>
      <c r="AU10" s="2"/>
      <c r="AX10" s="2"/>
      <c r="AY10" s="1">
        <v>1186.02</v>
      </c>
      <c r="AZ10" s="1">
        <v>42.76</v>
      </c>
      <c r="BA10" s="2">
        <f t="shared" si="16"/>
        <v>1.3553374012199999</v>
      </c>
      <c r="BD10" s="2"/>
      <c r="BG10" s="2"/>
    </row>
    <row r="11" spans="1:59" x14ac:dyDescent="0.2">
      <c r="C11" s="3">
        <v>605.98</v>
      </c>
      <c r="D11" s="3">
        <v>39.67</v>
      </c>
      <c r="E11" s="2">
        <f t="shared" si="0"/>
        <v>0.59602257451375007</v>
      </c>
      <c r="F11" s="3">
        <v>297.77</v>
      </c>
      <c r="G11" s="3">
        <v>16.739999999999998</v>
      </c>
      <c r="H11" s="2">
        <f t="shared" si="1"/>
        <v>5.2152107782499992E-2</v>
      </c>
      <c r="I11" s="3">
        <v>175.76</v>
      </c>
      <c r="J11" s="3">
        <v>9.5399999999999991</v>
      </c>
      <c r="K11" s="2">
        <f t="shared" si="2"/>
        <v>9.9976242599999973E-3</v>
      </c>
      <c r="L11" s="3">
        <v>379.38</v>
      </c>
      <c r="M11" s="3">
        <v>11.07</v>
      </c>
      <c r="N11" s="2">
        <f t="shared" si="3"/>
        <v>2.9056927601250004E-2</v>
      </c>
      <c r="O11" s="3">
        <v>263.39999999999998</v>
      </c>
      <c r="P11" s="3">
        <v>11.86</v>
      </c>
      <c r="Q11" s="2">
        <f t="shared" si="4"/>
        <v>2.3156086649999998E-2</v>
      </c>
      <c r="R11" s="3">
        <v>359.61</v>
      </c>
      <c r="S11" s="3">
        <v>15.76</v>
      </c>
      <c r="T11" s="2">
        <f t="shared" si="5"/>
        <v>5.5824417959999997E-2</v>
      </c>
      <c r="U11" s="3"/>
      <c r="V11" s="3"/>
      <c r="W11" s="2"/>
      <c r="X11" s="3"/>
      <c r="Y11" s="3"/>
      <c r="Z11" s="2"/>
      <c r="AA11" s="3">
        <v>488.72</v>
      </c>
      <c r="AB11" s="3">
        <v>17.559999999999999</v>
      </c>
      <c r="AC11" s="2">
        <f t="shared" si="8"/>
        <v>9.4186607119999988E-2</v>
      </c>
      <c r="AD11" s="3">
        <v>505.34</v>
      </c>
      <c r="AE11" s="3">
        <v>17.71</v>
      </c>
      <c r="AF11" s="2">
        <f t="shared" si="9"/>
        <v>9.906056843375001E-2</v>
      </c>
      <c r="AG11" s="3"/>
      <c r="AH11" s="3"/>
      <c r="AI11" s="2"/>
      <c r="AJ11" s="3"/>
      <c r="AK11" s="3"/>
      <c r="AL11" s="2"/>
      <c r="AM11" s="3"/>
      <c r="AN11" s="3"/>
      <c r="AO11" s="2"/>
      <c r="AP11" s="1">
        <v>735.16</v>
      </c>
      <c r="AQ11" s="1">
        <v>25.1</v>
      </c>
      <c r="AR11" s="2">
        <f t="shared" si="13"/>
        <v>0.28947384475000004</v>
      </c>
      <c r="AU11" s="2"/>
      <c r="AX11" s="2"/>
      <c r="AY11" s="1">
        <v>916.3</v>
      </c>
      <c r="AZ11" s="1">
        <v>28.9</v>
      </c>
      <c r="BA11" s="2">
        <f>(AY11*AZ11*AZ11)/1600000</f>
        <v>0.47831432687499992</v>
      </c>
      <c r="BD11" s="2"/>
      <c r="BG11" s="2"/>
    </row>
    <row r="12" spans="1:59" x14ac:dyDescent="0.2">
      <c r="C12" s="3">
        <v>545.05999999999995</v>
      </c>
      <c r="D12" s="3">
        <v>21.91</v>
      </c>
      <c r="E12" s="2">
        <f t="shared" si="0"/>
        <v>0.16353438586624996</v>
      </c>
      <c r="F12" s="3">
        <v>315.82</v>
      </c>
      <c r="G12" s="3">
        <v>17.920000000000002</v>
      </c>
      <c r="H12" s="2">
        <f t="shared" si="1"/>
        <v>6.338633728000001E-2</v>
      </c>
      <c r="I12" s="3">
        <v>264.19</v>
      </c>
      <c r="J12" s="3">
        <v>15.42</v>
      </c>
      <c r="K12" s="2">
        <f t="shared" si="2"/>
        <v>3.92613419475E-2</v>
      </c>
      <c r="L12" s="3">
        <v>369.15</v>
      </c>
      <c r="M12" s="3">
        <v>11.67</v>
      </c>
      <c r="N12" s="2">
        <f t="shared" si="3"/>
        <v>3.1421332771874998E-2</v>
      </c>
      <c r="O12" s="3">
        <v>273.48</v>
      </c>
      <c r="P12" s="3">
        <v>9.52</v>
      </c>
      <c r="Q12" s="2">
        <f t="shared" si="4"/>
        <v>1.5491001119999999E-2</v>
      </c>
      <c r="R12" s="3">
        <v>349.22</v>
      </c>
      <c r="S12" s="3">
        <v>12.75</v>
      </c>
      <c r="T12" s="2">
        <f t="shared" si="5"/>
        <v>3.5481297656250001E-2</v>
      </c>
      <c r="U12" s="3"/>
      <c r="V12" s="3"/>
      <c r="W12" s="2"/>
      <c r="X12" s="3"/>
      <c r="Y12" s="3"/>
      <c r="Z12" s="2"/>
      <c r="AA12" s="3"/>
      <c r="AB12" s="3"/>
      <c r="AC12" s="2"/>
      <c r="AD12" s="3">
        <f>613.02/2</f>
        <v>306.51</v>
      </c>
      <c r="AE12" s="3">
        <f>33.99/2</f>
        <v>16.995000000000001</v>
      </c>
      <c r="AF12" s="2">
        <f t="shared" si="9"/>
        <v>5.5330806851718754E-2</v>
      </c>
      <c r="AG12" s="3"/>
      <c r="AH12" s="3"/>
      <c r="AI12" s="2"/>
      <c r="AJ12" s="3"/>
      <c r="AK12" s="3"/>
      <c r="AL12" s="2"/>
      <c r="AM12" s="3"/>
      <c r="AN12" s="3"/>
      <c r="AO12" s="2"/>
      <c r="AP12" s="1">
        <v>941.65</v>
      </c>
      <c r="AQ12" s="1">
        <v>34.979999999999997</v>
      </c>
      <c r="AR12" s="2">
        <f t="shared" si="13"/>
        <v>0.72012707291249989</v>
      </c>
      <c r="AU12" s="2"/>
      <c r="AX12" s="2"/>
      <c r="BA12" s="2"/>
      <c r="BD12" s="2"/>
      <c r="BG12" s="2"/>
    </row>
    <row r="13" spans="1:59" x14ac:dyDescent="0.2">
      <c r="C13" s="3">
        <v>657.85</v>
      </c>
      <c r="D13" s="3">
        <v>28.29</v>
      </c>
      <c r="E13" s="2">
        <f t="shared" si="0"/>
        <v>0.32905825574062497</v>
      </c>
      <c r="F13" s="3">
        <v>437.77</v>
      </c>
      <c r="G13" s="3">
        <v>23.77</v>
      </c>
      <c r="H13" s="2">
        <f t="shared" si="1"/>
        <v>0.15459106077062498</v>
      </c>
      <c r="I13" s="3">
        <v>198.62</v>
      </c>
      <c r="J13" s="3">
        <v>13.12</v>
      </c>
      <c r="K13" s="2">
        <f t="shared" si="2"/>
        <v>2.1368334079999995E-2</v>
      </c>
      <c r="L13" s="3">
        <v>364.59</v>
      </c>
      <c r="M13" s="3">
        <v>11.51</v>
      </c>
      <c r="N13" s="2">
        <f t="shared" si="3"/>
        <v>3.0188074786874994E-2</v>
      </c>
      <c r="O13" s="3">
        <v>191.3</v>
      </c>
      <c r="P13" s="3">
        <v>13.51</v>
      </c>
      <c r="Q13" s="2">
        <f t="shared" si="4"/>
        <v>2.1822559456250001E-2</v>
      </c>
      <c r="R13" s="3">
        <v>436.03</v>
      </c>
      <c r="S13" s="3">
        <v>14.99</v>
      </c>
      <c r="T13" s="2">
        <f t="shared" si="5"/>
        <v>6.1234990376874993E-2</v>
      </c>
      <c r="U13" s="3"/>
      <c r="V13" s="3"/>
      <c r="W13" s="2"/>
      <c r="X13" s="3"/>
      <c r="Y13" s="3"/>
      <c r="Z13" s="2"/>
      <c r="AA13" s="3"/>
      <c r="AB13" s="3"/>
      <c r="AC13" s="2"/>
      <c r="AD13" s="3">
        <v>316.98</v>
      </c>
      <c r="AE13" s="3">
        <v>22.31</v>
      </c>
      <c r="AF13" s="2">
        <f t="shared" si="9"/>
        <v>9.8607743111250007E-2</v>
      </c>
      <c r="AG13" s="3"/>
      <c r="AH13" s="3"/>
      <c r="AI13" s="2"/>
      <c r="AJ13" s="3"/>
      <c r="AK13" s="3"/>
      <c r="AL13" s="2"/>
      <c r="AM13" s="3"/>
      <c r="AN13" s="3"/>
      <c r="AO13" s="2"/>
      <c r="AP13" s="1">
        <v>445.6</v>
      </c>
      <c r="AQ13" s="1">
        <v>12.34</v>
      </c>
      <c r="AR13" s="2">
        <f t="shared" si="13"/>
        <v>4.2408754600000001E-2</v>
      </c>
      <c r="AU13" s="2"/>
      <c r="AX13" s="2"/>
      <c r="BA13" s="2"/>
      <c r="BD13" s="2"/>
      <c r="BG13" s="2"/>
    </row>
    <row r="14" spans="1:59" x14ac:dyDescent="0.2">
      <c r="C14" s="3">
        <v>495.87</v>
      </c>
      <c r="D14" s="3">
        <v>18.93</v>
      </c>
      <c r="E14" s="2">
        <f t="shared" si="0"/>
        <v>0.11105780347687499</v>
      </c>
      <c r="F14" s="3">
        <v>302.64</v>
      </c>
      <c r="G14" s="3">
        <v>16.809999999999999</v>
      </c>
      <c r="H14" s="2">
        <f t="shared" si="1"/>
        <v>5.3449269314999992E-2</v>
      </c>
      <c r="I14" s="3">
        <v>223.6</v>
      </c>
      <c r="J14" s="3">
        <v>14.25</v>
      </c>
      <c r="K14" s="2">
        <f t="shared" si="2"/>
        <v>2.8377984374999995E-2</v>
      </c>
      <c r="L14" s="3"/>
      <c r="M14" s="3"/>
      <c r="N14" s="2"/>
      <c r="O14" s="3">
        <f>998.46/2</f>
        <v>499.23</v>
      </c>
      <c r="P14" s="3">
        <f>37.22/2</f>
        <v>18.61</v>
      </c>
      <c r="Q14" s="2">
        <f t="shared" si="4"/>
        <v>0.10806210892687498</v>
      </c>
      <c r="R14" s="3">
        <v>448.28</v>
      </c>
      <c r="S14" s="3">
        <v>14.57</v>
      </c>
      <c r="T14" s="2">
        <f t="shared" si="5"/>
        <v>5.9476921857500004E-2</v>
      </c>
      <c r="U14" s="3"/>
      <c r="V14" s="3"/>
      <c r="W14" s="2"/>
      <c r="X14" s="3"/>
      <c r="Y14" s="3"/>
      <c r="Z14" s="2"/>
      <c r="AA14" s="3"/>
      <c r="AB14" s="3"/>
      <c r="AC14" s="2"/>
      <c r="AD14" s="3">
        <v>432.42</v>
      </c>
      <c r="AE14" s="3">
        <v>25.23</v>
      </c>
      <c r="AF14" s="2">
        <f t="shared" si="9"/>
        <v>0.17203637813625003</v>
      </c>
      <c r="AG14" s="3"/>
      <c r="AH14" s="3"/>
      <c r="AI14" s="2"/>
      <c r="AJ14" s="3"/>
      <c r="AK14" s="3"/>
      <c r="AL14" s="2"/>
      <c r="AM14" s="3"/>
      <c r="AN14" s="3"/>
      <c r="AO14" s="2"/>
      <c r="AP14" s="1">
        <v>1020.67</v>
      </c>
      <c r="AQ14" s="1">
        <v>28.8</v>
      </c>
      <c r="AR14" s="2">
        <f t="shared" si="13"/>
        <v>0.52911532800000005</v>
      </c>
      <c r="AU14" s="2"/>
      <c r="AX14" s="2"/>
      <c r="BA14" s="2"/>
      <c r="BD14" s="2"/>
      <c r="BG14" s="2"/>
    </row>
    <row r="15" spans="1:59" x14ac:dyDescent="0.2">
      <c r="C15" s="3"/>
      <c r="D15" s="3"/>
      <c r="E15" s="2"/>
      <c r="F15" s="3">
        <v>312.8</v>
      </c>
      <c r="G15" s="3">
        <v>16.12</v>
      </c>
      <c r="H15" s="2">
        <f t="shared" si="1"/>
        <v>5.0801535200000004E-2</v>
      </c>
      <c r="I15" s="3">
        <v>236.43</v>
      </c>
      <c r="J15" s="3">
        <v>14.03</v>
      </c>
      <c r="K15" s="2">
        <f t="shared" si="2"/>
        <v>2.9086933741875001E-2</v>
      </c>
      <c r="L15" s="3"/>
      <c r="M15" s="3"/>
      <c r="N15" s="2"/>
      <c r="O15" s="3">
        <v>252.69</v>
      </c>
      <c r="P15" s="3">
        <v>13.66</v>
      </c>
      <c r="Q15" s="2">
        <f t="shared" si="4"/>
        <v>2.9469276352499997E-2</v>
      </c>
      <c r="R15" s="3">
        <v>312.98</v>
      </c>
      <c r="S15" s="3">
        <v>12.79</v>
      </c>
      <c r="T15" s="2">
        <f t="shared" si="5"/>
        <v>3.1999094761249999E-2</v>
      </c>
      <c r="U15" s="3"/>
      <c r="V15" s="3"/>
      <c r="W15" s="2"/>
      <c r="X15" s="3"/>
      <c r="Y15" s="3"/>
      <c r="Z15" s="2"/>
      <c r="AA15" s="3"/>
      <c r="AB15" s="3"/>
      <c r="AC15" s="2"/>
      <c r="AD15" s="3">
        <v>714.79</v>
      </c>
      <c r="AE15" s="3">
        <v>21.91</v>
      </c>
      <c r="AF15" s="2">
        <f t="shared" si="9"/>
        <v>0.21445848837437501</v>
      </c>
      <c r="AG15" s="3"/>
      <c r="AH15" s="3"/>
      <c r="AI15" s="2"/>
      <c r="AJ15" s="3"/>
      <c r="AK15" s="3"/>
      <c r="AL15" s="2"/>
      <c r="AM15" s="3"/>
      <c r="AN15" s="3"/>
      <c r="AO15" s="2"/>
      <c r="AR15" s="2"/>
      <c r="AU15" s="2"/>
      <c r="AX15" s="2"/>
      <c r="BA15" s="2"/>
      <c r="BD15" s="2"/>
      <c r="BG15" s="2"/>
    </row>
    <row r="16" spans="1:59" x14ac:dyDescent="0.2">
      <c r="C16" s="3"/>
      <c r="D16" s="3"/>
      <c r="E16" s="2"/>
      <c r="F16" s="3">
        <v>278.72000000000003</v>
      </c>
      <c r="G16" s="3">
        <v>14.47</v>
      </c>
      <c r="H16" s="2">
        <f t="shared" si="1"/>
        <v>3.6474152780000012E-2</v>
      </c>
      <c r="I16" s="3">
        <v>248</v>
      </c>
      <c r="J16" s="3">
        <v>12.9</v>
      </c>
      <c r="K16" s="2">
        <f t="shared" si="2"/>
        <v>2.5793550000000005E-2</v>
      </c>
      <c r="L16" s="3"/>
      <c r="M16" s="3"/>
      <c r="N16" s="2"/>
      <c r="O16" s="3">
        <v>23.77</v>
      </c>
      <c r="P16" s="3">
        <v>10.130000000000001</v>
      </c>
      <c r="Q16" s="2">
        <f t="shared" si="4"/>
        <v>1.5245023206250001E-3</v>
      </c>
      <c r="R16" s="3">
        <v>314.16000000000003</v>
      </c>
      <c r="S16" s="3">
        <v>13.69</v>
      </c>
      <c r="T16" s="2">
        <f t="shared" si="5"/>
        <v>3.6799151235000001E-2</v>
      </c>
      <c r="U16" s="3"/>
      <c r="V16" s="3"/>
      <c r="W16" s="2"/>
      <c r="X16" s="3"/>
      <c r="Y16" s="3"/>
      <c r="Z16" s="2"/>
      <c r="AA16" s="3"/>
      <c r="AB16" s="3"/>
      <c r="AC16" s="2"/>
      <c r="AD16" s="3"/>
      <c r="AE16" s="3"/>
      <c r="AF16" s="2"/>
      <c r="AG16" s="3"/>
      <c r="AH16" s="3"/>
      <c r="AI16" s="2"/>
      <c r="AJ16" s="3"/>
      <c r="AK16" s="3"/>
      <c r="AL16" s="2"/>
      <c r="AM16" s="3"/>
      <c r="AN16" s="3"/>
      <c r="AO16" s="2"/>
      <c r="AR16" s="2"/>
      <c r="AU16" s="2"/>
      <c r="AX16" s="2"/>
      <c r="BA16" s="2"/>
      <c r="BD16" s="2"/>
      <c r="BG16" s="2"/>
    </row>
    <row r="17" spans="3:59" x14ac:dyDescent="0.2">
      <c r="C17" s="3"/>
      <c r="D17" s="3"/>
      <c r="E17" s="2"/>
      <c r="F17" s="3">
        <v>294.81</v>
      </c>
      <c r="G17" s="3">
        <v>15.51</v>
      </c>
      <c r="H17" s="2">
        <f t="shared" si="1"/>
        <v>4.4324701925624994E-2</v>
      </c>
      <c r="I17" s="3"/>
      <c r="J17" s="3"/>
      <c r="K17" s="2"/>
      <c r="L17" s="3"/>
      <c r="M17" s="3"/>
      <c r="N17" s="2"/>
      <c r="O17" s="3">
        <v>400.2</v>
      </c>
      <c r="P17" s="3">
        <v>14.83</v>
      </c>
      <c r="Q17" s="2">
        <f t="shared" si="4"/>
        <v>5.5009716112499989E-2</v>
      </c>
      <c r="R17" s="3">
        <v>313.52999999999997</v>
      </c>
      <c r="S17" s="3">
        <v>14.34</v>
      </c>
      <c r="T17" s="2">
        <f t="shared" si="5"/>
        <v>4.0295581042500001E-2</v>
      </c>
      <c r="U17" s="3"/>
      <c r="V17" s="3"/>
      <c r="W17" s="2"/>
      <c r="X17" s="3"/>
      <c r="Y17" s="3"/>
      <c r="Z17" s="2"/>
      <c r="AA17" s="3"/>
      <c r="AB17" s="3"/>
      <c r="AC17" s="2"/>
      <c r="AD17" s="3"/>
      <c r="AE17" s="3"/>
      <c r="AF17" s="2"/>
      <c r="AG17" s="3"/>
      <c r="AH17" s="3"/>
      <c r="AI17" s="2"/>
      <c r="AJ17" s="3"/>
      <c r="AK17" s="3"/>
      <c r="AL17" s="2"/>
      <c r="AM17" s="3"/>
      <c r="AN17" s="3"/>
      <c r="AO17" s="2"/>
      <c r="AR17" s="2"/>
      <c r="AU17" s="2"/>
      <c r="AX17" s="2"/>
      <c r="BA17" s="2"/>
      <c r="BD17" s="2"/>
      <c r="BG17" s="2"/>
    </row>
    <row r="18" spans="3:59" x14ac:dyDescent="0.2">
      <c r="C18" s="3"/>
      <c r="D18" s="3"/>
      <c r="E18" s="2"/>
      <c r="F18" s="3">
        <v>341.17</v>
      </c>
      <c r="G18" s="3">
        <v>22.73</v>
      </c>
      <c r="H18" s="2">
        <f t="shared" si="1"/>
        <v>0.11016654368312501</v>
      </c>
      <c r="I18" s="3"/>
      <c r="J18" s="3"/>
      <c r="K18" s="2"/>
      <c r="L18" s="3"/>
      <c r="M18" s="3"/>
      <c r="N18" s="2"/>
      <c r="O18" s="3">
        <v>629.52</v>
      </c>
      <c r="P18" s="3">
        <v>20.53</v>
      </c>
      <c r="Q18" s="2">
        <f t="shared" si="4"/>
        <v>0.165831660105</v>
      </c>
      <c r="R18" s="3">
        <v>360.27</v>
      </c>
      <c r="S18" s="3">
        <v>15.77</v>
      </c>
      <c r="T18" s="2">
        <f t="shared" si="5"/>
        <v>5.5997869426874992E-2</v>
      </c>
      <c r="U18" s="3"/>
      <c r="V18" s="3"/>
      <c r="W18" s="2"/>
      <c r="X18" s="3"/>
      <c r="Y18" s="3"/>
      <c r="Z18" s="2"/>
      <c r="AA18" s="3"/>
      <c r="AB18" s="3"/>
      <c r="AC18" s="2"/>
      <c r="AD18" s="3"/>
      <c r="AE18" s="3"/>
      <c r="AF18" s="2"/>
      <c r="AG18" s="3"/>
      <c r="AH18" s="3"/>
      <c r="AI18" s="2"/>
      <c r="AJ18" s="3"/>
      <c r="AK18" s="3"/>
      <c r="AL18" s="2"/>
      <c r="AM18" s="3"/>
      <c r="AN18" s="3"/>
      <c r="AO18" s="2"/>
      <c r="AR18" s="2"/>
      <c r="AU18" s="2"/>
      <c r="AX18" s="2"/>
      <c r="BA18" s="2"/>
      <c r="BD18" s="2"/>
      <c r="BG18" s="2"/>
    </row>
    <row r="19" spans="3:59" x14ac:dyDescent="0.2">
      <c r="C19" s="3"/>
      <c r="D19" s="3"/>
      <c r="E19" s="2"/>
      <c r="F19" s="3">
        <v>391.81</v>
      </c>
      <c r="G19" s="3">
        <v>21.58</v>
      </c>
      <c r="H19" s="2">
        <f t="shared" si="1"/>
        <v>0.11404031655249999</v>
      </c>
      <c r="I19" s="3"/>
      <c r="J19" s="3"/>
      <c r="K19" s="2"/>
      <c r="L19" s="3"/>
      <c r="M19" s="3"/>
      <c r="N19" s="2"/>
      <c r="O19" s="3">
        <v>210.49</v>
      </c>
      <c r="P19" s="3">
        <v>5.72</v>
      </c>
      <c r="Q19" s="2">
        <f t="shared" si="4"/>
        <v>4.3043100099999995E-3</v>
      </c>
      <c r="R19" s="3">
        <v>204.82</v>
      </c>
      <c r="S19" s="3">
        <v>12.26</v>
      </c>
      <c r="T19" s="2">
        <f t="shared" si="5"/>
        <v>1.9241251644999999E-2</v>
      </c>
      <c r="U19" s="3"/>
      <c r="V19" s="3"/>
      <c r="W19" s="2"/>
      <c r="X19" s="3"/>
      <c r="Y19" s="3"/>
      <c r="Z19" s="2"/>
      <c r="AA19" s="3"/>
      <c r="AB19" s="3"/>
      <c r="AC19" s="2"/>
      <c r="AD19" s="3"/>
      <c r="AE19" s="3"/>
      <c r="AF19" s="2"/>
      <c r="AG19" s="3"/>
      <c r="AH19" s="3"/>
      <c r="AI19" s="2"/>
      <c r="AJ19" s="3"/>
      <c r="AK19" s="3"/>
      <c r="AL19" s="2"/>
      <c r="AM19" s="3"/>
      <c r="AN19" s="3"/>
      <c r="AO19" s="2"/>
      <c r="AR19" s="2"/>
      <c r="AU19" s="2"/>
      <c r="AX19" s="2"/>
      <c r="BA19" s="2"/>
      <c r="BD19" s="2"/>
      <c r="BG19" s="2"/>
    </row>
    <row r="20" spans="3:59" x14ac:dyDescent="0.2">
      <c r="C20" s="3"/>
      <c r="D20" s="3"/>
      <c r="E20" s="2"/>
      <c r="F20" s="3">
        <v>322.14999999999998</v>
      </c>
      <c r="G20" s="3">
        <v>15.91</v>
      </c>
      <c r="H20" s="2">
        <f t="shared" si="1"/>
        <v>5.0965760884375003E-2</v>
      </c>
      <c r="I20" s="3"/>
      <c r="J20" s="3"/>
      <c r="K20" s="2"/>
      <c r="L20" s="3"/>
      <c r="M20" s="3"/>
      <c r="N20" s="2"/>
      <c r="O20" s="3">
        <v>197.57</v>
      </c>
      <c r="P20" s="3">
        <v>9.67</v>
      </c>
      <c r="Q20" s="2">
        <f t="shared" si="4"/>
        <v>1.1546595858125E-2</v>
      </c>
      <c r="R20" s="3">
        <v>217.93</v>
      </c>
      <c r="S20" s="3">
        <v>14.36</v>
      </c>
      <c r="T20" s="2">
        <f t="shared" si="5"/>
        <v>2.8087036329999995E-2</v>
      </c>
      <c r="U20" s="3"/>
      <c r="V20" s="3"/>
      <c r="W20" s="2"/>
      <c r="X20" s="3"/>
      <c r="Y20" s="3"/>
      <c r="Z20" s="2"/>
      <c r="AA20" s="3"/>
      <c r="AB20" s="3"/>
      <c r="AC20" s="2"/>
      <c r="AD20" s="3"/>
      <c r="AE20" s="3"/>
      <c r="AF20" s="2"/>
      <c r="AG20" s="3"/>
      <c r="AH20" s="3"/>
      <c r="AI20" s="2"/>
      <c r="AJ20" s="3"/>
      <c r="AK20" s="3"/>
      <c r="AL20" s="2"/>
      <c r="AM20" s="3"/>
      <c r="AN20" s="3"/>
      <c r="AO20" s="2"/>
      <c r="AR20" s="2"/>
      <c r="AU20" s="2"/>
      <c r="AX20" s="2"/>
      <c r="BA20" s="2"/>
      <c r="BD20" s="2"/>
      <c r="BG20" s="2"/>
    </row>
    <row r="21" spans="3:59" x14ac:dyDescent="0.2">
      <c r="C21" s="3"/>
      <c r="D21" s="3"/>
      <c r="E21" s="2"/>
      <c r="F21" s="3">
        <v>248</v>
      </c>
      <c r="G21" s="3">
        <v>12.9</v>
      </c>
      <c r="H21" s="2">
        <f t="shared" si="1"/>
        <v>2.5793550000000005E-2</v>
      </c>
      <c r="I21" s="3"/>
      <c r="J21" s="3"/>
      <c r="K21" s="2"/>
      <c r="L21" s="3"/>
      <c r="M21" s="3"/>
      <c r="N21" s="2"/>
      <c r="O21" s="3">
        <v>177.14</v>
      </c>
      <c r="P21" s="3">
        <v>8.84</v>
      </c>
      <c r="Q21" s="2">
        <f t="shared" si="4"/>
        <v>8.6516947399999985E-3</v>
      </c>
      <c r="R21" s="3">
        <v>198.03</v>
      </c>
      <c r="S21" s="3">
        <v>12.69</v>
      </c>
      <c r="T21" s="2">
        <f t="shared" si="5"/>
        <v>1.9931236801874998E-2</v>
      </c>
      <c r="U21" s="3"/>
      <c r="V21" s="3"/>
      <c r="W21" s="2"/>
      <c r="X21" s="3"/>
      <c r="Y21" s="3"/>
      <c r="Z21" s="2"/>
      <c r="AA21" s="3"/>
      <c r="AB21" s="3"/>
      <c r="AC21" s="2"/>
      <c r="AD21" s="3"/>
      <c r="AE21" s="3"/>
      <c r="AF21" s="2"/>
      <c r="AG21" s="3"/>
      <c r="AH21" s="3"/>
      <c r="AI21" s="2"/>
      <c r="AJ21" s="3"/>
      <c r="AK21" s="3"/>
      <c r="AL21" s="2"/>
      <c r="AM21" s="3"/>
      <c r="AN21" s="3"/>
      <c r="AO21" s="2"/>
      <c r="AR21" s="2"/>
      <c r="AU21" s="2"/>
      <c r="AX21" s="2"/>
      <c r="BA21" s="2"/>
      <c r="BD21" s="2"/>
      <c r="BG21" s="2"/>
    </row>
    <row r="22" spans="3:59" x14ac:dyDescent="0.2">
      <c r="C22" s="3"/>
      <c r="D22" s="3"/>
      <c r="E22" s="2"/>
      <c r="F22" s="3">
        <v>299.48</v>
      </c>
      <c r="G22" s="3">
        <v>18.05</v>
      </c>
      <c r="H22" s="2">
        <f t="shared" si="1"/>
        <v>6.0982082937500008E-2</v>
      </c>
      <c r="I22" s="3"/>
      <c r="J22" s="3"/>
      <c r="K22" s="2"/>
      <c r="L22" s="3"/>
      <c r="M22" s="3"/>
      <c r="N22" s="2"/>
      <c r="O22" s="3">
        <v>485.59</v>
      </c>
      <c r="P22" s="3">
        <v>18.12</v>
      </c>
      <c r="Q22" s="2">
        <f t="shared" si="4"/>
        <v>9.9647438310000003E-2</v>
      </c>
      <c r="R22" s="3"/>
      <c r="S22" s="3"/>
      <c r="T22" s="2"/>
      <c r="U22" s="3"/>
      <c r="V22" s="3"/>
      <c r="W22" s="2"/>
      <c r="X22" s="3"/>
      <c r="Y22" s="3"/>
      <c r="Z22" s="2"/>
      <c r="AA22" s="3"/>
      <c r="AB22" s="3"/>
      <c r="AC22" s="2"/>
      <c r="AD22" s="3"/>
      <c r="AE22" s="3"/>
      <c r="AF22" s="2"/>
      <c r="AG22" s="3"/>
      <c r="AH22" s="3"/>
      <c r="AI22" s="2"/>
      <c r="AJ22" s="3"/>
      <c r="AK22" s="3"/>
      <c r="AL22" s="2"/>
      <c r="AM22" s="3"/>
      <c r="AN22" s="3"/>
      <c r="AO22" s="2"/>
      <c r="AR22" s="2"/>
      <c r="AU22" s="2"/>
      <c r="AX22" s="2"/>
      <c r="BA22" s="2"/>
      <c r="BD22" s="2"/>
      <c r="BG22" s="2"/>
    </row>
    <row r="23" spans="3:59" x14ac:dyDescent="0.2">
      <c r="C23" s="3"/>
      <c r="D23" s="3"/>
      <c r="E23" s="2"/>
      <c r="F23" s="3">
        <v>308.29000000000002</v>
      </c>
      <c r="G23" s="3">
        <v>17.77</v>
      </c>
      <c r="H23" s="2">
        <f t="shared" si="1"/>
        <v>6.0843517088125E-2</v>
      </c>
      <c r="I23" s="3"/>
      <c r="J23" s="3"/>
      <c r="K23" s="2"/>
      <c r="L23" s="3"/>
      <c r="M23" s="3"/>
      <c r="N23" s="2"/>
      <c r="O23" s="3">
        <v>386.69</v>
      </c>
      <c r="P23" s="3">
        <v>15.35</v>
      </c>
      <c r="Q23" s="2">
        <f t="shared" si="4"/>
        <v>5.6945540328124995E-2</v>
      </c>
      <c r="R23" s="3"/>
      <c r="S23" s="3"/>
      <c r="T23" s="2"/>
      <c r="U23" s="3"/>
      <c r="V23" s="3"/>
      <c r="W23" s="2"/>
      <c r="X23" s="3"/>
      <c r="Y23" s="3"/>
      <c r="Z23" s="2"/>
      <c r="AA23" s="3"/>
      <c r="AB23" s="3"/>
      <c r="AC23" s="2"/>
      <c r="AD23" s="3"/>
      <c r="AE23" s="3"/>
      <c r="AF23" s="2"/>
      <c r="AG23" s="3"/>
      <c r="AH23" s="3"/>
      <c r="AI23" s="2"/>
      <c r="AJ23" s="3"/>
      <c r="AK23" s="3"/>
      <c r="AL23" s="2"/>
      <c r="AM23" s="3"/>
      <c r="AN23" s="3"/>
      <c r="AO23" s="2"/>
      <c r="AR23" s="2"/>
      <c r="AU23" s="2"/>
      <c r="AX23" s="2"/>
      <c r="BA23" s="2"/>
      <c r="BD23" s="2"/>
      <c r="BG23" s="2"/>
    </row>
    <row r="24" spans="3:59" x14ac:dyDescent="0.2">
      <c r="C24" s="3"/>
      <c r="D24" s="3"/>
      <c r="E24" s="2"/>
      <c r="F24" s="3">
        <v>371.02</v>
      </c>
      <c r="G24" s="3">
        <v>19.95</v>
      </c>
      <c r="H24" s="2">
        <f t="shared" si="1"/>
        <v>9.2291804718749995E-2</v>
      </c>
      <c r="I24" s="3"/>
      <c r="J24" s="3"/>
      <c r="K24" s="2"/>
      <c r="L24" s="3"/>
      <c r="M24" s="3"/>
      <c r="N24" s="2"/>
      <c r="O24" s="3">
        <v>470.39</v>
      </c>
      <c r="P24" s="3">
        <v>16.489999999999998</v>
      </c>
      <c r="Q24" s="2">
        <f t="shared" si="4"/>
        <v>7.9942809899374981E-2</v>
      </c>
      <c r="R24" s="3"/>
      <c r="S24" s="3"/>
      <c r="T24" s="2"/>
      <c r="U24" s="3"/>
      <c r="V24" s="3"/>
      <c r="W24" s="2"/>
      <c r="X24" s="3"/>
      <c r="Y24" s="3"/>
      <c r="Z24" s="2"/>
      <c r="AA24" s="3"/>
      <c r="AB24" s="3"/>
      <c r="AC24" s="2"/>
      <c r="AD24" s="3"/>
      <c r="AE24" s="3"/>
      <c r="AF24" s="2"/>
      <c r="AG24" s="3"/>
      <c r="AH24" s="3"/>
      <c r="AI24" s="2"/>
      <c r="AJ24" s="3"/>
      <c r="AK24" s="3"/>
      <c r="AL24" s="2"/>
      <c r="AM24" s="3"/>
      <c r="AN24" s="3"/>
      <c r="AO24" s="2"/>
      <c r="AR24" s="2"/>
      <c r="AU24" s="2"/>
      <c r="AX24" s="2"/>
      <c r="BA24" s="2"/>
      <c r="BD24" s="2"/>
      <c r="BG24" s="2"/>
    </row>
    <row r="25" spans="3:59" x14ac:dyDescent="0.2">
      <c r="C25" s="3"/>
      <c r="D25" s="3"/>
      <c r="E25" s="2"/>
      <c r="F25" s="3">
        <v>309.07</v>
      </c>
      <c r="G25" s="3">
        <v>18.059999999999999</v>
      </c>
      <c r="H25" s="2">
        <f t="shared" si="1"/>
        <v>6.3004614907499992E-2</v>
      </c>
      <c r="I25" s="3"/>
      <c r="J25" s="3"/>
      <c r="K25" s="2"/>
      <c r="L25" s="3"/>
      <c r="M25" s="3"/>
      <c r="N25" s="2"/>
      <c r="O25" s="3">
        <v>372.79</v>
      </c>
      <c r="P25" s="3">
        <v>16.25</v>
      </c>
      <c r="Q25" s="2">
        <f t="shared" si="4"/>
        <v>6.152491210937501E-2</v>
      </c>
      <c r="R25" s="3"/>
      <c r="S25" s="3"/>
      <c r="T25" s="2"/>
      <c r="U25" s="3"/>
      <c r="V25" s="3"/>
      <c r="W25" s="2"/>
      <c r="X25" s="3"/>
      <c r="Y25" s="3"/>
      <c r="Z25" s="2"/>
      <c r="AA25" s="3"/>
      <c r="AB25" s="3"/>
      <c r="AC25" s="2"/>
      <c r="AD25" s="3"/>
      <c r="AE25" s="3"/>
      <c r="AF25" s="2"/>
      <c r="AG25" s="3"/>
      <c r="AH25" s="3"/>
      <c r="AI25" s="2"/>
      <c r="AJ25" s="3"/>
      <c r="AK25" s="3"/>
      <c r="AL25" s="2"/>
      <c r="AM25" s="3"/>
      <c r="AN25" s="3"/>
      <c r="AO25" s="2"/>
      <c r="AR25" s="2"/>
      <c r="AU25" s="2"/>
      <c r="AX25" s="2"/>
      <c r="BA25" s="2"/>
      <c r="BD25" s="2"/>
      <c r="BG25" s="2"/>
    </row>
    <row r="26" spans="3:59" x14ac:dyDescent="0.2">
      <c r="C26" s="3"/>
      <c r="D26" s="3"/>
      <c r="E26" s="2"/>
      <c r="F26" s="3">
        <v>352.14</v>
      </c>
      <c r="G26" s="3">
        <v>20.64</v>
      </c>
      <c r="H26" s="2">
        <f t="shared" si="1"/>
        <v>9.375938784E-2</v>
      </c>
      <c r="I26" s="3"/>
      <c r="J26" s="3"/>
      <c r="K26" s="2"/>
      <c r="L26" s="3"/>
      <c r="M26" s="3"/>
      <c r="N26" s="2"/>
      <c r="O26" s="3">
        <v>559.58000000000004</v>
      </c>
      <c r="P26" s="3">
        <v>17.93</v>
      </c>
      <c r="Q26" s="2">
        <f t="shared" si="4"/>
        <v>0.11243532521375001</v>
      </c>
      <c r="R26" s="3"/>
      <c r="S26" s="3"/>
      <c r="T26" s="2"/>
      <c r="U26" s="3"/>
      <c r="V26" s="3"/>
      <c r="W26" s="2"/>
      <c r="X26" s="3"/>
      <c r="Y26" s="3"/>
      <c r="Z26" s="2"/>
      <c r="AA26" s="3"/>
      <c r="AB26" s="3"/>
      <c r="AC26" s="2"/>
      <c r="AD26" s="3"/>
      <c r="AE26" s="3"/>
      <c r="AF26" s="2"/>
      <c r="AG26" s="3"/>
      <c r="AH26" s="3"/>
      <c r="AI26" s="2"/>
      <c r="AJ26" s="3"/>
      <c r="AK26" s="3"/>
      <c r="AL26" s="2"/>
      <c r="AM26" s="3"/>
      <c r="AN26" s="3"/>
      <c r="AO26" s="2"/>
      <c r="AR26" s="2"/>
      <c r="AU26" s="2"/>
      <c r="AX26" s="2"/>
      <c r="BA26" s="2"/>
      <c r="BD26" s="2"/>
      <c r="BG26" s="2"/>
    </row>
    <row r="27" spans="3:59" x14ac:dyDescent="0.2">
      <c r="C27" s="3"/>
      <c r="D27" s="3"/>
      <c r="E27" s="2"/>
      <c r="F27" s="3">
        <v>307.35000000000002</v>
      </c>
      <c r="G27" s="3">
        <v>17.14</v>
      </c>
      <c r="H27" s="2">
        <f t="shared" si="1"/>
        <v>5.6433225037500007E-2</v>
      </c>
      <c r="I27" s="3"/>
      <c r="J27" s="3"/>
      <c r="K27" s="2"/>
      <c r="L27" s="3"/>
      <c r="M27" s="3"/>
      <c r="N27" s="2"/>
      <c r="O27" s="3">
        <v>417.83</v>
      </c>
      <c r="P27" s="3">
        <v>14.91</v>
      </c>
      <c r="Q27" s="2">
        <f t="shared" si="4"/>
        <v>5.8054370889375005E-2</v>
      </c>
      <c r="R27" s="3"/>
      <c r="S27" s="3"/>
      <c r="T27" s="2"/>
      <c r="U27" s="3"/>
      <c r="V27" s="3"/>
      <c r="W27" s="2"/>
      <c r="X27" s="3"/>
      <c r="Y27" s="3"/>
      <c r="Z27" s="2"/>
      <c r="AA27" s="3"/>
      <c r="AB27" s="3"/>
      <c r="AC27" s="2"/>
      <c r="AD27" s="3"/>
      <c r="AE27" s="3"/>
      <c r="AF27" s="2"/>
      <c r="AG27" s="3"/>
      <c r="AH27" s="3"/>
      <c r="AI27" s="2"/>
      <c r="AJ27" s="3"/>
      <c r="AK27" s="3"/>
      <c r="AL27" s="2"/>
      <c r="AM27" s="3"/>
      <c r="AN27" s="3"/>
      <c r="AO27" s="2"/>
      <c r="AR27" s="2"/>
      <c r="AU27" s="2"/>
      <c r="AX27" s="2"/>
      <c r="BA27" s="2"/>
      <c r="BD27" s="2"/>
      <c r="BG27" s="2"/>
    </row>
    <row r="28" spans="3:59" x14ac:dyDescent="0.2">
      <c r="C28" s="3"/>
      <c r="D28" s="3"/>
      <c r="E28" s="2"/>
      <c r="F28" s="3">
        <v>514.94000000000005</v>
      </c>
      <c r="G28" s="3">
        <v>18.3</v>
      </c>
      <c r="H28" s="2">
        <f t="shared" si="1"/>
        <v>0.10778016037500003</v>
      </c>
      <c r="I28" s="3"/>
      <c r="J28" s="3"/>
      <c r="K28" s="2"/>
      <c r="L28" s="3"/>
      <c r="M28" s="3"/>
      <c r="N28" s="2"/>
      <c r="O28" s="3"/>
      <c r="P28" s="3"/>
      <c r="Q28" s="2"/>
      <c r="R28" s="3"/>
      <c r="S28" s="3"/>
      <c r="T28" s="2"/>
      <c r="U28" s="3"/>
      <c r="V28" s="3"/>
      <c r="W28" s="2"/>
      <c r="X28" s="3"/>
      <c r="Y28" s="3"/>
      <c r="Z28" s="2"/>
      <c r="AA28" s="3"/>
      <c r="AB28" s="3"/>
      <c r="AC28" s="2"/>
      <c r="AD28" s="3"/>
      <c r="AE28" s="3"/>
      <c r="AF28" s="2"/>
      <c r="AG28" s="3"/>
      <c r="AH28" s="3"/>
      <c r="AI28" s="2"/>
      <c r="AJ28" s="3"/>
      <c r="AK28" s="3"/>
      <c r="AL28" s="2"/>
      <c r="AM28" s="3"/>
      <c r="AN28" s="3"/>
      <c r="AO28" s="2"/>
      <c r="AR28" s="2"/>
      <c r="AU28" s="2"/>
      <c r="AX28" s="2"/>
      <c r="BA28" s="2"/>
      <c r="BD28" s="2"/>
      <c r="BG28" s="2"/>
    </row>
    <row r="29" spans="3:59" x14ac:dyDescent="0.2">
      <c r="C29" s="3"/>
      <c r="D29" s="3"/>
      <c r="E29" s="2"/>
      <c r="F29" s="3">
        <v>389.97</v>
      </c>
      <c r="G29" s="3">
        <v>19.170000000000002</v>
      </c>
      <c r="H29" s="2">
        <f t="shared" si="1"/>
        <v>8.9568528958125032E-2</v>
      </c>
      <c r="I29" s="3"/>
      <c r="J29" s="3"/>
      <c r="K29" s="2"/>
      <c r="L29" s="3"/>
      <c r="M29" s="3"/>
      <c r="N29" s="2"/>
      <c r="O29" s="3"/>
      <c r="P29" s="3"/>
      <c r="Q29" s="2"/>
      <c r="R29" s="3"/>
      <c r="S29" s="3"/>
      <c r="T29" s="2"/>
      <c r="U29" s="3"/>
      <c r="V29" s="3"/>
      <c r="W29" s="2"/>
      <c r="X29" s="3"/>
      <c r="Y29" s="3"/>
      <c r="Z29" s="2"/>
      <c r="AA29" s="3"/>
      <c r="AB29" s="3"/>
      <c r="AC29" s="2"/>
      <c r="AD29" s="3"/>
      <c r="AE29" s="3"/>
      <c r="AF29" s="2"/>
      <c r="AG29" s="3"/>
      <c r="AH29" s="3"/>
      <c r="AI29" s="2"/>
      <c r="AJ29" s="3"/>
      <c r="AK29" s="3"/>
      <c r="AL29" s="2"/>
      <c r="AM29" s="3"/>
      <c r="AN29" s="3"/>
      <c r="AO29" s="2"/>
      <c r="AR29" s="2"/>
      <c r="AU29" s="2"/>
      <c r="AX29" s="2"/>
      <c r="BA29" s="2"/>
      <c r="BD29" s="2"/>
      <c r="BG29" s="2"/>
    </row>
    <row r="30" spans="3:59" x14ac:dyDescent="0.2">
      <c r="C30" s="3"/>
      <c r="D30" s="3"/>
      <c r="E30" s="2"/>
      <c r="F30" s="3">
        <v>338.11</v>
      </c>
      <c r="G30" s="3">
        <v>15.67</v>
      </c>
      <c r="H30" s="2">
        <f t="shared" si="1"/>
        <v>5.188908661187501E-2</v>
      </c>
      <c r="I30" s="3"/>
      <c r="J30" s="3"/>
      <c r="K30" s="2"/>
      <c r="L30" s="3"/>
      <c r="M30" s="3"/>
      <c r="N30" s="2"/>
      <c r="O30" s="3"/>
      <c r="P30" s="3"/>
      <c r="Q30" s="2"/>
      <c r="R30" s="3"/>
      <c r="S30" s="3"/>
      <c r="T30" s="2"/>
      <c r="U30" s="3"/>
      <c r="V30" s="3"/>
      <c r="W30" s="2"/>
      <c r="X30" s="3"/>
      <c r="Y30" s="3"/>
      <c r="Z30" s="2"/>
      <c r="AA30" s="3"/>
      <c r="AB30" s="3"/>
      <c r="AC30" s="2"/>
      <c r="AD30" s="3"/>
      <c r="AE30" s="3"/>
      <c r="AF30" s="2"/>
      <c r="AG30" s="3"/>
      <c r="AH30" s="3"/>
      <c r="AI30" s="2"/>
      <c r="AJ30" s="3"/>
      <c r="AK30" s="3"/>
      <c r="AL30" s="2"/>
      <c r="AM30" s="3"/>
      <c r="AN30" s="3"/>
      <c r="AO30" s="2"/>
      <c r="AR30" s="2"/>
      <c r="AU30" s="2"/>
      <c r="AX30" s="2"/>
      <c r="BA30" s="2"/>
      <c r="BD30" s="2"/>
      <c r="BG30" s="2"/>
    </row>
    <row r="31" spans="3:59" x14ac:dyDescent="0.2">
      <c r="C31" s="3"/>
      <c r="D31" s="3"/>
      <c r="E31" s="2"/>
      <c r="F31" s="3">
        <v>317.37</v>
      </c>
      <c r="G31" s="3">
        <v>17.2</v>
      </c>
      <c r="H31" s="2">
        <f t="shared" si="1"/>
        <v>5.8681712999999996E-2</v>
      </c>
      <c r="I31" s="3"/>
      <c r="J31" s="3"/>
      <c r="K31" s="2"/>
      <c r="L31" s="3"/>
      <c r="M31" s="3"/>
      <c r="N31" s="2"/>
      <c r="O31" s="3"/>
      <c r="P31" s="3"/>
      <c r="Q31" s="2"/>
      <c r="R31" s="3"/>
      <c r="S31" s="3"/>
      <c r="T31" s="2"/>
      <c r="U31" s="3"/>
      <c r="V31" s="3"/>
      <c r="W31" s="2"/>
      <c r="X31" s="3"/>
      <c r="Y31" s="3"/>
      <c r="Z31" s="2"/>
      <c r="AA31" s="3"/>
      <c r="AB31" s="3"/>
      <c r="AC31" s="2"/>
      <c r="AD31" s="3"/>
      <c r="AE31" s="3"/>
      <c r="AF31" s="2"/>
      <c r="AG31" s="3"/>
      <c r="AH31" s="3"/>
      <c r="AI31" s="2"/>
      <c r="AJ31" s="3"/>
      <c r="AK31" s="3"/>
      <c r="AL31" s="2"/>
      <c r="AM31" s="3"/>
      <c r="AN31" s="3"/>
      <c r="AO31" s="2"/>
      <c r="AR31" s="2"/>
      <c r="AU31" s="2"/>
      <c r="AX31" s="2"/>
      <c r="BA31" s="2"/>
      <c r="BD31" s="2"/>
      <c r="BG31" s="2"/>
    </row>
    <row r="32" spans="3:59" x14ac:dyDescent="0.2">
      <c r="C32" s="3"/>
      <c r="D32" s="3"/>
      <c r="E32" s="2"/>
      <c r="F32" s="3">
        <v>333.14</v>
      </c>
      <c r="G32" s="3">
        <v>18.16</v>
      </c>
      <c r="H32" s="2">
        <f t="shared" si="1"/>
        <v>6.8665484240000005E-2</v>
      </c>
      <c r="I32" s="3"/>
      <c r="J32" s="3"/>
      <c r="K32" s="2"/>
      <c r="L32" s="3"/>
      <c r="M32" s="3"/>
      <c r="N32" s="2"/>
      <c r="O32" s="3"/>
      <c r="P32" s="3"/>
      <c r="Q32" s="2"/>
      <c r="R32" s="3"/>
      <c r="S32" s="3"/>
      <c r="T32" s="2"/>
      <c r="U32" s="3"/>
      <c r="V32" s="3"/>
      <c r="W32" s="2"/>
      <c r="X32" s="3"/>
      <c r="Y32" s="3"/>
      <c r="Z32" s="2"/>
      <c r="AA32" s="3"/>
      <c r="AB32" s="3"/>
      <c r="AC32" s="2"/>
      <c r="AD32" s="3"/>
      <c r="AE32" s="3"/>
      <c r="AF32" s="2"/>
      <c r="AG32" s="3"/>
      <c r="AH32" s="3"/>
      <c r="AI32" s="2"/>
      <c r="AJ32" s="3"/>
      <c r="AK32" s="3"/>
      <c r="AL32" s="2"/>
      <c r="AM32" s="3"/>
      <c r="AN32" s="3"/>
      <c r="AO32" s="2"/>
      <c r="AR32" s="2"/>
      <c r="AU32" s="2"/>
      <c r="AX32" s="2"/>
      <c r="BA32" s="2"/>
      <c r="BD32" s="2"/>
      <c r="BG32" s="2"/>
    </row>
    <row r="33" spans="3:59" x14ac:dyDescent="0.2">
      <c r="C33" s="3"/>
      <c r="D33" s="3"/>
      <c r="E33" s="2"/>
      <c r="F33" s="3">
        <v>353.67</v>
      </c>
      <c r="G33" s="3">
        <v>19.59</v>
      </c>
      <c r="H33" s="2">
        <f t="shared" si="1"/>
        <v>8.4829539954374991E-2</v>
      </c>
      <c r="I33" s="3"/>
      <c r="J33" s="3"/>
      <c r="K33" s="2"/>
      <c r="L33" s="3"/>
      <c r="M33" s="3"/>
      <c r="N33" s="2"/>
      <c r="O33" s="3"/>
      <c r="P33" s="3"/>
      <c r="Q33" s="2"/>
      <c r="R33" s="3"/>
      <c r="S33" s="3"/>
      <c r="T33" s="2"/>
      <c r="U33" s="3"/>
      <c r="V33" s="3"/>
      <c r="W33" s="2"/>
      <c r="X33" s="3"/>
      <c r="Y33" s="3"/>
      <c r="Z33" s="2"/>
      <c r="AA33" s="3"/>
      <c r="AB33" s="3"/>
      <c r="AC33" s="2"/>
      <c r="AD33" s="3"/>
      <c r="AE33" s="3"/>
      <c r="AF33" s="2"/>
      <c r="AG33" s="3"/>
      <c r="AH33" s="3"/>
      <c r="AI33" s="2"/>
      <c r="AJ33" s="3"/>
      <c r="AK33" s="3"/>
      <c r="AL33" s="2"/>
      <c r="AM33" s="3"/>
      <c r="AN33" s="3"/>
      <c r="AO33" s="2"/>
      <c r="AR33" s="2"/>
      <c r="AU33" s="2"/>
      <c r="AX33" s="2"/>
      <c r="BA33" s="2"/>
      <c r="BD33" s="2"/>
      <c r="BG33" s="2"/>
    </row>
    <row r="34" spans="3:59" x14ac:dyDescent="0.2">
      <c r="C34" s="3"/>
      <c r="D34" s="3"/>
      <c r="E34" s="2"/>
      <c r="F34" s="3">
        <v>377.22</v>
      </c>
      <c r="G34" s="3">
        <v>18.79</v>
      </c>
      <c r="H34" s="2">
        <f t="shared" si="1"/>
        <v>8.3239274876250005E-2</v>
      </c>
      <c r="I34" s="3"/>
      <c r="J34" s="3"/>
      <c r="K34" s="2"/>
      <c r="L34" s="3"/>
      <c r="M34" s="3"/>
      <c r="N34" s="2"/>
      <c r="O34" s="3"/>
      <c r="P34" s="3"/>
      <c r="Q34" s="2"/>
      <c r="R34" s="3"/>
      <c r="S34" s="3"/>
      <c r="T34" s="2"/>
      <c r="U34" s="3"/>
      <c r="V34" s="3"/>
      <c r="W34" s="2"/>
      <c r="X34" s="3"/>
      <c r="Y34" s="3"/>
      <c r="Z34" s="2"/>
      <c r="AA34" s="3"/>
      <c r="AB34" s="3"/>
      <c r="AC34" s="2"/>
      <c r="AD34" s="3"/>
      <c r="AE34" s="3"/>
      <c r="AF34" s="2"/>
      <c r="AG34" s="3"/>
      <c r="AH34" s="3"/>
      <c r="AI34" s="2"/>
      <c r="AJ34" s="3"/>
      <c r="AK34" s="3"/>
      <c r="AL34" s="2"/>
      <c r="AM34" s="3"/>
      <c r="AN34" s="3"/>
      <c r="AO34" s="2"/>
      <c r="AR34" s="2"/>
      <c r="AU34" s="2"/>
      <c r="AX34" s="2"/>
      <c r="BA34" s="2"/>
      <c r="BD34" s="2"/>
      <c r="BG34" s="2"/>
    </row>
    <row r="35" spans="3:59" x14ac:dyDescent="0.2">
      <c r="C35" s="3"/>
      <c r="D35" s="3"/>
      <c r="E35" s="2"/>
      <c r="F35" s="3">
        <v>314.20999999999998</v>
      </c>
      <c r="G35" s="3">
        <v>18.079999999999998</v>
      </c>
      <c r="H35" s="2">
        <f t="shared" si="1"/>
        <v>6.4194359839999979E-2</v>
      </c>
      <c r="I35" s="3"/>
      <c r="J35" s="3"/>
      <c r="K35" s="2"/>
      <c r="L35" s="3"/>
      <c r="M35" s="3"/>
      <c r="N35" s="2"/>
      <c r="O35" s="3"/>
      <c r="P35" s="3"/>
      <c r="Q35" s="2"/>
      <c r="R35" s="3"/>
      <c r="S35" s="3"/>
      <c r="T35" s="2"/>
      <c r="U35" s="3"/>
      <c r="V35" s="3"/>
      <c r="W35" s="2"/>
      <c r="X35" s="3"/>
      <c r="Y35" s="3"/>
      <c r="Z35" s="2"/>
      <c r="AA35" s="3"/>
      <c r="AB35" s="3"/>
      <c r="AC35" s="2"/>
      <c r="AD35" s="3"/>
      <c r="AE35" s="3"/>
      <c r="AF35" s="2"/>
      <c r="AG35" s="3"/>
      <c r="AH35" s="3"/>
      <c r="AI35" s="2"/>
      <c r="AJ35" s="3"/>
      <c r="AK35" s="3"/>
      <c r="AL35" s="2"/>
      <c r="AM35" s="3"/>
      <c r="AN35" s="3"/>
      <c r="AO35" s="2"/>
      <c r="AR35" s="2"/>
      <c r="AU35" s="2"/>
      <c r="AX35" s="2"/>
      <c r="BA35" s="2"/>
      <c r="BD35" s="2"/>
      <c r="BG35" s="2"/>
    </row>
    <row r="36" spans="3:59" x14ac:dyDescent="0.2">
      <c r="C36" s="3"/>
      <c r="D36" s="3"/>
      <c r="E36" s="2"/>
      <c r="F36" s="3">
        <v>268.05</v>
      </c>
      <c r="G36" s="3">
        <v>14.66</v>
      </c>
      <c r="H36" s="2">
        <f t="shared" si="1"/>
        <v>3.6005079112500005E-2</v>
      </c>
      <c r="I36" s="3"/>
      <c r="J36" s="3"/>
      <c r="K36" s="2"/>
      <c r="L36" s="3"/>
      <c r="M36" s="3"/>
      <c r="N36" s="2"/>
      <c r="O36" s="3"/>
      <c r="P36" s="3"/>
      <c r="Q36" s="2"/>
      <c r="R36" s="3"/>
      <c r="S36" s="3"/>
      <c r="T36" s="2"/>
      <c r="U36" s="3"/>
      <c r="V36" s="3"/>
      <c r="W36" s="2"/>
      <c r="X36" s="3"/>
      <c r="Y36" s="3"/>
      <c r="Z36" s="2"/>
      <c r="AA36" s="3"/>
      <c r="AB36" s="3"/>
      <c r="AC36" s="2"/>
      <c r="AD36" s="3"/>
      <c r="AE36" s="3"/>
      <c r="AF36" s="2"/>
      <c r="AG36" s="3"/>
      <c r="AH36" s="3"/>
      <c r="AI36" s="2"/>
      <c r="AJ36" s="3"/>
      <c r="AK36" s="3"/>
      <c r="AL36" s="2"/>
      <c r="AM36" s="3"/>
      <c r="AN36" s="3"/>
      <c r="AO36" s="2"/>
      <c r="AR36" s="2"/>
      <c r="AU36" s="2"/>
      <c r="AX36" s="2"/>
      <c r="BA36" s="2"/>
      <c r="BD36" s="2"/>
      <c r="BG36" s="2"/>
    </row>
    <row r="37" spans="3:59" x14ac:dyDescent="0.2">
      <c r="C37" s="3"/>
      <c r="D37" s="3"/>
      <c r="E37" s="2"/>
      <c r="F37" s="3">
        <v>451.66</v>
      </c>
      <c r="G37" s="3">
        <v>23.23</v>
      </c>
      <c r="H37" s="2">
        <f t="shared" si="1"/>
        <v>0.15233162225875002</v>
      </c>
      <c r="I37" s="3"/>
      <c r="J37" s="3"/>
      <c r="K37" s="2"/>
      <c r="L37" s="3"/>
      <c r="M37" s="3"/>
      <c r="N37" s="2"/>
      <c r="O37" s="3"/>
      <c r="P37" s="3"/>
      <c r="Q37" s="2"/>
      <c r="R37" s="3"/>
      <c r="S37" s="3"/>
      <c r="T37" s="2"/>
      <c r="U37" s="3"/>
      <c r="V37" s="3"/>
      <c r="W37" s="2"/>
      <c r="X37" s="3"/>
      <c r="Y37" s="3"/>
      <c r="Z37" s="2"/>
      <c r="AA37" s="3"/>
      <c r="AB37" s="3"/>
      <c r="AC37" s="2"/>
      <c r="AD37" s="3"/>
      <c r="AE37" s="3"/>
      <c r="AF37" s="2"/>
      <c r="AG37" s="3"/>
      <c r="AH37" s="3"/>
      <c r="AI37" s="2"/>
      <c r="AJ37" s="3"/>
      <c r="AK37" s="3"/>
      <c r="AL37" s="2"/>
      <c r="AM37" s="3"/>
      <c r="AN37" s="3"/>
      <c r="AO37" s="2"/>
      <c r="AR37" s="2"/>
      <c r="AU37" s="2"/>
      <c r="AX37" s="2"/>
      <c r="BA37" s="2"/>
      <c r="BD37" s="2"/>
      <c r="BG37" s="2"/>
    </row>
    <row r="38" spans="3:59" x14ac:dyDescent="0.2">
      <c r="C38" s="3"/>
      <c r="D38" s="3"/>
      <c r="E38" s="2"/>
      <c r="F38" s="3">
        <v>379.99</v>
      </c>
      <c r="G38" s="3">
        <v>15.57</v>
      </c>
      <c r="H38" s="2">
        <f t="shared" ref="H38:H69" si="19">(F38*G38*G38)/1600000</f>
        <v>5.7574398594374999E-2</v>
      </c>
      <c r="I38" s="3"/>
      <c r="J38" s="3"/>
      <c r="K38" s="2"/>
      <c r="L38" s="3"/>
      <c r="M38" s="3"/>
      <c r="N38" s="2"/>
      <c r="O38" s="3"/>
      <c r="P38" s="3"/>
      <c r="Q38" s="2"/>
      <c r="R38" s="3"/>
      <c r="S38" s="3"/>
      <c r="T38" s="2"/>
      <c r="U38" s="3"/>
      <c r="V38" s="3"/>
      <c r="W38" s="2"/>
      <c r="X38" s="3"/>
      <c r="Y38" s="3"/>
      <c r="Z38" s="2"/>
      <c r="AA38" s="3"/>
      <c r="AB38" s="3"/>
      <c r="AC38" s="2"/>
      <c r="AD38" s="3"/>
      <c r="AE38" s="3"/>
      <c r="AF38" s="2"/>
      <c r="AG38" s="3"/>
      <c r="AH38" s="3"/>
      <c r="AI38" s="2"/>
      <c r="AJ38" s="3"/>
      <c r="AK38" s="3"/>
      <c r="AL38" s="2"/>
      <c r="AM38" s="3"/>
      <c r="AN38" s="3"/>
      <c r="AO38" s="2"/>
      <c r="AR38" s="2"/>
      <c r="AU38" s="2"/>
      <c r="AX38" s="2"/>
      <c r="BA38" s="2"/>
      <c r="BD38" s="2"/>
      <c r="BG38" s="2"/>
    </row>
    <row r="39" spans="3:59" x14ac:dyDescent="0.2">
      <c r="C39" s="3"/>
      <c r="D39" s="3"/>
      <c r="E39" s="2"/>
      <c r="F39" s="3">
        <v>340.92</v>
      </c>
      <c r="G39" s="3">
        <v>22.27</v>
      </c>
      <c r="H39" s="2">
        <f t="shared" si="19"/>
        <v>0.1056751641675</v>
      </c>
      <c r="I39" s="3"/>
      <c r="J39" s="3"/>
      <c r="K39" s="2"/>
      <c r="L39" s="3"/>
      <c r="M39" s="3"/>
      <c r="N39" s="2"/>
      <c r="O39" s="3"/>
      <c r="P39" s="3"/>
      <c r="Q39" s="2"/>
      <c r="R39" s="3"/>
      <c r="S39" s="3"/>
      <c r="T39" s="2"/>
      <c r="U39" s="3"/>
      <c r="V39" s="3"/>
      <c r="W39" s="2"/>
      <c r="X39" s="3"/>
      <c r="Y39" s="3"/>
      <c r="Z39" s="2"/>
      <c r="AA39" s="3"/>
      <c r="AB39" s="3"/>
      <c r="AC39" s="2"/>
      <c r="AD39" s="3"/>
      <c r="AE39" s="3"/>
      <c r="AF39" s="2"/>
      <c r="AG39" s="3"/>
      <c r="AH39" s="3"/>
      <c r="AI39" s="2"/>
      <c r="AJ39" s="3"/>
      <c r="AK39" s="3"/>
      <c r="AL39" s="2"/>
      <c r="AM39" s="3"/>
      <c r="AN39" s="3"/>
      <c r="AO39" s="2"/>
      <c r="AR39" s="2"/>
      <c r="AU39" s="2"/>
      <c r="AX39" s="2"/>
      <c r="BA39" s="2"/>
      <c r="BD39" s="2"/>
      <c r="BG39" s="2"/>
    </row>
    <row r="40" spans="3:59" x14ac:dyDescent="0.2">
      <c r="C40" s="3"/>
      <c r="D40" s="3"/>
      <c r="E40" s="2"/>
      <c r="F40" s="3">
        <v>274.19</v>
      </c>
      <c r="G40" s="3">
        <v>18.55</v>
      </c>
      <c r="H40" s="2">
        <f t="shared" si="19"/>
        <v>5.8968415296875007E-2</v>
      </c>
      <c r="I40" s="3"/>
      <c r="J40" s="3"/>
      <c r="K40" s="2"/>
      <c r="L40" s="3"/>
      <c r="M40" s="3"/>
      <c r="N40" s="2"/>
      <c r="O40" s="3"/>
      <c r="P40" s="3"/>
      <c r="Q40" s="2"/>
      <c r="R40" s="3"/>
      <c r="S40" s="3"/>
      <c r="T40" s="2"/>
      <c r="U40" s="3"/>
      <c r="V40" s="3"/>
      <c r="W40" s="2"/>
      <c r="X40" s="3"/>
      <c r="Y40" s="3"/>
      <c r="Z40" s="2"/>
      <c r="AA40" s="3"/>
      <c r="AB40" s="3"/>
      <c r="AC40" s="2"/>
      <c r="AD40" s="3"/>
      <c r="AE40" s="3"/>
      <c r="AF40" s="2"/>
      <c r="AG40" s="3"/>
      <c r="AH40" s="3"/>
      <c r="AI40" s="2"/>
      <c r="AJ40" s="3"/>
      <c r="AK40" s="3"/>
      <c r="AL40" s="2"/>
      <c r="AM40" s="3"/>
      <c r="AN40" s="3"/>
      <c r="AO40" s="2"/>
      <c r="AR40" s="2"/>
      <c r="AU40" s="2"/>
      <c r="AX40" s="2"/>
      <c r="BA40" s="2"/>
      <c r="BD40" s="2"/>
      <c r="BG40" s="2"/>
    </row>
    <row r="41" spans="3:59" x14ac:dyDescent="0.2">
      <c r="C41" s="3"/>
      <c r="D41" s="3"/>
      <c r="E41" s="2"/>
      <c r="F41" s="3">
        <v>241.07</v>
      </c>
      <c r="G41" s="3">
        <v>11.48</v>
      </c>
      <c r="H41" s="2">
        <f t="shared" si="19"/>
        <v>1.985669483E-2</v>
      </c>
      <c r="I41" s="3"/>
      <c r="J41" s="3"/>
      <c r="K41" s="2"/>
      <c r="L41" s="3"/>
      <c r="M41" s="3"/>
      <c r="N41" s="2"/>
      <c r="O41" s="3"/>
      <c r="P41" s="3"/>
      <c r="Q41" s="2"/>
      <c r="R41" s="3"/>
      <c r="S41" s="3"/>
      <c r="T41" s="2"/>
      <c r="U41" s="3"/>
      <c r="V41" s="3"/>
      <c r="W41" s="2"/>
      <c r="X41" s="3"/>
      <c r="Y41" s="3"/>
      <c r="Z41" s="2"/>
      <c r="AA41" s="3"/>
      <c r="AB41" s="3"/>
      <c r="AC41" s="2"/>
      <c r="AD41" s="3"/>
      <c r="AE41" s="3"/>
      <c r="AF41" s="2"/>
      <c r="AG41" s="3"/>
      <c r="AH41" s="3"/>
      <c r="AI41" s="2"/>
      <c r="AJ41" s="3"/>
      <c r="AK41" s="3"/>
      <c r="AL41" s="2"/>
      <c r="AM41" s="3"/>
      <c r="AN41" s="3"/>
      <c r="AO41" s="2"/>
      <c r="AR41" s="2"/>
      <c r="AU41" s="2"/>
      <c r="AX41" s="2"/>
      <c r="BA41" s="2"/>
      <c r="BD41" s="2"/>
      <c r="BG41" s="2"/>
    </row>
    <row r="42" spans="3:59" x14ac:dyDescent="0.2">
      <c r="C42" s="3"/>
      <c r="D42" s="3"/>
      <c r="E42" s="2"/>
      <c r="F42" s="3">
        <v>339.43</v>
      </c>
      <c r="G42" s="3">
        <v>17.55</v>
      </c>
      <c r="H42" s="2">
        <f t="shared" si="19"/>
        <v>6.5340805359375004E-2</v>
      </c>
      <c r="I42" s="3"/>
      <c r="J42" s="3"/>
      <c r="K42" s="2"/>
      <c r="L42" s="3"/>
      <c r="M42" s="3"/>
      <c r="N42" s="2"/>
      <c r="O42" s="3"/>
      <c r="P42" s="3"/>
      <c r="Q42" s="2"/>
      <c r="R42" s="3"/>
      <c r="S42" s="3"/>
      <c r="T42" s="2"/>
      <c r="U42" s="3"/>
      <c r="V42" s="3"/>
      <c r="W42" s="2"/>
      <c r="X42" s="3"/>
      <c r="Y42" s="3"/>
      <c r="Z42" s="2"/>
      <c r="AA42" s="3"/>
      <c r="AB42" s="3"/>
      <c r="AC42" s="2"/>
      <c r="AD42" s="3"/>
      <c r="AE42" s="3"/>
      <c r="AF42" s="2"/>
      <c r="AG42" s="3"/>
      <c r="AH42" s="3"/>
      <c r="AI42" s="2"/>
      <c r="AJ42" s="3"/>
      <c r="AK42" s="3"/>
      <c r="AL42" s="2"/>
      <c r="AM42" s="3"/>
      <c r="AN42" s="3"/>
      <c r="AO42" s="2"/>
      <c r="AR42" s="2"/>
      <c r="AU42" s="2"/>
      <c r="AX42" s="2"/>
      <c r="BA42" s="2"/>
      <c r="BD42" s="2"/>
      <c r="BG42" s="2"/>
    </row>
    <row r="43" spans="3:59" x14ac:dyDescent="0.2">
      <c r="C43" s="3"/>
      <c r="D43" s="3"/>
      <c r="E43" s="2"/>
      <c r="F43" s="3">
        <v>312.61</v>
      </c>
      <c r="G43" s="3">
        <v>16.100000000000001</v>
      </c>
      <c r="H43" s="2">
        <f t="shared" si="19"/>
        <v>5.0644773812500009E-2</v>
      </c>
      <c r="I43" s="3"/>
      <c r="J43" s="3"/>
      <c r="K43" s="2"/>
      <c r="L43" s="3"/>
      <c r="M43" s="3"/>
      <c r="N43" s="2"/>
      <c r="O43" s="3"/>
      <c r="P43" s="3"/>
      <c r="Q43" s="2"/>
      <c r="R43" s="3"/>
      <c r="S43" s="3"/>
      <c r="T43" s="2"/>
      <c r="U43" s="3"/>
      <c r="V43" s="3"/>
      <c r="W43" s="2"/>
      <c r="X43" s="3"/>
      <c r="Y43" s="3"/>
      <c r="Z43" s="2"/>
      <c r="AA43" s="3"/>
      <c r="AB43" s="3"/>
      <c r="AC43" s="2"/>
      <c r="AD43" s="3"/>
      <c r="AE43" s="3"/>
      <c r="AF43" s="2"/>
      <c r="AG43" s="3"/>
      <c r="AH43" s="3"/>
      <c r="AI43" s="2"/>
      <c r="AJ43" s="3"/>
      <c r="AK43" s="3"/>
      <c r="AL43" s="2"/>
      <c r="AM43" s="3"/>
      <c r="AN43" s="3"/>
      <c r="AO43" s="2"/>
      <c r="AR43" s="2"/>
      <c r="AU43" s="2"/>
      <c r="AX43" s="2"/>
      <c r="BA43" s="2"/>
      <c r="BD43" s="2"/>
      <c r="BG43" s="2"/>
    </row>
    <row r="44" spans="3:59" x14ac:dyDescent="0.2">
      <c r="C44" s="3"/>
      <c r="D44" s="3"/>
      <c r="E44" s="2"/>
      <c r="F44" s="3">
        <v>312.58</v>
      </c>
      <c r="G44" s="3">
        <v>17.05</v>
      </c>
      <c r="H44" s="2">
        <f t="shared" si="19"/>
        <v>5.6792367156250002E-2</v>
      </c>
      <c r="I44" s="3"/>
      <c r="J44" s="3"/>
      <c r="K44" s="2"/>
      <c r="L44" s="3"/>
      <c r="M44" s="3"/>
      <c r="N44" s="2"/>
      <c r="O44" s="3"/>
      <c r="P44" s="3"/>
      <c r="Q44" s="2"/>
      <c r="R44" s="3"/>
      <c r="S44" s="3"/>
      <c r="T44" s="2"/>
      <c r="U44" s="3"/>
      <c r="V44" s="3"/>
      <c r="W44" s="2"/>
      <c r="X44" s="3"/>
      <c r="Y44" s="3"/>
      <c r="Z44" s="2"/>
      <c r="AA44" s="3"/>
      <c r="AB44" s="3"/>
      <c r="AC44" s="2"/>
      <c r="AD44" s="3"/>
      <c r="AE44" s="3"/>
      <c r="AF44" s="2"/>
      <c r="AG44" s="3"/>
      <c r="AH44" s="3"/>
      <c r="AI44" s="2"/>
      <c r="AJ44" s="3"/>
      <c r="AK44" s="3"/>
      <c r="AL44" s="2"/>
      <c r="AM44" s="3"/>
      <c r="AN44" s="3"/>
      <c r="AO44" s="2"/>
      <c r="AR44" s="2"/>
      <c r="AU44" s="2"/>
      <c r="AX44" s="2"/>
      <c r="BA44" s="2"/>
      <c r="BD44" s="2"/>
      <c r="BG44" s="2"/>
    </row>
    <row r="45" spans="3:59" x14ac:dyDescent="0.2">
      <c r="C45" s="3"/>
      <c r="D45" s="3"/>
      <c r="E45" s="2"/>
      <c r="F45" s="3">
        <v>380.37</v>
      </c>
      <c r="G45" s="3">
        <v>21.67</v>
      </c>
      <c r="H45" s="2">
        <f t="shared" si="19"/>
        <v>0.11163595618312502</v>
      </c>
      <c r="I45" s="3"/>
      <c r="J45" s="3"/>
      <c r="K45" s="2"/>
      <c r="L45" s="3"/>
      <c r="M45" s="3"/>
      <c r="N45" s="2"/>
      <c r="O45" s="3"/>
      <c r="P45" s="3"/>
      <c r="Q45" s="2"/>
      <c r="R45" s="3"/>
      <c r="S45" s="3"/>
      <c r="T45" s="2"/>
      <c r="U45" s="3"/>
      <c r="V45" s="3"/>
      <c r="W45" s="2"/>
      <c r="X45" s="3"/>
      <c r="Y45" s="3"/>
      <c r="Z45" s="2"/>
      <c r="AA45" s="3"/>
      <c r="AB45" s="3"/>
      <c r="AC45" s="2"/>
      <c r="AD45" s="3"/>
      <c r="AE45" s="3"/>
      <c r="AF45" s="2"/>
      <c r="AG45" s="3"/>
      <c r="AH45" s="3"/>
      <c r="AI45" s="2"/>
      <c r="AJ45" s="3"/>
      <c r="AK45" s="3"/>
      <c r="AL45" s="2"/>
      <c r="AM45" s="3"/>
      <c r="AN45" s="3"/>
      <c r="AO45" s="2"/>
      <c r="AR45" s="2"/>
      <c r="AU45" s="2"/>
      <c r="AX45" s="2"/>
      <c r="BA45" s="2"/>
      <c r="BD45" s="2"/>
      <c r="BG45" s="2"/>
    </row>
    <row r="46" spans="3:59" x14ac:dyDescent="0.2">
      <c r="C46" s="3"/>
      <c r="D46" s="3"/>
      <c r="E46" s="2"/>
      <c r="F46" s="3">
        <v>467.42</v>
      </c>
      <c r="G46" s="3">
        <v>23.48</v>
      </c>
      <c r="H46" s="2">
        <f t="shared" si="19"/>
        <v>0.16105844197999999</v>
      </c>
      <c r="I46" s="3"/>
      <c r="J46" s="3"/>
      <c r="K46" s="2"/>
      <c r="L46" s="3"/>
      <c r="M46" s="3"/>
      <c r="N46" s="2"/>
      <c r="O46" s="3"/>
      <c r="P46" s="3"/>
      <c r="Q46" s="2"/>
      <c r="R46" s="3"/>
      <c r="S46" s="3"/>
      <c r="T46" s="2"/>
      <c r="U46" s="3"/>
      <c r="V46" s="3"/>
      <c r="W46" s="2"/>
      <c r="X46" s="3"/>
      <c r="Y46" s="3"/>
      <c r="Z46" s="2"/>
      <c r="AA46" s="3"/>
      <c r="AB46" s="3"/>
      <c r="AC46" s="2"/>
      <c r="AD46" s="3"/>
      <c r="AE46" s="3"/>
      <c r="AF46" s="2"/>
      <c r="AG46" s="3"/>
      <c r="AH46" s="3"/>
      <c r="AI46" s="2"/>
      <c r="AJ46" s="3"/>
      <c r="AK46" s="3"/>
      <c r="AL46" s="2"/>
      <c r="AM46" s="3"/>
      <c r="AN46" s="3"/>
      <c r="AO46" s="2"/>
      <c r="AR46" s="2"/>
      <c r="AU46" s="2"/>
      <c r="AX46" s="2"/>
      <c r="BA46" s="2"/>
      <c r="BD46" s="2"/>
      <c r="BG46" s="2"/>
    </row>
    <row r="47" spans="3:59" x14ac:dyDescent="0.2">
      <c r="C47" s="3"/>
      <c r="D47" s="3"/>
      <c r="E47" s="2"/>
      <c r="F47" s="3">
        <v>367.39</v>
      </c>
      <c r="G47" s="3">
        <v>16.2</v>
      </c>
      <c r="H47" s="2">
        <f t="shared" si="19"/>
        <v>6.0261144749999995E-2</v>
      </c>
      <c r="I47" s="3"/>
      <c r="J47" s="3"/>
      <c r="K47" s="2"/>
      <c r="L47" s="3"/>
      <c r="M47" s="3"/>
      <c r="N47" s="2"/>
      <c r="O47" s="3"/>
      <c r="P47" s="3"/>
      <c r="Q47" s="2"/>
      <c r="R47" s="3"/>
      <c r="S47" s="3"/>
      <c r="T47" s="2"/>
      <c r="U47" s="3"/>
      <c r="V47" s="3"/>
      <c r="W47" s="2"/>
      <c r="X47" s="3"/>
      <c r="Y47" s="3"/>
      <c r="Z47" s="2"/>
      <c r="AA47" s="3"/>
      <c r="AB47" s="3"/>
      <c r="AC47" s="2"/>
      <c r="AD47" s="3"/>
      <c r="AE47" s="3"/>
      <c r="AF47" s="2"/>
      <c r="AG47" s="3"/>
      <c r="AH47" s="3"/>
      <c r="AI47" s="2"/>
      <c r="AJ47" s="3"/>
      <c r="AK47" s="3"/>
      <c r="AL47" s="2"/>
      <c r="AM47" s="3"/>
      <c r="AN47" s="3"/>
      <c r="AO47" s="2"/>
      <c r="AR47" s="2"/>
      <c r="AU47" s="2"/>
      <c r="AX47" s="2"/>
      <c r="BA47" s="2"/>
      <c r="BD47" s="2"/>
      <c r="BG47" s="2"/>
    </row>
    <row r="48" spans="3:59" x14ac:dyDescent="0.2">
      <c r="C48" s="3"/>
      <c r="D48" s="3"/>
      <c r="E48" s="2"/>
      <c r="F48" s="3">
        <v>286.51</v>
      </c>
      <c r="G48" s="3">
        <v>17.63</v>
      </c>
      <c r="H48" s="2">
        <f t="shared" si="19"/>
        <v>5.5657593761874999E-2</v>
      </c>
      <c r="I48" s="3"/>
      <c r="J48" s="3"/>
      <c r="K48" s="2"/>
      <c r="L48" s="3"/>
      <c r="M48" s="3"/>
      <c r="N48" s="2"/>
      <c r="O48" s="3"/>
      <c r="P48" s="3"/>
      <c r="Q48" s="2"/>
      <c r="R48" s="3"/>
      <c r="S48" s="3"/>
      <c r="T48" s="2"/>
      <c r="U48" s="3"/>
      <c r="V48" s="3"/>
      <c r="W48" s="2"/>
      <c r="X48" s="3"/>
      <c r="Y48" s="3"/>
      <c r="Z48" s="2"/>
      <c r="AA48" s="3"/>
      <c r="AB48" s="3"/>
      <c r="AC48" s="2"/>
      <c r="AD48" s="3"/>
      <c r="AE48" s="3"/>
      <c r="AF48" s="2"/>
      <c r="AG48" s="3"/>
      <c r="AH48" s="3"/>
      <c r="AI48" s="2"/>
      <c r="AJ48" s="3"/>
      <c r="AK48" s="3"/>
      <c r="AL48" s="2"/>
      <c r="AM48" s="3"/>
      <c r="AN48" s="3"/>
      <c r="AO48" s="2"/>
      <c r="AR48" s="2"/>
      <c r="AU48" s="2"/>
      <c r="AX48" s="2"/>
      <c r="BA48" s="2"/>
      <c r="BD48" s="2"/>
      <c r="BG48" s="2"/>
    </row>
    <row r="49" spans="3:59" x14ac:dyDescent="0.2">
      <c r="C49" s="3"/>
      <c r="D49" s="3"/>
      <c r="E49" s="2"/>
      <c r="F49" s="3">
        <v>459.65</v>
      </c>
      <c r="G49" s="3">
        <v>24.45</v>
      </c>
      <c r="H49" s="2">
        <f t="shared" si="19"/>
        <v>0.17173744945312497</v>
      </c>
      <c r="I49" s="3"/>
      <c r="J49" s="3"/>
      <c r="K49" s="2"/>
      <c r="L49" s="3"/>
      <c r="M49" s="3"/>
      <c r="N49" s="2"/>
      <c r="O49" s="3"/>
      <c r="P49" s="3"/>
      <c r="Q49" s="2"/>
      <c r="R49" s="3"/>
      <c r="S49" s="3"/>
      <c r="T49" s="2"/>
      <c r="U49" s="3"/>
      <c r="V49" s="3"/>
      <c r="W49" s="2"/>
      <c r="X49" s="3"/>
      <c r="Y49" s="3"/>
      <c r="Z49" s="2"/>
      <c r="AA49" s="3"/>
      <c r="AB49" s="3"/>
      <c r="AC49" s="2"/>
      <c r="AD49" s="3"/>
      <c r="AE49" s="3"/>
      <c r="AF49" s="2"/>
      <c r="AG49" s="3"/>
      <c r="AH49" s="3"/>
      <c r="AI49" s="2"/>
      <c r="AJ49" s="3"/>
      <c r="AK49" s="3"/>
      <c r="AL49" s="2"/>
      <c r="AM49" s="3"/>
      <c r="AN49" s="3"/>
      <c r="AO49" s="2"/>
      <c r="AR49" s="2"/>
      <c r="AU49" s="2"/>
      <c r="AX49" s="2"/>
      <c r="BA49" s="2"/>
      <c r="BD49" s="2"/>
      <c r="BG49" s="2"/>
    </row>
    <row r="50" spans="3:59" x14ac:dyDescent="0.2">
      <c r="C50" s="3"/>
      <c r="D50" s="3"/>
      <c r="E50" s="2"/>
      <c r="F50" s="3">
        <v>358.72</v>
      </c>
      <c r="G50" s="3">
        <v>21.11</v>
      </c>
      <c r="H50" s="2">
        <f t="shared" si="19"/>
        <v>9.9910716819999995E-2</v>
      </c>
      <c r="I50" s="3"/>
      <c r="J50" s="3"/>
      <c r="K50" s="2"/>
      <c r="L50" s="3"/>
      <c r="M50" s="3"/>
      <c r="N50" s="2"/>
      <c r="O50" s="3"/>
      <c r="P50" s="3"/>
      <c r="Q50" s="2"/>
      <c r="R50" s="3"/>
      <c r="S50" s="3"/>
      <c r="T50" s="2"/>
      <c r="U50" s="3"/>
      <c r="V50" s="3"/>
      <c r="W50" s="2"/>
      <c r="X50" s="3"/>
      <c r="Y50" s="3"/>
      <c r="Z50" s="2"/>
      <c r="AA50" s="3"/>
      <c r="AB50" s="3"/>
      <c r="AC50" s="2"/>
      <c r="AD50" s="3"/>
      <c r="AE50" s="3"/>
      <c r="AF50" s="2"/>
      <c r="AG50" s="3"/>
      <c r="AH50" s="3"/>
      <c r="AI50" s="2"/>
      <c r="AJ50" s="3"/>
      <c r="AK50" s="3"/>
      <c r="AL50" s="2"/>
      <c r="AM50" s="3"/>
      <c r="AN50" s="3"/>
      <c r="AO50" s="2"/>
      <c r="AR50" s="2"/>
      <c r="AU50" s="2"/>
      <c r="AX50" s="2"/>
      <c r="BA50" s="2"/>
      <c r="BD50" s="2"/>
      <c r="BG50" s="2"/>
    </row>
    <row r="51" spans="3:59" x14ac:dyDescent="0.2">
      <c r="C51" s="3"/>
      <c r="D51" s="3"/>
      <c r="E51" s="2"/>
      <c r="F51" s="3">
        <v>308</v>
      </c>
      <c r="G51" s="3">
        <v>14.63</v>
      </c>
      <c r="H51" s="2">
        <f t="shared" si="19"/>
        <v>4.1202103249999997E-2</v>
      </c>
      <c r="I51" s="3"/>
      <c r="J51" s="3"/>
      <c r="K51" s="2"/>
      <c r="L51" s="3"/>
      <c r="M51" s="3"/>
      <c r="N51" s="2"/>
      <c r="O51" s="3"/>
      <c r="P51" s="3"/>
      <c r="Q51" s="2"/>
      <c r="R51" s="3"/>
      <c r="S51" s="3"/>
      <c r="T51" s="2"/>
      <c r="U51" s="3"/>
      <c r="V51" s="3"/>
      <c r="W51" s="2"/>
      <c r="X51" s="3"/>
      <c r="Y51" s="3"/>
      <c r="Z51" s="2"/>
      <c r="AA51" s="3"/>
      <c r="AB51" s="3"/>
      <c r="AC51" s="2"/>
      <c r="AD51" s="3"/>
      <c r="AE51" s="3"/>
      <c r="AF51" s="2"/>
      <c r="AG51" s="3"/>
      <c r="AH51" s="3"/>
      <c r="AI51" s="2"/>
      <c r="AJ51" s="3"/>
      <c r="AK51" s="3"/>
      <c r="AL51" s="2"/>
      <c r="AM51" s="3"/>
      <c r="AN51" s="3"/>
      <c r="AO51" s="2"/>
      <c r="AR51" s="2"/>
      <c r="AU51" s="2"/>
      <c r="AX51" s="2"/>
      <c r="BA51" s="2"/>
      <c r="BD51" s="2"/>
      <c r="BG51" s="2"/>
    </row>
    <row r="52" spans="3:59" x14ac:dyDescent="0.2">
      <c r="C52" s="3"/>
      <c r="D52" s="3"/>
      <c r="E52" s="2"/>
      <c r="F52" s="3">
        <v>347.14</v>
      </c>
      <c r="G52" s="3">
        <v>17.04</v>
      </c>
      <c r="H52" s="2">
        <f t="shared" si="19"/>
        <v>6.2997578639999996E-2</v>
      </c>
      <c r="I52" s="3"/>
      <c r="J52" s="3"/>
      <c r="K52" s="2"/>
      <c r="L52" s="3"/>
      <c r="M52" s="3"/>
      <c r="N52" s="2"/>
      <c r="O52" s="3"/>
      <c r="P52" s="3"/>
      <c r="Q52" s="2"/>
      <c r="R52" s="3"/>
      <c r="S52" s="3"/>
      <c r="T52" s="2"/>
      <c r="U52" s="3"/>
      <c r="V52" s="3"/>
      <c r="W52" s="2"/>
      <c r="X52" s="3"/>
      <c r="Y52" s="3"/>
      <c r="Z52" s="2"/>
      <c r="AA52" s="3"/>
      <c r="AB52" s="3"/>
      <c r="AC52" s="2"/>
      <c r="AD52" s="3"/>
      <c r="AE52" s="3"/>
      <c r="AF52" s="2"/>
      <c r="AG52" s="3"/>
      <c r="AH52" s="3"/>
      <c r="AI52" s="2"/>
      <c r="AJ52" s="3"/>
      <c r="AK52" s="3"/>
      <c r="AL52" s="2"/>
      <c r="AM52" s="3"/>
      <c r="AN52" s="3"/>
      <c r="AO52" s="2"/>
      <c r="AR52" s="2"/>
      <c r="AU52" s="2"/>
      <c r="AX52" s="2"/>
      <c r="BA52" s="2"/>
      <c r="BD52" s="2"/>
      <c r="BG52" s="2"/>
    </row>
    <row r="53" spans="3:59" x14ac:dyDescent="0.2">
      <c r="C53" s="3"/>
      <c r="D53" s="3"/>
      <c r="E53" s="2"/>
      <c r="F53" s="3">
        <v>317.10000000000002</v>
      </c>
      <c r="G53" s="3">
        <v>14.82</v>
      </c>
      <c r="H53" s="2">
        <f t="shared" si="19"/>
        <v>4.3528396275000006E-2</v>
      </c>
      <c r="I53" s="3"/>
      <c r="J53" s="3"/>
      <c r="K53" s="2"/>
      <c r="L53" s="3"/>
      <c r="M53" s="3"/>
      <c r="N53" s="2"/>
      <c r="O53" s="3"/>
      <c r="P53" s="3"/>
      <c r="Q53" s="2"/>
      <c r="R53" s="3"/>
      <c r="S53" s="3"/>
      <c r="T53" s="2"/>
      <c r="U53" s="3"/>
      <c r="V53" s="3"/>
      <c r="W53" s="2"/>
      <c r="X53" s="3"/>
      <c r="Y53" s="3"/>
      <c r="Z53" s="2"/>
      <c r="AA53" s="3"/>
      <c r="AB53" s="3"/>
      <c r="AC53" s="2"/>
      <c r="AD53" s="3"/>
      <c r="AE53" s="3"/>
      <c r="AF53" s="2"/>
      <c r="AG53" s="3"/>
      <c r="AH53" s="3"/>
      <c r="AI53" s="2"/>
      <c r="AJ53" s="3"/>
      <c r="AK53" s="3"/>
      <c r="AL53" s="2"/>
      <c r="AM53" s="3"/>
      <c r="AN53" s="3"/>
      <c r="AO53" s="2"/>
      <c r="AR53" s="2"/>
      <c r="AU53" s="2"/>
      <c r="AX53" s="2"/>
      <c r="BA53" s="2"/>
      <c r="BD53" s="2"/>
      <c r="BG53" s="2"/>
    </row>
    <row r="54" spans="3:59" x14ac:dyDescent="0.2">
      <c r="C54" s="3"/>
      <c r="D54" s="3"/>
      <c r="E54" s="2"/>
      <c r="F54" s="3">
        <v>247</v>
      </c>
      <c r="G54" s="3">
        <v>13.81</v>
      </c>
      <c r="H54" s="2">
        <f t="shared" si="19"/>
        <v>2.94417979375E-2</v>
      </c>
      <c r="I54" s="3"/>
      <c r="J54" s="3"/>
      <c r="K54" s="2"/>
      <c r="L54" s="3"/>
      <c r="M54" s="3"/>
      <c r="N54" s="2"/>
      <c r="O54" s="3"/>
      <c r="P54" s="3"/>
      <c r="Q54" s="2"/>
      <c r="R54" s="3"/>
      <c r="S54" s="3"/>
      <c r="T54" s="2"/>
      <c r="U54" s="3"/>
      <c r="V54" s="3"/>
      <c r="W54" s="2"/>
      <c r="X54" s="3"/>
      <c r="Y54" s="3"/>
      <c r="Z54" s="2"/>
      <c r="AA54" s="3"/>
      <c r="AB54" s="3"/>
      <c r="AC54" s="2"/>
      <c r="AD54" s="3"/>
      <c r="AE54" s="3"/>
      <c r="AF54" s="2"/>
      <c r="AG54" s="3"/>
      <c r="AH54" s="3"/>
      <c r="AI54" s="2"/>
      <c r="AJ54" s="3"/>
      <c r="AK54" s="3"/>
      <c r="AL54" s="2"/>
      <c r="AM54" s="3"/>
      <c r="AN54" s="3"/>
      <c r="AO54" s="2"/>
      <c r="AR54" s="2"/>
      <c r="AU54" s="2"/>
      <c r="AX54" s="2"/>
      <c r="BA54" s="2"/>
      <c r="BD54" s="2"/>
      <c r="BG54" s="2"/>
    </row>
    <row r="55" spans="3:59" x14ac:dyDescent="0.2">
      <c r="C55" s="3"/>
      <c r="D55" s="3"/>
      <c r="E55" s="2"/>
      <c r="F55" s="3">
        <v>247.77</v>
      </c>
      <c r="G55" s="3">
        <v>15.52</v>
      </c>
      <c r="H55" s="2">
        <f t="shared" si="19"/>
        <v>3.7300286880000005E-2</v>
      </c>
      <c r="I55" s="3"/>
      <c r="J55" s="3"/>
      <c r="K55" s="2"/>
      <c r="L55" s="3"/>
      <c r="M55" s="3"/>
      <c r="N55" s="2"/>
      <c r="O55" s="3"/>
      <c r="P55" s="3"/>
      <c r="Q55" s="2"/>
      <c r="R55" s="3"/>
      <c r="S55" s="3"/>
      <c r="T55" s="2"/>
      <c r="U55" s="3"/>
      <c r="V55" s="3"/>
      <c r="W55" s="2"/>
      <c r="X55" s="3"/>
      <c r="Y55" s="3"/>
      <c r="Z55" s="2"/>
      <c r="AA55" s="3"/>
      <c r="AB55" s="3"/>
      <c r="AC55" s="2"/>
      <c r="AD55" s="3"/>
      <c r="AE55" s="3"/>
      <c r="AF55" s="2"/>
      <c r="AG55" s="3"/>
      <c r="AH55" s="3"/>
      <c r="AI55" s="2"/>
      <c r="AJ55" s="3"/>
      <c r="AK55" s="3"/>
      <c r="AL55" s="2"/>
      <c r="AM55" s="3"/>
      <c r="AN55" s="3"/>
      <c r="AO55" s="2"/>
      <c r="AR55" s="2"/>
      <c r="AU55" s="2"/>
      <c r="AX55" s="2"/>
      <c r="BA55" s="2"/>
      <c r="BD55" s="2"/>
      <c r="BG55" s="2"/>
    </row>
    <row r="56" spans="3:59" x14ac:dyDescent="0.2">
      <c r="C56" s="3"/>
      <c r="D56" s="3"/>
      <c r="E56" s="2"/>
      <c r="F56" s="3">
        <v>242.8</v>
      </c>
      <c r="G56" s="3">
        <v>16.399999999999999</v>
      </c>
      <c r="H56" s="2">
        <f t="shared" si="19"/>
        <v>4.0814679999999992E-2</v>
      </c>
      <c r="I56" s="3"/>
      <c r="J56" s="3"/>
      <c r="K56" s="2"/>
      <c r="L56" s="3"/>
      <c r="M56" s="3"/>
      <c r="N56" s="2"/>
      <c r="O56" s="3"/>
      <c r="P56" s="3"/>
      <c r="Q56" s="2"/>
      <c r="R56" s="3"/>
      <c r="S56" s="3"/>
      <c r="T56" s="2"/>
      <c r="U56" s="3"/>
      <c r="V56" s="3"/>
      <c r="W56" s="2"/>
      <c r="X56" s="3"/>
      <c r="Y56" s="3"/>
      <c r="Z56" s="2"/>
      <c r="AA56" s="3"/>
      <c r="AB56" s="3"/>
      <c r="AC56" s="2"/>
      <c r="AD56" s="3"/>
      <c r="AE56" s="3"/>
      <c r="AF56" s="2"/>
      <c r="AG56" s="3"/>
      <c r="AH56" s="3"/>
      <c r="AI56" s="2"/>
      <c r="AJ56" s="3"/>
      <c r="AK56" s="3"/>
      <c r="AL56" s="2"/>
      <c r="AM56" s="3"/>
      <c r="AN56" s="3"/>
      <c r="AO56" s="2"/>
      <c r="AR56" s="2"/>
      <c r="AU56" s="2"/>
      <c r="AX56" s="2"/>
      <c r="BA56" s="2"/>
      <c r="BD56" s="2"/>
      <c r="BG56" s="2"/>
    </row>
    <row r="57" spans="3:59" x14ac:dyDescent="0.2">
      <c r="C57" s="3"/>
      <c r="D57" s="3"/>
      <c r="E57" s="2"/>
      <c r="F57" s="3">
        <v>270.89</v>
      </c>
      <c r="G57" s="3">
        <v>1.6020000000000001</v>
      </c>
      <c r="H57" s="2">
        <f t="shared" si="19"/>
        <v>4.3450823722500007E-4</v>
      </c>
      <c r="I57" s="3"/>
      <c r="J57" s="3"/>
      <c r="K57" s="2"/>
      <c r="L57" s="3"/>
      <c r="M57" s="3"/>
      <c r="N57" s="2"/>
      <c r="O57" s="3"/>
      <c r="P57" s="3"/>
      <c r="Q57" s="2"/>
      <c r="R57" s="3"/>
      <c r="S57" s="3"/>
      <c r="T57" s="2"/>
      <c r="U57" s="3"/>
      <c r="V57" s="3"/>
      <c r="W57" s="2"/>
      <c r="X57" s="3"/>
      <c r="Y57" s="3"/>
      <c r="Z57" s="2"/>
      <c r="AA57" s="3"/>
      <c r="AB57" s="3"/>
      <c r="AC57" s="2"/>
      <c r="AD57" s="3"/>
      <c r="AE57" s="3"/>
      <c r="AF57" s="2"/>
      <c r="AG57" s="3"/>
      <c r="AH57" s="3"/>
      <c r="AI57" s="2"/>
      <c r="AJ57" s="3"/>
      <c r="AK57" s="3"/>
      <c r="AL57" s="2"/>
      <c r="AM57" s="3"/>
      <c r="AN57" s="3"/>
      <c r="AO57" s="2"/>
      <c r="AR57" s="2"/>
      <c r="AU57" s="2"/>
      <c r="AX57" s="2"/>
      <c r="BA57" s="2"/>
      <c r="BD57" s="2"/>
      <c r="BG57" s="2"/>
    </row>
    <row r="58" spans="3:59" x14ac:dyDescent="0.2">
      <c r="C58" s="3"/>
      <c r="D58" s="3"/>
      <c r="E58" s="2"/>
      <c r="F58" s="3">
        <v>407.5</v>
      </c>
      <c r="G58" s="3">
        <v>20.38</v>
      </c>
      <c r="H58" s="2">
        <f t="shared" si="19"/>
        <v>0.10578302687499999</v>
      </c>
      <c r="I58" s="3"/>
      <c r="J58" s="3"/>
      <c r="K58" s="2"/>
      <c r="L58" s="3"/>
      <c r="M58" s="3"/>
      <c r="N58" s="2"/>
      <c r="O58" s="3"/>
      <c r="P58" s="3"/>
      <c r="Q58" s="2"/>
      <c r="R58" s="3"/>
      <c r="S58" s="3"/>
      <c r="T58" s="2"/>
      <c r="U58" s="3"/>
      <c r="V58" s="3"/>
      <c r="W58" s="2"/>
      <c r="X58" s="3"/>
      <c r="Y58" s="3"/>
      <c r="Z58" s="2"/>
      <c r="AA58" s="3"/>
      <c r="AB58" s="3"/>
      <c r="AC58" s="2"/>
      <c r="AD58" s="3"/>
      <c r="AE58" s="3"/>
      <c r="AF58" s="2"/>
      <c r="AG58" s="3"/>
      <c r="AH58" s="3"/>
      <c r="AI58" s="2"/>
      <c r="AJ58" s="3"/>
      <c r="AK58" s="3"/>
      <c r="AL58" s="2"/>
      <c r="AM58" s="3"/>
      <c r="AN58" s="3"/>
      <c r="AO58" s="2"/>
      <c r="AR58" s="2"/>
      <c r="AU58" s="2"/>
      <c r="AX58" s="2"/>
      <c r="BA58" s="2"/>
      <c r="BD58" s="2"/>
      <c r="BG58" s="2"/>
    </row>
    <row r="59" spans="3:59" x14ac:dyDescent="0.2">
      <c r="C59" s="3"/>
      <c r="D59" s="3"/>
      <c r="E59" s="2"/>
      <c r="F59" s="3">
        <v>363.91</v>
      </c>
      <c r="G59" s="3">
        <v>18.61</v>
      </c>
      <c r="H59" s="2">
        <f t="shared" si="19"/>
        <v>7.8771071569375004E-2</v>
      </c>
      <c r="I59" s="3"/>
      <c r="J59" s="3"/>
      <c r="K59" s="2"/>
      <c r="L59" s="3"/>
      <c r="M59" s="3"/>
      <c r="N59" s="2"/>
      <c r="O59" s="3"/>
      <c r="P59" s="3"/>
      <c r="Q59" s="2"/>
      <c r="R59" s="3"/>
      <c r="S59" s="3"/>
      <c r="T59" s="2"/>
      <c r="U59" s="3"/>
      <c r="V59" s="3"/>
      <c r="W59" s="2"/>
      <c r="X59" s="3"/>
      <c r="Y59" s="3"/>
      <c r="Z59" s="2"/>
      <c r="AA59" s="3"/>
      <c r="AB59" s="3"/>
      <c r="AC59" s="2"/>
      <c r="AD59" s="3"/>
      <c r="AE59" s="3"/>
      <c r="AF59" s="2"/>
      <c r="AG59" s="3"/>
      <c r="AH59" s="3"/>
      <c r="AI59" s="2"/>
      <c r="AJ59" s="3"/>
      <c r="AK59" s="3"/>
      <c r="AL59" s="2"/>
      <c r="AM59" s="3"/>
      <c r="AN59" s="3"/>
      <c r="AO59" s="2"/>
      <c r="AR59" s="2"/>
      <c r="AU59" s="2"/>
      <c r="AX59" s="2"/>
      <c r="BA59" s="2"/>
      <c r="BD59" s="2"/>
      <c r="BG59" s="2"/>
    </row>
    <row r="60" spans="3:59" x14ac:dyDescent="0.2">
      <c r="C60" s="3"/>
      <c r="D60" s="3"/>
      <c r="E60" s="2"/>
      <c r="F60" s="3">
        <v>461.4</v>
      </c>
      <c r="G60" s="3">
        <v>25.04</v>
      </c>
      <c r="H60" s="2">
        <f t="shared" si="19"/>
        <v>0.18081158639999997</v>
      </c>
      <c r="I60" s="3"/>
      <c r="J60" s="3"/>
      <c r="K60" s="2"/>
      <c r="L60" s="3"/>
      <c r="M60" s="3"/>
      <c r="N60" s="2"/>
      <c r="O60" s="3"/>
      <c r="P60" s="3"/>
      <c r="Q60" s="2"/>
      <c r="R60" s="3"/>
      <c r="S60" s="3"/>
      <c r="T60" s="2"/>
      <c r="U60" s="3"/>
      <c r="V60" s="3"/>
      <c r="W60" s="2"/>
      <c r="X60" s="3"/>
      <c r="Y60" s="3"/>
      <c r="Z60" s="2"/>
      <c r="AA60" s="3"/>
      <c r="AB60" s="3"/>
      <c r="AC60" s="2"/>
      <c r="AD60" s="3"/>
      <c r="AE60" s="3"/>
      <c r="AF60" s="2"/>
      <c r="AG60" s="3"/>
      <c r="AH60" s="3"/>
      <c r="AI60" s="2"/>
      <c r="AJ60" s="3"/>
      <c r="AK60" s="3"/>
      <c r="AL60" s="2"/>
      <c r="AM60" s="3"/>
      <c r="AN60" s="3"/>
      <c r="AO60" s="2"/>
      <c r="AR60" s="2"/>
      <c r="AU60" s="2"/>
      <c r="AX60" s="2"/>
      <c r="BA60" s="2"/>
      <c r="BD60" s="2"/>
      <c r="BG60" s="2"/>
    </row>
    <row r="61" spans="3:59" x14ac:dyDescent="0.2">
      <c r="C61" s="3"/>
      <c r="D61" s="3"/>
      <c r="E61" s="2"/>
      <c r="F61" s="3">
        <v>279.58</v>
      </c>
      <c r="G61" s="3">
        <v>16.940000000000001</v>
      </c>
      <c r="H61" s="2">
        <f t="shared" si="19"/>
        <v>5.0143302055000012E-2</v>
      </c>
      <c r="I61" s="3"/>
      <c r="J61" s="3"/>
      <c r="K61" s="2"/>
      <c r="L61" s="3"/>
      <c r="M61" s="3"/>
      <c r="N61" s="2"/>
      <c r="O61" s="3"/>
      <c r="P61" s="3"/>
      <c r="Q61" s="2"/>
      <c r="R61" s="3"/>
      <c r="S61" s="3"/>
      <c r="T61" s="2"/>
      <c r="U61" s="3"/>
      <c r="V61" s="3"/>
      <c r="W61" s="2"/>
      <c r="X61" s="3"/>
      <c r="Y61" s="3"/>
      <c r="Z61" s="2"/>
      <c r="AA61" s="3"/>
      <c r="AB61" s="3"/>
      <c r="AC61" s="2"/>
      <c r="AD61" s="3"/>
      <c r="AE61" s="3"/>
      <c r="AF61" s="2"/>
      <c r="AG61" s="3"/>
      <c r="AH61" s="3"/>
      <c r="AI61" s="2"/>
      <c r="AJ61" s="3"/>
      <c r="AK61" s="3"/>
      <c r="AL61" s="2"/>
      <c r="AM61" s="3"/>
      <c r="AN61" s="3"/>
      <c r="AO61" s="2"/>
      <c r="AR61" s="2"/>
      <c r="AU61" s="2"/>
      <c r="AX61" s="2"/>
      <c r="BA61" s="2"/>
      <c r="BD61" s="2"/>
      <c r="BG61" s="2"/>
    </row>
    <row r="62" spans="3:59" x14ac:dyDescent="0.2">
      <c r="C62" s="3"/>
      <c r="D62" s="3"/>
      <c r="E62" s="2"/>
      <c r="F62" s="3">
        <v>270.76</v>
      </c>
      <c r="G62" s="3">
        <v>14.53</v>
      </c>
      <c r="H62" s="2">
        <f t="shared" si="19"/>
        <v>3.5726934302499992E-2</v>
      </c>
      <c r="I62" s="3"/>
      <c r="J62" s="3"/>
      <c r="K62" s="2"/>
      <c r="L62" s="3"/>
      <c r="M62" s="3"/>
      <c r="N62" s="2"/>
      <c r="O62" s="3"/>
      <c r="P62" s="3"/>
      <c r="Q62" s="2"/>
      <c r="R62" s="3"/>
      <c r="S62" s="3"/>
      <c r="T62" s="2"/>
      <c r="U62" s="3"/>
      <c r="V62" s="3"/>
      <c r="W62" s="2"/>
      <c r="X62" s="3"/>
      <c r="Y62" s="3"/>
      <c r="Z62" s="2"/>
      <c r="AA62" s="3"/>
      <c r="AB62" s="3"/>
      <c r="AC62" s="2"/>
      <c r="AD62" s="3"/>
      <c r="AE62" s="3"/>
      <c r="AF62" s="2"/>
      <c r="AG62" s="3"/>
      <c r="AH62" s="3"/>
      <c r="AI62" s="2"/>
      <c r="AJ62" s="3"/>
      <c r="AK62" s="3"/>
      <c r="AL62" s="2"/>
      <c r="AM62" s="3"/>
      <c r="AN62" s="3"/>
      <c r="AO62" s="2"/>
      <c r="AR62" s="2"/>
      <c r="AU62" s="2"/>
      <c r="AX62" s="2"/>
      <c r="BA62" s="2"/>
      <c r="BD62" s="2"/>
      <c r="BG62" s="2"/>
    </row>
    <row r="63" spans="3:59" x14ac:dyDescent="0.2">
      <c r="C63" s="3"/>
      <c r="D63" s="3"/>
      <c r="E63" s="2"/>
      <c r="F63" s="3">
        <v>432.26</v>
      </c>
      <c r="G63" s="3">
        <v>24.11</v>
      </c>
      <c r="H63" s="2">
        <f t="shared" si="19"/>
        <v>0.15704332696624998</v>
      </c>
      <c r="I63" s="3"/>
      <c r="J63" s="3"/>
      <c r="K63" s="2"/>
      <c r="L63" s="3"/>
      <c r="M63" s="3"/>
      <c r="N63" s="2"/>
      <c r="O63" s="3"/>
      <c r="P63" s="3"/>
      <c r="Q63" s="2"/>
      <c r="R63" s="3"/>
      <c r="S63" s="3"/>
      <c r="T63" s="2"/>
      <c r="U63" s="3"/>
      <c r="V63" s="3"/>
      <c r="W63" s="2"/>
      <c r="X63" s="3"/>
      <c r="Y63" s="3"/>
      <c r="Z63" s="2"/>
      <c r="AA63" s="3"/>
      <c r="AB63" s="3"/>
      <c r="AC63" s="2"/>
      <c r="AD63" s="3"/>
      <c r="AE63" s="3"/>
      <c r="AF63" s="2"/>
      <c r="AG63" s="3"/>
      <c r="AH63" s="3"/>
      <c r="AI63" s="2"/>
      <c r="AJ63" s="3"/>
      <c r="AK63" s="3"/>
      <c r="AL63" s="2"/>
      <c r="AM63" s="3"/>
      <c r="AN63" s="3"/>
      <c r="AO63" s="2"/>
      <c r="AR63" s="2"/>
      <c r="AU63" s="2"/>
      <c r="AX63" s="2"/>
      <c r="BA63" s="2"/>
      <c r="BD63" s="2"/>
      <c r="BG63" s="2"/>
    </row>
    <row r="64" spans="3:59" x14ac:dyDescent="0.2">
      <c r="C64" s="3"/>
      <c r="D64" s="3"/>
      <c r="E64" s="2"/>
      <c r="F64" s="3">
        <v>269.14999999999998</v>
      </c>
      <c r="G64" s="3">
        <v>15.78</v>
      </c>
      <c r="H64" s="2">
        <f t="shared" si="19"/>
        <v>4.1887881787499998E-2</v>
      </c>
      <c r="I64" s="3"/>
      <c r="J64" s="3"/>
      <c r="K64" s="2"/>
      <c r="L64" s="3"/>
      <c r="M64" s="3"/>
      <c r="N64" s="2"/>
      <c r="O64" s="3"/>
      <c r="P64" s="3"/>
      <c r="Q64" s="2"/>
      <c r="R64" s="3"/>
      <c r="S64" s="3"/>
      <c r="T64" s="2"/>
      <c r="U64" s="3"/>
      <c r="V64" s="3"/>
      <c r="W64" s="2"/>
      <c r="X64" s="3"/>
      <c r="Y64" s="3"/>
      <c r="Z64" s="2"/>
      <c r="AA64" s="3"/>
      <c r="AB64" s="3"/>
      <c r="AC64" s="2"/>
      <c r="AD64" s="3"/>
      <c r="AE64" s="3"/>
      <c r="AF64" s="2"/>
      <c r="AG64" s="3"/>
      <c r="AH64" s="3"/>
      <c r="AI64" s="2"/>
      <c r="AJ64" s="3"/>
      <c r="AK64" s="3"/>
      <c r="AL64" s="2"/>
      <c r="AM64" s="3"/>
      <c r="AN64" s="3"/>
      <c r="AO64" s="2"/>
      <c r="AR64" s="2"/>
      <c r="AU64" s="2"/>
      <c r="AX64" s="2"/>
      <c r="BA64" s="2"/>
      <c r="BD64" s="2"/>
      <c r="BG64" s="2"/>
    </row>
    <row r="65" spans="3:59" x14ac:dyDescent="0.2">
      <c r="C65" s="3"/>
      <c r="D65" s="3"/>
      <c r="E65" s="2"/>
      <c r="F65" s="3">
        <v>383.45</v>
      </c>
      <c r="G65" s="3">
        <v>17.260000000000002</v>
      </c>
      <c r="H65" s="2">
        <f t="shared" si="19"/>
        <v>7.139541826250001E-2</v>
      </c>
      <c r="I65" s="3"/>
      <c r="J65" s="3"/>
      <c r="K65" s="2"/>
      <c r="L65" s="3"/>
      <c r="M65" s="3"/>
      <c r="N65" s="2"/>
      <c r="O65" s="3"/>
      <c r="P65" s="3"/>
      <c r="Q65" s="2"/>
      <c r="R65" s="3"/>
      <c r="S65" s="3"/>
      <c r="T65" s="2"/>
      <c r="U65" s="3"/>
      <c r="V65" s="3"/>
      <c r="W65" s="2"/>
      <c r="X65" s="3"/>
      <c r="Y65" s="3"/>
      <c r="Z65" s="2"/>
      <c r="AA65" s="3"/>
      <c r="AB65" s="3"/>
      <c r="AC65" s="2"/>
      <c r="AD65" s="3"/>
      <c r="AE65" s="3"/>
      <c r="AF65" s="2"/>
      <c r="AG65" s="3"/>
      <c r="AH65" s="3"/>
      <c r="AI65" s="2"/>
      <c r="AJ65" s="3"/>
      <c r="AK65" s="3"/>
      <c r="AL65" s="2"/>
      <c r="AM65" s="3"/>
      <c r="AN65" s="3"/>
      <c r="AO65" s="2"/>
      <c r="AR65" s="2"/>
      <c r="AU65" s="2"/>
      <c r="AX65" s="2"/>
      <c r="BA65" s="2"/>
      <c r="BD65" s="2"/>
      <c r="BG65" s="2"/>
    </row>
    <row r="66" spans="3:59" x14ac:dyDescent="0.2">
      <c r="C66" s="3"/>
      <c r="D66" s="3"/>
      <c r="E66" s="2"/>
      <c r="F66" s="3">
        <v>421.31</v>
      </c>
      <c r="G66" s="3">
        <v>29.15</v>
      </c>
      <c r="H66" s="2">
        <f t="shared" si="19"/>
        <v>0.22374786654687498</v>
      </c>
      <c r="I66" s="3"/>
      <c r="J66" s="3"/>
      <c r="K66" s="2"/>
      <c r="L66" s="3"/>
      <c r="M66" s="3"/>
      <c r="N66" s="2"/>
      <c r="O66" s="3"/>
      <c r="P66" s="3"/>
      <c r="Q66" s="2"/>
      <c r="R66" s="3"/>
      <c r="S66" s="3"/>
      <c r="T66" s="2"/>
      <c r="U66" s="3"/>
      <c r="V66" s="3"/>
      <c r="W66" s="2"/>
      <c r="X66" s="3"/>
      <c r="Y66" s="3"/>
      <c r="Z66" s="2"/>
      <c r="AA66" s="3"/>
      <c r="AB66" s="3"/>
      <c r="AC66" s="2"/>
      <c r="AD66" s="3"/>
      <c r="AE66" s="3"/>
      <c r="AF66" s="2"/>
      <c r="AG66" s="3"/>
      <c r="AH66" s="3"/>
      <c r="AI66" s="2"/>
      <c r="AJ66" s="3"/>
      <c r="AK66" s="3"/>
      <c r="AL66" s="2"/>
      <c r="AM66" s="3"/>
      <c r="AN66" s="3"/>
      <c r="AO66" s="2"/>
      <c r="AR66" s="2"/>
      <c r="AU66" s="2"/>
      <c r="AX66" s="2"/>
      <c r="BA66" s="2"/>
      <c r="BD66" s="2"/>
      <c r="BG66" s="2"/>
    </row>
    <row r="67" spans="3:59" x14ac:dyDescent="0.2">
      <c r="C67" s="3"/>
      <c r="D67" s="3"/>
      <c r="E67" s="2"/>
      <c r="F67" s="3">
        <v>266.35000000000002</v>
      </c>
      <c r="G67" s="3">
        <v>15.59</v>
      </c>
      <c r="H67" s="2">
        <f t="shared" si="19"/>
        <v>4.0459913396875005E-2</v>
      </c>
      <c r="I67" s="3"/>
      <c r="J67" s="3"/>
      <c r="K67" s="2"/>
      <c r="L67" s="3"/>
      <c r="M67" s="3"/>
      <c r="N67" s="2"/>
      <c r="O67" s="3"/>
      <c r="P67" s="3"/>
      <c r="Q67" s="2"/>
      <c r="R67" s="3"/>
      <c r="S67" s="3"/>
      <c r="T67" s="2"/>
      <c r="U67" s="3"/>
      <c r="V67" s="3"/>
      <c r="W67" s="2"/>
      <c r="X67" s="3"/>
      <c r="Y67" s="3"/>
      <c r="Z67" s="2"/>
      <c r="AA67" s="3"/>
      <c r="AB67" s="3"/>
      <c r="AC67" s="2"/>
      <c r="AD67" s="3"/>
      <c r="AE67" s="3"/>
      <c r="AF67" s="2"/>
      <c r="AG67" s="3"/>
      <c r="AH67" s="3"/>
      <c r="AI67" s="2"/>
      <c r="AJ67" s="3"/>
      <c r="AK67" s="3"/>
      <c r="AL67" s="2"/>
      <c r="AM67" s="3"/>
      <c r="AN67" s="3"/>
      <c r="AO67" s="2"/>
      <c r="AR67" s="2"/>
      <c r="AU67" s="2"/>
      <c r="AX67" s="2"/>
      <c r="BA67" s="2"/>
      <c r="BD67" s="2"/>
      <c r="BG67" s="2"/>
    </row>
    <row r="68" spans="3:59" x14ac:dyDescent="0.2">
      <c r="C68" s="3"/>
      <c r="D68" s="3"/>
      <c r="E68" s="2"/>
      <c r="F68" s="3">
        <v>285.76</v>
      </c>
      <c r="G68" s="3">
        <v>21.32</v>
      </c>
      <c r="H68" s="2">
        <f t="shared" si="19"/>
        <v>8.1181272639999996E-2</v>
      </c>
      <c r="I68" s="3"/>
      <c r="J68" s="3"/>
      <c r="K68" s="2"/>
      <c r="L68" s="3"/>
      <c r="M68" s="3"/>
      <c r="N68" s="2"/>
      <c r="O68" s="3"/>
      <c r="P68" s="3"/>
      <c r="Q68" s="2"/>
      <c r="R68" s="3"/>
      <c r="S68" s="3"/>
      <c r="T68" s="2"/>
      <c r="U68" s="3"/>
      <c r="V68" s="3"/>
      <c r="W68" s="2"/>
      <c r="X68" s="3"/>
      <c r="Y68" s="3"/>
      <c r="Z68" s="2"/>
      <c r="AA68" s="3"/>
      <c r="AB68" s="3"/>
      <c r="AC68" s="2"/>
      <c r="AD68" s="3"/>
      <c r="AE68" s="3"/>
      <c r="AF68" s="2"/>
      <c r="AG68" s="3"/>
      <c r="AH68" s="3"/>
      <c r="AI68" s="2"/>
      <c r="AJ68" s="3"/>
      <c r="AK68" s="3"/>
      <c r="AL68" s="2"/>
      <c r="AM68" s="3"/>
      <c r="AN68" s="3"/>
      <c r="AO68" s="2"/>
      <c r="AR68" s="2"/>
      <c r="AU68" s="2"/>
      <c r="AX68" s="2"/>
      <c r="BA68" s="2"/>
      <c r="BD68" s="2"/>
      <c r="BG68" s="2"/>
    </row>
    <row r="69" spans="3:59" x14ac:dyDescent="0.2">
      <c r="C69" s="3"/>
      <c r="D69" s="3"/>
      <c r="E69" s="2"/>
      <c r="F69" s="3">
        <v>281.44</v>
      </c>
      <c r="G69" s="3">
        <v>15.99</v>
      </c>
      <c r="H69" s="2">
        <f t="shared" si="19"/>
        <v>4.4974129590000002E-2</v>
      </c>
      <c r="I69" s="3"/>
      <c r="J69" s="3"/>
      <c r="K69" s="2"/>
      <c r="L69" s="3"/>
      <c r="M69" s="3"/>
      <c r="N69" s="2"/>
      <c r="O69" s="3"/>
      <c r="P69" s="3"/>
      <c r="Q69" s="2"/>
      <c r="R69" s="3"/>
      <c r="S69" s="3"/>
      <c r="T69" s="2"/>
      <c r="U69" s="3"/>
      <c r="V69" s="3"/>
      <c r="W69" s="2"/>
      <c r="X69" s="3"/>
      <c r="Y69" s="3"/>
      <c r="Z69" s="2"/>
      <c r="AA69" s="3"/>
      <c r="AB69" s="3"/>
      <c r="AC69" s="2"/>
      <c r="AD69" s="3"/>
      <c r="AE69" s="3"/>
      <c r="AF69" s="2"/>
      <c r="AG69" s="3"/>
      <c r="AH69" s="3"/>
      <c r="AI69" s="2"/>
      <c r="AJ69" s="3"/>
      <c r="AK69" s="3"/>
      <c r="AL69" s="2"/>
      <c r="AM69" s="3"/>
      <c r="AN69" s="3"/>
      <c r="AO69" s="2"/>
      <c r="AR69" s="2"/>
      <c r="AU69" s="2"/>
      <c r="AX69" s="2"/>
      <c r="BA69" s="2"/>
      <c r="BD69" s="2"/>
      <c r="BG69" s="2"/>
    </row>
    <row r="70" spans="3:59" x14ac:dyDescent="0.2">
      <c r="C70" s="3"/>
      <c r="D70" s="3"/>
      <c r="E70" s="2"/>
      <c r="F70" s="3">
        <v>303.35000000000002</v>
      </c>
      <c r="G70" s="3">
        <v>17.71</v>
      </c>
      <c r="H70" s="2">
        <f t="shared" ref="H70:H101" si="20">(F70*G70*G70)/1600000</f>
        <v>5.9464961084375011E-2</v>
      </c>
      <c r="I70" s="3"/>
      <c r="J70" s="3"/>
      <c r="K70" s="2"/>
      <c r="L70" s="3"/>
      <c r="M70" s="3"/>
      <c r="N70" s="2"/>
      <c r="O70" s="3"/>
      <c r="P70" s="3"/>
      <c r="Q70" s="2"/>
      <c r="R70" s="3"/>
      <c r="S70" s="3"/>
      <c r="T70" s="2"/>
      <c r="U70" s="3"/>
      <c r="V70" s="3"/>
      <c r="W70" s="2"/>
      <c r="X70" s="3"/>
      <c r="Y70" s="3"/>
      <c r="Z70" s="2"/>
      <c r="AA70" s="3"/>
      <c r="AB70" s="3"/>
      <c r="AC70" s="2"/>
      <c r="AD70" s="3"/>
      <c r="AE70" s="3"/>
      <c r="AF70" s="2"/>
      <c r="AG70" s="3"/>
      <c r="AH70" s="3"/>
      <c r="AI70" s="2"/>
      <c r="AJ70" s="3"/>
      <c r="AK70" s="3"/>
      <c r="AL70" s="2"/>
      <c r="AM70" s="3"/>
      <c r="AN70" s="3"/>
      <c r="AO70" s="2"/>
      <c r="AR70" s="2"/>
      <c r="AU70" s="2"/>
      <c r="AX70" s="2"/>
      <c r="BA70" s="2"/>
      <c r="BD70" s="2"/>
      <c r="BG70" s="2"/>
    </row>
    <row r="71" spans="3:59" x14ac:dyDescent="0.2">
      <c r="C71" s="3"/>
      <c r="D71" s="3"/>
      <c r="E71" s="2"/>
      <c r="F71" s="3">
        <v>287.54000000000002</v>
      </c>
      <c r="G71" s="3">
        <v>15.98</v>
      </c>
      <c r="H71" s="2">
        <f t="shared" si="20"/>
        <v>4.5891455885000002E-2</v>
      </c>
      <c r="I71" s="3"/>
      <c r="J71" s="3"/>
      <c r="K71" s="2"/>
      <c r="L71" s="3"/>
      <c r="M71" s="3"/>
      <c r="N71" s="2"/>
      <c r="O71" s="3"/>
      <c r="P71" s="3"/>
      <c r="Q71" s="2"/>
      <c r="R71" s="3"/>
      <c r="S71" s="3"/>
      <c r="T71" s="2"/>
      <c r="U71" s="3"/>
      <c r="V71" s="3"/>
      <c r="W71" s="2"/>
      <c r="X71" s="3"/>
      <c r="Y71" s="3"/>
      <c r="Z71" s="2"/>
      <c r="AA71" s="3"/>
      <c r="AB71" s="3"/>
      <c r="AC71" s="2"/>
      <c r="AD71" s="3"/>
      <c r="AE71" s="3"/>
      <c r="AF71" s="2"/>
      <c r="AG71" s="3"/>
      <c r="AH71" s="3"/>
      <c r="AI71" s="2"/>
      <c r="AJ71" s="3"/>
      <c r="AK71" s="3"/>
      <c r="AL71" s="2"/>
      <c r="AM71" s="3"/>
      <c r="AN71" s="3"/>
      <c r="AO71" s="2"/>
      <c r="AR71" s="2"/>
      <c r="AU71" s="2"/>
      <c r="AX71" s="2"/>
      <c r="BA71" s="2"/>
      <c r="BD71" s="2"/>
      <c r="BG71" s="2"/>
    </row>
    <row r="72" spans="3:59" x14ac:dyDescent="0.2">
      <c r="C72" s="3"/>
      <c r="D72" s="3"/>
      <c r="E72" s="2"/>
      <c r="F72" s="3">
        <v>397.35</v>
      </c>
      <c r="G72" s="3">
        <v>21.31</v>
      </c>
      <c r="H72" s="2">
        <f t="shared" si="20"/>
        <v>0.11277689520937499</v>
      </c>
      <c r="I72" s="3"/>
      <c r="J72" s="3"/>
      <c r="K72" s="2"/>
      <c r="L72" s="3"/>
      <c r="M72" s="3"/>
      <c r="N72" s="2"/>
      <c r="O72" s="3"/>
      <c r="P72" s="3"/>
      <c r="Q72" s="2"/>
      <c r="R72" s="3"/>
      <c r="S72" s="3"/>
      <c r="T72" s="2"/>
      <c r="U72" s="3"/>
      <c r="V72" s="3"/>
      <c r="W72" s="2"/>
      <c r="X72" s="3"/>
      <c r="Y72" s="3"/>
      <c r="Z72" s="2"/>
      <c r="AA72" s="3"/>
      <c r="AB72" s="3"/>
      <c r="AC72" s="2"/>
      <c r="AD72" s="3"/>
      <c r="AE72" s="3"/>
      <c r="AF72" s="2"/>
      <c r="AG72" s="3"/>
      <c r="AH72" s="3"/>
      <c r="AI72" s="2"/>
      <c r="AJ72" s="3"/>
      <c r="AK72" s="3"/>
      <c r="AL72" s="2"/>
      <c r="AM72" s="3"/>
      <c r="AN72" s="3"/>
      <c r="AO72" s="2"/>
      <c r="AR72" s="2"/>
      <c r="AU72" s="2"/>
      <c r="AX72" s="2"/>
      <c r="BA72" s="2"/>
      <c r="BD72" s="2"/>
      <c r="BG72" s="2"/>
    </row>
    <row r="73" spans="3:59" x14ac:dyDescent="0.2">
      <c r="C73" s="3"/>
      <c r="D73" s="3"/>
      <c r="E73" s="2"/>
      <c r="F73" s="3">
        <v>319.55</v>
      </c>
      <c r="G73" s="3">
        <v>18.86</v>
      </c>
      <c r="H73" s="2">
        <f t="shared" si="20"/>
        <v>7.1039879487499999E-2</v>
      </c>
      <c r="I73" s="3"/>
      <c r="J73" s="3"/>
      <c r="K73" s="2"/>
      <c r="L73" s="3"/>
      <c r="M73" s="3"/>
      <c r="N73" s="2"/>
      <c r="O73" s="3"/>
      <c r="P73" s="3"/>
      <c r="Q73" s="2"/>
      <c r="R73" s="3"/>
      <c r="S73" s="3"/>
      <c r="T73" s="2"/>
      <c r="U73" s="3"/>
      <c r="V73" s="3"/>
      <c r="W73" s="2"/>
      <c r="X73" s="3"/>
      <c r="Y73" s="3"/>
      <c r="Z73" s="2"/>
      <c r="AA73" s="3"/>
      <c r="AB73" s="3"/>
      <c r="AC73" s="2"/>
      <c r="AD73" s="3"/>
      <c r="AE73" s="3"/>
      <c r="AF73" s="2"/>
      <c r="AG73" s="3"/>
      <c r="AH73" s="3"/>
      <c r="AI73" s="2"/>
      <c r="AJ73" s="3"/>
      <c r="AK73" s="3"/>
      <c r="AL73" s="2"/>
      <c r="AM73" s="3"/>
      <c r="AN73" s="3"/>
      <c r="AO73" s="2"/>
      <c r="AR73" s="2"/>
      <c r="AU73" s="2"/>
      <c r="AX73" s="2"/>
      <c r="BA73" s="2"/>
      <c r="BD73" s="2"/>
      <c r="BG73" s="2"/>
    </row>
    <row r="74" spans="3:59" x14ac:dyDescent="0.2">
      <c r="C74" s="3"/>
      <c r="D74" s="3"/>
      <c r="E74" s="2"/>
      <c r="F74" s="3">
        <v>372.86</v>
      </c>
      <c r="G74" s="3">
        <v>14.27</v>
      </c>
      <c r="H74" s="2">
        <f t="shared" si="20"/>
        <v>4.7454101933749999E-2</v>
      </c>
      <c r="I74" s="3"/>
      <c r="J74" s="3"/>
      <c r="K74" s="2"/>
      <c r="L74" s="3"/>
      <c r="M74" s="3"/>
      <c r="N74" s="2"/>
      <c r="O74" s="3"/>
      <c r="P74" s="3"/>
      <c r="Q74" s="2"/>
      <c r="R74" s="3"/>
      <c r="S74" s="3"/>
      <c r="T74" s="2"/>
      <c r="U74" s="3"/>
      <c r="V74" s="3"/>
      <c r="W74" s="2"/>
      <c r="X74" s="3"/>
      <c r="Y74" s="3"/>
      <c r="Z74" s="2"/>
      <c r="AA74" s="3"/>
      <c r="AB74" s="3"/>
      <c r="AC74" s="2"/>
      <c r="AD74" s="3"/>
      <c r="AE74" s="3"/>
      <c r="AF74" s="2"/>
      <c r="AG74" s="3"/>
      <c r="AH74" s="3"/>
      <c r="AI74" s="2"/>
      <c r="AJ74" s="3"/>
      <c r="AK74" s="3"/>
      <c r="AL74" s="2"/>
      <c r="AM74" s="3"/>
      <c r="AN74" s="3"/>
      <c r="AO74" s="2"/>
      <c r="AR74" s="2"/>
      <c r="AU74" s="2"/>
      <c r="AX74" s="2"/>
      <c r="BA74" s="2"/>
      <c r="BD74" s="2"/>
      <c r="BG74" s="2"/>
    </row>
    <row r="75" spans="3:59" x14ac:dyDescent="0.2">
      <c r="C75" s="3"/>
      <c r="D75" s="3"/>
      <c r="E75" s="2"/>
      <c r="F75" s="3">
        <v>317.77999999999997</v>
      </c>
      <c r="G75" s="3">
        <v>22.72</v>
      </c>
      <c r="H75" s="2">
        <f t="shared" si="20"/>
        <v>0.10252345471999998</v>
      </c>
      <c r="I75" s="3"/>
      <c r="J75" s="3"/>
      <c r="K75" s="2"/>
      <c r="L75" s="3"/>
      <c r="M75" s="3"/>
      <c r="N75" s="2"/>
      <c r="O75" s="3"/>
      <c r="P75" s="3"/>
      <c r="Q75" s="2"/>
      <c r="R75" s="3"/>
      <c r="S75" s="3"/>
      <c r="T75" s="2"/>
      <c r="U75" s="3"/>
      <c r="V75" s="3"/>
      <c r="W75" s="2"/>
      <c r="X75" s="3"/>
      <c r="Y75" s="3"/>
      <c r="Z75" s="2"/>
      <c r="AA75" s="3"/>
      <c r="AB75" s="3"/>
      <c r="AC75" s="2"/>
      <c r="AD75" s="3"/>
      <c r="AE75" s="3"/>
      <c r="AF75" s="2"/>
      <c r="AG75" s="3"/>
      <c r="AH75" s="3"/>
      <c r="AI75" s="2"/>
      <c r="AJ75" s="3"/>
      <c r="AK75" s="3"/>
      <c r="AL75" s="2"/>
      <c r="AM75" s="3"/>
      <c r="AN75" s="3"/>
      <c r="AO75" s="2"/>
      <c r="AR75" s="2"/>
      <c r="AU75" s="2"/>
      <c r="AX75" s="2"/>
      <c r="BA75" s="2"/>
      <c r="BD75" s="2"/>
      <c r="BG75" s="2"/>
    </row>
    <row r="76" spans="3:59" x14ac:dyDescent="0.2">
      <c r="C76" s="3"/>
      <c r="D76" s="3"/>
      <c r="E76" s="2"/>
      <c r="F76" s="3">
        <v>301.86</v>
      </c>
      <c r="G76" s="3">
        <v>18.440000000000001</v>
      </c>
      <c r="H76" s="2">
        <f t="shared" si="20"/>
        <v>6.4151589060000014E-2</v>
      </c>
      <c r="I76" s="3"/>
      <c r="J76" s="3"/>
      <c r="K76" s="2"/>
      <c r="L76" s="3"/>
      <c r="M76" s="3"/>
      <c r="N76" s="2"/>
      <c r="O76" s="3"/>
      <c r="P76" s="3"/>
      <c r="Q76" s="2"/>
      <c r="R76" s="3"/>
      <c r="S76" s="3"/>
      <c r="T76" s="2"/>
      <c r="U76" s="3"/>
      <c r="V76" s="3"/>
      <c r="W76" s="2"/>
      <c r="X76" s="3"/>
      <c r="Y76" s="3"/>
      <c r="Z76" s="2"/>
      <c r="AA76" s="3"/>
      <c r="AB76" s="3"/>
      <c r="AC76" s="2"/>
      <c r="AD76" s="3"/>
      <c r="AE76" s="3"/>
      <c r="AF76" s="2"/>
      <c r="AG76" s="3"/>
      <c r="AH76" s="3"/>
      <c r="AI76" s="2"/>
      <c r="AJ76" s="3"/>
      <c r="AK76" s="3"/>
      <c r="AL76" s="2"/>
      <c r="AM76" s="3"/>
      <c r="AN76" s="3"/>
      <c r="AO76" s="2"/>
      <c r="AR76" s="2"/>
      <c r="AU76" s="2"/>
      <c r="AX76" s="2"/>
      <c r="BA76" s="2"/>
      <c r="BD76" s="2"/>
      <c r="BG76" s="2"/>
    </row>
    <row r="77" spans="3:59" x14ac:dyDescent="0.2">
      <c r="C77" s="3"/>
      <c r="D77" s="3"/>
      <c r="E77" s="2"/>
      <c r="F77" s="3">
        <v>243.21</v>
      </c>
      <c r="G77" s="3">
        <v>16.71</v>
      </c>
      <c r="H77" s="2">
        <f t="shared" si="20"/>
        <v>4.2443808350625001E-2</v>
      </c>
      <c r="I77" s="3"/>
      <c r="J77" s="3"/>
      <c r="K77" s="2"/>
      <c r="L77" s="3"/>
      <c r="M77" s="3"/>
      <c r="N77" s="2"/>
      <c r="O77" s="3"/>
      <c r="P77" s="3"/>
      <c r="Q77" s="2"/>
      <c r="R77" s="3"/>
      <c r="S77" s="3"/>
      <c r="T77" s="2"/>
      <c r="U77" s="3"/>
      <c r="V77" s="3"/>
      <c r="W77" s="2"/>
      <c r="X77" s="3"/>
      <c r="Y77" s="3"/>
      <c r="Z77" s="2"/>
      <c r="AA77" s="3"/>
      <c r="AB77" s="3"/>
      <c r="AC77" s="2"/>
      <c r="AD77" s="3"/>
      <c r="AE77" s="3"/>
      <c r="AF77" s="2"/>
      <c r="AG77" s="3"/>
      <c r="AH77" s="3"/>
      <c r="AI77" s="2"/>
      <c r="AJ77" s="3"/>
      <c r="AK77" s="3"/>
      <c r="AL77" s="2"/>
      <c r="AM77" s="3"/>
      <c r="AN77" s="3"/>
      <c r="AO77" s="2"/>
      <c r="AR77" s="2"/>
      <c r="AU77" s="2"/>
      <c r="AX77" s="2"/>
      <c r="BA77" s="2"/>
      <c r="BD77" s="2"/>
      <c r="BG77" s="2"/>
    </row>
    <row r="78" spans="3:59" x14ac:dyDescent="0.2">
      <c r="C78" s="3"/>
      <c r="D78" s="3"/>
      <c r="E78" s="2"/>
      <c r="F78" s="3">
        <v>289.08999999999997</v>
      </c>
      <c r="G78" s="3">
        <v>17.37</v>
      </c>
      <c r="H78" s="2">
        <f t="shared" si="20"/>
        <v>5.4514586638125001E-2</v>
      </c>
      <c r="I78" s="3"/>
      <c r="J78" s="3"/>
      <c r="K78" s="2"/>
      <c r="L78" s="3"/>
      <c r="M78" s="3"/>
      <c r="N78" s="2"/>
      <c r="O78" s="3"/>
      <c r="P78" s="3"/>
      <c r="Q78" s="2"/>
      <c r="R78" s="3"/>
      <c r="S78" s="3"/>
      <c r="T78" s="2"/>
      <c r="U78" s="3"/>
      <c r="V78" s="3"/>
      <c r="W78" s="2"/>
      <c r="X78" s="3"/>
      <c r="Y78" s="3"/>
      <c r="Z78" s="2"/>
      <c r="AA78" s="3"/>
      <c r="AB78" s="3"/>
      <c r="AC78" s="2"/>
      <c r="AD78" s="3"/>
      <c r="AE78" s="3"/>
      <c r="AF78" s="2"/>
      <c r="AG78" s="3"/>
      <c r="AH78" s="3"/>
      <c r="AI78" s="2"/>
      <c r="AJ78" s="3"/>
      <c r="AK78" s="3"/>
      <c r="AL78" s="2"/>
      <c r="AM78" s="3"/>
      <c r="AN78" s="3"/>
      <c r="AO78" s="2"/>
      <c r="AR78" s="2"/>
      <c r="AU78" s="2"/>
      <c r="AX78" s="2"/>
      <c r="BA78" s="2"/>
      <c r="BD78" s="2"/>
      <c r="BG78" s="2"/>
    </row>
    <row r="79" spans="3:59" x14ac:dyDescent="0.2">
      <c r="C79" s="3"/>
      <c r="D79" s="3"/>
      <c r="E79" s="2"/>
      <c r="F79" s="3">
        <v>310.81</v>
      </c>
      <c r="G79" s="3">
        <v>15.43</v>
      </c>
      <c r="H79" s="2">
        <f t="shared" si="20"/>
        <v>4.6249479855625004E-2</v>
      </c>
      <c r="I79" s="3"/>
      <c r="J79" s="3"/>
      <c r="K79" s="2"/>
      <c r="L79" s="3"/>
      <c r="M79" s="3"/>
      <c r="N79" s="2"/>
      <c r="O79" s="3"/>
      <c r="P79" s="3"/>
      <c r="Q79" s="2"/>
      <c r="R79" s="3"/>
      <c r="S79" s="3"/>
      <c r="T79" s="2"/>
      <c r="U79" s="3"/>
      <c r="V79" s="3"/>
      <c r="W79" s="2"/>
      <c r="X79" s="3"/>
      <c r="Y79" s="3"/>
      <c r="Z79" s="2"/>
      <c r="AA79" s="3"/>
      <c r="AB79" s="3"/>
      <c r="AC79" s="2"/>
      <c r="AD79" s="3"/>
      <c r="AE79" s="3"/>
      <c r="AF79" s="2"/>
      <c r="AG79" s="3"/>
      <c r="AH79" s="3"/>
      <c r="AI79" s="2"/>
      <c r="AJ79" s="3"/>
      <c r="AK79" s="3"/>
      <c r="AL79" s="2"/>
      <c r="AM79" s="3"/>
      <c r="AN79" s="3"/>
      <c r="AO79" s="2"/>
      <c r="AR79" s="2"/>
      <c r="AU79" s="2"/>
      <c r="AX79" s="2"/>
      <c r="BA79" s="2"/>
      <c r="BD79" s="2"/>
      <c r="BG79" s="2"/>
    </row>
    <row r="80" spans="3:59" x14ac:dyDescent="0.2">
      <c r="C80" s="3"/>
      <c r="D80" s="3"/>
      <c r="E80" s="2"/>
      <c r="F80" s="3">
        <v>324.23</v>
      </c>
      <c r="G80" s="3">
        <v>26.08</v>
      </c>
      <c r="H80" s="2">
        <f t="shared" si="20"/>
        <v>0.13783146992</v>
      </c>
      <c r="I80" s="3"/>
      <c r="J80" s="3"/>
      <c r="K80" s="2"/>
      <c r="L80" s="3"/>
      <c r="M80" s="3"/>
      <c r="N80" s="2"/>
      <c r="O80" s="3"/>
      <c r="P80" s="3"/>
      <c r="Q80" s="2"/>
      <c r="R80" s="3"/>
      <c r="S80" s="3"/>
      <c r="T80" s="2"/>
      <c r="U80" s="3"/>
      <c r="V80" s="3"/>
      <c r="W80" s="2"/>
      <c r="X80" s="3"/>
      <c r="Y80" s="3"/>
      <c r="Z80" s="2"/>
      <c r="AA80" s="3"/>
      <c r="AB80" s="3"/>
      <c r="AC80" s="2"/>
      <c r="AD80" s="3"/>
      <c r="AE80" s="3"/>
      <c r="AF80" s="2"/>
      <c r="AG80" s="3"/>
      <c r="AH80" s="3"/>
      <c r="AI80" s="2"/>
      <c r="AJ80" s="3"/>
      <c r="AK80" s="3"/>
      <c r="AL80" s="2"/>
      <c r="AM80" s="3"/>
      <c r="AN80" s="3"/>
      <c r="AO80" s="2"/>
      <c r="AR80" s="2"/>
      <c r="AU80" s="2"/>
      <c r="AX80" s="2"/>
      <c r="BA80" s="2"/>
      <c r="BD80" s="2"/>
      <c r="BG80" s="2"/>
    </row>
    <row r="81" spans="3:59" x14ac:dyDescent="0.2">
      <c r="C81" s="3"/>
      <c r="D81" s="3"/>
      <c r="E81" s="2"/>
      <c r="F81" s="3">
        <v>291.12</v>
      </c>
      <c r="G81" s="3">
        <v>15.66</v>
      </c>
      <c r="H81" s="2">
        <f t="shared" si="20"/>
        <v>4.4620617420000001E-2</v>
      </c>
      <c r="I81" s="3"/>
      <c r="J81" s="3"/>
      <c r="K81" s="2"/>
      <c r="L81" s="3"/>
      <c r="M81" s="3"/>
      <c r="N81" s="2"/>
      <c r="O81" s="3"/>
      <c r="P81" s="3"/>
      <c r="Q81" s="2"/>
      <c r="R81" s="3"/>
      <c r="S81" s="3"/>
      <c r="T81" s="2"/>
      <c r="U81" s="3"/>
      <c r="V81" s="3"/>
      <c r="W81" s="2"/>
      <c r="X81" s="3"/>
      <c r="Y81" s="3"/>
      <c r="Z81" s="2"/>
      <c r="AA81" s="3"/>
      <c r="AB81" s="3"/>
      <c r="AC81" s="2"/>
      <c r="AD81" s="3"/>
      <c r="AE81" s="3"/>
      <c r="AF81" s="2"/>
      <c r="AG81" s="3"/>
      <c r="AH81" s="3"/>
      <c r="AI81" s="2"/>
      <c r="AJ81" s="3"/>
      <c r="AK81" s="3"/>
      <c r="AL81" s="2"/>
      <c r="AM81" s="3"/>
      <c r="AN81" s="3"/>
      <c r="AO81" s="2"/>
      <c r="AR81" s="2"/>
      <c r="AU81" s="2"/>
      <c r="AX81" s="2"/>
      <c r="BA81" s="2"/>
      <c r="BD81" s="2"/>
      <c r="BG81" s="2"/>
    </row>
    <row r="82" spans="3:59" x14ac:dyDescent="0.2">
      <c r="C82" s="3"/>
      <c r="D82" s="3"/>
      <c r="E82" s="2"/>
      <c r="F82" s="3">
        <v>390.85</v>
      </c>
      <c r="G82" s="3">
        <v>28.14</v>
      </c>
      <c r="H82" s="2">
        <f t="shared" si="20"/>
        <v>0.1934364529125</v>
      </c>
      <c r="I82" s="3"/>
      <c r="J82" s="3"/>
      <c r="K82" s="2"/>
      <c r="L82" s="3"/>
      <c r="M82" s="3"/>
      <c r="N82" s="2"/>
      <c r="O82" s="3"/>
      <c r="P82" s="3"/>
      <c r="Q82" s="2"/>
      <c r="R82" s="3"/>
      <c r="S82" s="3"/>
      <c r="T82" s="2"/>
      <c r="U82" s="3"/>
      <c r="V82" s="3"/>
      <c r="W82" s="2"/>
      <c r="X82" s="3"/>
      <c r="Y82" s="3"/>
      <c r="Z82" s="2"/>
      <c r="AA82" s="3"/>
      <c r="AB82" s="3"/>
      <c r="AC82" s="2"/>
      <c r="AD82" s="3"/>
      <c r="AE82" s="3"/>
      <c r="AF82" s="2"/>
      <c r="AG82" s="3"/>
      <c r="AH82" s="3"/>
      <c r="AI82" s="2"/>
      <c r="AJ82" s="3"/>
      <c r="AK82" s="3"/>
      <c r="AL82" s="2"/>
      <c r="AM82" s="3"/>
      <c r="AN82" s="3"/>
      <c r="AO82" s="2"/>
      <c r="AR82" s="2"/>
      <c r="AU82" s="2"/>
      <c r="AX82" s="2"/>
      <c r="BA82" s="2"/>
      <c r="BD82" s="2"/>
      <c r="BG82" s="2"/>
    </row>
    <row r="83" spans="3:59" x14ac:dyDescent="0.2">
      <c r="C83" s="3"/>
      <c r="D83" s="3"/>
      <c r="E83" s="2"/>
      <c r="F83" s="3">
        <v>249.97</v>
      </c>
      <c r="G83" s="3">
        <v>15.25</v>
      </c>
      <c r="H83" s="2">
        <f t="shared" si="20"/>
        <v>3.6333530078125002E-2</v>
      </c>
      <c r="I83" s="3"/>
      <c r="J83" s="3"/>
      <c r="K83" s="2"/>
      <c r="L83" s="3"/>
      <c r="M83" s="3"/>
      <c r="N83" s="2"/>
      <c r="O83" s="3"/>
      <c r="P83" s="3"/>
      <c r="Q83" s="2"/>
      <c r="R83" s="3"/>
      <c r="S83" s="3"/>
      <c r="T83" s="2"/>
      <c r="U83" s="3"/>
      <c r="V83" s="3"/>
      <c r="W83" s="2"/>
      <c r="X83" s="3"/>
      <c r="Y83" s="3"/>
      <c r="Z83" s="2"/>
      <c r="AA83" s="3"/>
      <c r="AB83" s="3"/>
      <c r="AC83" s="2"/>
      <c r="AD83" s="3"/>
      <c r="AE83" s="3"/>
      <c r="AF83" s="2"/>
      <c r="AG83" s="3"/>
      <c r="AH83" s="3"/>
      <c r="AI83" s="2"/>
      <c r="AJ83" s="3"/>
      <c r="AK83" s="3"/>
      <c r="AL83" s="2"/>
      <c r="AM83" s="3"/>
      <c r="AN83" s="3"/>
      <c r="AO83" s="2"/>
      <c r="AR83" s="2"/>
      <c r="AU83" s="2"/>
      <c r="AX83" s="2"/>
      <c r="BA83" s="2"/>
      <c r="BD83" s="2"/>
      <c r="BG83" s="2"/>
    </row>
    <row r="84" spans="3:59" x14ac:dyDescent="0.2">
      <c r="C84" s="3"/>
      <c r="D84" s="3"/>
      <c r="E84" s="2"/>
      <c r="F84" s="3">
        <v>369.45</v>
      </c>
      <c r="G84" s="3">
        <v>22.77</v>
      </c>
      <c r="H84" s="2">
        <f t="shared" si="20"/>
        <v>0.119718633065625</v>
      </c>
      <c r="I84" s="3"/>
      <c r="J84" s="3"/>
      <c r="K84" s="2"/>
      <c r="L84" s="3"/>
      <c r="M84" s="3"/>
      <c r="N84" s="2"/>
      <c r="O84" s="3"/>
      <c r="P84" s="3"/>
      <c r="Q84" s="2"/>
      <c r="R84" s="3"/>
      <c r="S84" s="3"/>
      <c r="T84" s="2"/>
      <c r="U84" s="3"/>
      <c r="V84" s="3"/>
      <c r="W84" s="2"/>
      <c r="X84" s="3"/>
      <c r="Y84" s="3"/>
      <c r="Z84" s="2"/>
      <c r="AA84" s="3"/>
      <c r="AB84" s="3"/>
      <c r="AC84" s="2"/>
      <c r="AD84" s="3"/>
      <c r="AE84" s="3"/>
      <c r="AF84" s="2"/>
      <c r="AG84" s="3"/>
      <c r="AH84" s="3"/>
      <c r="AI84" s="2"/>
      <c r="AJ84" s="3"/>
      <c r="AK84" s="3"/>
      <c r="AL84" s="2"/>
      <c r="AM84" s="3"/>
      <c r="AN84" s="3"/>
      <c r="AO84" s="2"/>
      <c r="AR84" s="2"/>
      <c r="AU84" s="2"/>
      <c r="AX84" s="2"/>
      <c r="BA84" s="2"/>
      <c r="BD84" s="2"/>
      <c r="BG84" s="2"/>
    </row>
    <row r="85" spans="3:59" x14ac:dyDescent="0.2">
      <c r="C85" s="3"/>
      <c r="D85" s="3"/>
      <c r="E85" s="2"/>
      <c r="F85" s="3">
        <v>319.75</v>
      </c>
      <c r="G85" s="3">
        <v>15.81</v>
      </c>
      <c r="H85" s="2">
        <f t="shared" si="20"/>
        <v>4.9952164359375002E-2</v>
      </c>
      <c r="I85" s="3"/>
      <c r="J85" s="3"/>
      <c r="K85" s="2"/>
      <c r="L85" s="3"/>
      <c r="M85" s="3"/>
      <c r="N85" s="2"/>
      <c r="O85" s="3"/>
      <c r="P85" s="3"/>
      <c r="Q85" s="2"/>
      <c r="R85" s="3"/>
      <c r="S85" s="3"/>
      <c r="T85" s="2"/>
      <c r="U85" s="3"/>
      <c r="V85" s="3"/>
      <c r="W85" s="2"/>
      <c r="X85" s="3"/>
      <c r="Y85" s="3"/>
      <c r="Z85" s="2"/>
      <c r="AA85" s="3"/>
      <c r="AB85" s="3"/>
      <c r="AC85" s="2"/>
      <c r="AD85" s="3"/>
      <c r="AE85" s="3"/>
      <c r="AF85" s="2"/>
      <c r="AG85" s="3"/>
      <c r="AH85" s="3"/>
      <c r="AI85" s="2"/>
      <c r="AJ85" s="3"/>
      <c r="AK85" s="3"/>
      <c r="AL85" s="2"/>
      <c r="AM85" s="3"/>
      <c r="AN85" s="3"/>
      <c r="AO85" s="2"/>
      <c r="AR85" s="2"/>
      <c r="AU85" s="2"/>
      <c r="AX85" s="2"/>
      <c r="BA85" s="2"/>
      <c r="BD85" s="2"/>
      <c r="BG85" s="2"/>
    </row>
    <row r="86" spans="3:59" x14ac:dyDescent="0.2">
      <c r="C86" s="3"/>
      <c r="D86" s="3"/>
      <c r="E86" s="2"/>
      <c r="F86" s="3">
        <v>238.04</v>
      </c>
      <c r="G86" s="3">
        <v>14.52</v>
      </c>
      <c r="H86" s="2">
        <f t="shared" si="20"/>
        <v>3.1366292759999997E-2</v>
      </c>
      <c r="I86" s="3"/>
      <c r="J86" s="3"/>
      <c r="K86" s="2"/>
      <c r="L86" s="3"/>
      <c r="M86" s="3"/>
      <c r="N86" s="2"/>
      <c r="O86" s="3"/>
      <c r="P86" s="3"/>
      <c r="Q86" s="2"/>
      <c r="R86" s="3"/>
      <c r="S86" s="3"/>
      <c r="T86" s="2"/>
      <c r="U86" s="3"/>
      <c r="V86" s="3"/>
      <c r="W86" s="2"/>
      <c r="X86" s="3"/>
      <c r="Y86" s="3"/>
      <c r="Z86" s="2"/>
      <c r="AA86" s="3"/>
      <c r="AB86" s="3"/>
      <c r="AC86" s="2"/>
      <c r="AD86" s="3"/>
      <c r="AE86" s="3"/>
      <c r="AF86" s="2"/>
      <c r="AG86" s="3"/>
      <c r="AH86" s="3"/>
      <c r="AI86" s="2"/>
      <c r="AJ86" s="3"/>
      <c r="AK86" s="3"/>
      <c r="AL86" s="2"/>
      <c r="AM86" s="3"/>
      <c r="AN86" s="3"/>
      <c r="AO86" s="2"/>
      <c r="AR86" s="2"/>
      <c r="AU86" s="2"/>
      <c r="AX86" s="2"/>
      <c r="BA86" s="2"/>
      <c r="BD86" s="2"/>
      <c r="BG86" s="2"/>
    </row>
    <row r="87" spans="3:59" x14ac:dyDescent="0.2">
      <c r="C87" s="3"/>
      <c r="D87" s="3"/>
      <c r="E87" s="2"/>
      <c r="F87" s="3">
        <v>429.48</v>
      </c>
      <c r="G87" s="3">
        <v>22.9</v>
      </c>
      <c r="H87" s="2">
        <f t="shared" si="20"/>
        <v>0.14076475425000001</v>
      </c>
      <c r="I87" s="3"/>
      <c r="J87" s="3"/>
      <c r="K87" s="2"/>
      <c r="L87" s="3"/>
      <c r="M87" s="3"/>
      <c r="N87" s="2"/>
      <c r="O87" s="3"/>
      <c r="P87" s="3"/>
      <c r="Q87" s="2"/>
      <c r="R87" s="3"/>
      <c r="S87" s="3"/>
      <c r="T87" s="2"/>
      <c r="U87" s="3"/>
      <c r="V87" s="3"/>
      <c r="W87" s="2"/>
      <c r="X87" s="3"/>
      <c r="Y87" s="3"/>
      <c r="Z87" s="2"/>
      <c r="AA87" s="3"/>
      <c r="AB87" s="3"/>
      <c r="AC87" s="2"/>
      <c r="AD87" s="3"/>
      <c r="AE87" s="3"/>
      <c r="AF87" s="2"/>
      <c r="AG87" s="3"/>
      <c r="AH87" s="3"/>
      <c r="AI87" s="2"/>
      <c r="AJ87" s="3"/>
      <c r="AK87" s="3"/>
      <c r="AL87" s="2"/>
      <c r="AM87" s="3"/>
      <c r="AN87" s="3"/>
      <c r="AO87" s="2"/>
      <c r="AR87" s="2"/>
      <c r="AU87" s="2"/>
      <c r="AX87" s="2"/>
      <c r="BA87" s="2"/>
      <c r="BD87" s="2"/>
      <c r="BG87" s="2"/>
    </row>
    <row r="88" spans="3:59" x14ac:dyDescent="0.2">
      <c r="C88" s="3"/>
      <c r="D88" s="3"/>
      <c r="E88" s="2"/>
      <c r="F88" s="3">
        <v>258.20999999999998</v>
      </c>
      <c r="G88" s="3">
        <v>14.65</v>
      </c>
      <c r="H88" s="2">
        <f t="shared" si="20"/>
        <v>3.4636047328125003E-2</v>
      </c>
      <c r="I88" s="3"/>
      <c r="J88" s="3"/>
      <c r="K88" s="2"/>
      <c r="L88" s="3"/>
      <c r="M88" s="3"/>
      <c r="N88" s="2"/>
      <c r="O88" s="3"/>
      <c r="P88" s="3"/>
      <c r="Q88" s="2"/>
      <c r="R88" s="3"/>
      <c r="S88" s="3"/>
      <c r="T88" s="2"/>
      <c r="U88" s="3"/>
      <c r="V88" s="3"/>
      <c r="W88" s="2"/>
      <c r="X88" s="3"/>
      <c r="Y88" s="3"/>
      <c r="Z88" s="2"/>
      <c r="AA88" s="3"/>
      <c r="AB88" s="3"/>
      <c r="AC88" s="2"/>
      <c r="AD88" s="3"/>
      <c r="AE88" s="3"/>
      <c r="AF88" s="2"/>
      <c r="AG88" s="3"/>
      <c r="AH88" s="3"/>
      <c r="AI88" s="2"/>
      <c r="AJ88" s="3"/>
      <c r="AK88" s="3"/>
      <c r="AL88" s="2"/>
      <c r="AM88" s="3"/>
      <c r="AN88" s="3"/>
      <c r="AO88" s="2"/>
      <c r="AR88" s="2"/>
      <c r="AU88" s="2"/>
      <c r="AX88" s="2"/>
      <c r="BA88" s="2"/>
      <c r="BD88" s="2"/>
      <c r="BG88" s="2"/>
    </row>
    <row r="89" spans="3:59" x14ac:dyDescent="0.2">
      <c r="C89" s="3"/>
      <c r="D89" s="3"/>
      <c r="E89" s="2"/>
      <c r="F89" s="3">
        <v>337.15</v>
      </c>
      <c r="G89" s="3">
        <v>19.45</v>
      </c>
      <c r="H89" s="2">
        <f t="shared" si="20"/>
        <v>7.9715429921874983E-2</v>
      </c>
      <c r="I89" s="3"/>
      <c r="J89" s="3"/>
      <c r="K89" s="2"/>
      <c r="L89" s="3"/>
      <c r="M89" s="3"/>
      <c r="N89" s="2"/>
      <c r="O89" s="3"/>
      <c r="P89" s="3"/>
      <c r="Q89" s="2"/>
      <c r="R89" s="3"/>
      <c r="S89" s="3"/>
      <c r="T89" s="2"/>
      <c r="U89" s="3"/>
      <c r="V89" s="3"/>
      <c r="W89" s="2"/>
      <c r="X89" s="3"/>
      <c r="Y89" s="3"/>
      <c r="Z89" s="2"/>
      <c r="AA89" s="3"/>
      <c r="AB89" s="3"/>
      <c r="AC89" s="2"/>
      <c r="AD89" s="3"/>
      <c r="AE89" s="3"/>
      <c r="AF89" s="2"/>
      <c r="AG89" s="3"/>
      <c r="AH89" s="3"/>
      <c r="AI89" s="2"/>
      <c r="AJ89" s="3"/>
      <c r="AK89" s="3"/>
      <c r="AL89" s="2"/>
      <c r="AM89" s="3"/>
      <c r="AN89" s="3"/>
      <c r="AO89" s="2"/>
      <c r="AR89" s="2"/>
      <c r="AU89" s="2"/>
      <c r="AX89" s="2"/>
      <c r="BA89" s="2"/>
      <c r="BD89" s="2"/>
      <c r="BG89" s="2"/>
    </row>
    <row r="90" spans="3:59" x14ac:dyDescent="0.2">
      <c r="C90" s="3"/>
      <c r="D90" s="3"/>
      <c r="E90" s="2"/>
      <c r="F90" s="3">
        <v>318.94</v>
      </c>
      <c r="G90" s="3">
        <v>19.12</v>
      </c>
      <c r="H90" s="2">
        <f t="shared" si="20"/>
        <v>7.2872686960000016E-2</v>
      </c>
      <c r="I90" s="3"/>
      <c r="J90" s="3"/>
      <c r="K90" s="2"/>
      <c r="L90" s="3"/>
      <c r="M90" s="3"/>
      <c r="N90" s="2"/>
      <c r="O90" s="3"/>
      <c r="P90" s="3"/>
      <c r="Q90" s="2"/>
      <c r="R90" s="3"/>
      <c r="S90" s="3"/>
      <c r="T90" s="2"/>
      <c r="U90" s="3"/>
      <c r="V90" s="3"/>
      <c r="W90" s="2"/>
      <c r="X90" s="3"/>
      <c r="Y90" s="3"/>
      <c r="Z90" s="2"/>
      <c r="AA90" s="3"/>
      <c r="AB90" s="3"/>
      <c r="AC90" s="2"/>
      <c r="AD90" s="3"/>
      <c r="AE90" s="3"/>
      <c r="AF90" s="2"/>
      <c r="AG90" s="3"/>
      <c r="AH90" s="3"/>
      <c r="AI90" s="2"/>
      <c r="AJ90" s="3"/>
      <c r="AK90" s="3"/>
      <c r="AL90" s="2"/>
      <c r="AM90" s="3"/>
      <c r="AN90" s="3"/>
      <c r="AO90" s="2"/>
      <c r="AR90" s="2"/>
      <c r="AU90" s="2"/>
      <c r="AX90" s="2"/>
      <c r="BA90" s="2"/>
      <c r="BD90" s="2"/>
      <c r="BG90" s="2"/>
    </row>
    <row r="91" spans="3:59" x14ac:dyDescent="0.2">
      <c r="C91" s="3"/>
      <c r="D91" s="3"/>
      <c r="E91" s="2"/>
      <c r="F91" s="3">
        <v>351.51</v>
      </c>
      <c r="G91" s="3">
        <v>16.78</v>
      </c>
      <c r="H91" s="2">
        <f t="shared" si="20"/>
        <v>6.1858817677500011E-2</v>
      </c>
      <c r="I91" s="3"/>
      <c r="J91" s="3"/>
      <c r="K91" s="2"/>
      <c r="L91" s="3"/>
      <c r="M91" s="3"/>
      <c r="N91" s="2"/>
      <c r="O91" s="3"/>
      <c r="P91" s="3"/>
      <c r="Q91" s="2"/>
      <c r="R91" s="3"/>
      <c r="S91" s="3"/>
      <c r="T91" s="2"/>
      <c r="U91" s="3"/>
      <c r="V91" s="3"/>
      <c r="W91" s="2"/>
      <c r="X91" s="3"/>
      <c r="Y91" s="3"/>
      <c r="Z91" s="2"/>
      <c r="AA91" s="3"/>
      <c r="AB91" s="3"/>
      <c r="AC91" s="2"/>
      <c r="AD91" s="3"/>
      <c r="AE91" s="3"/>
      <c r="AF91" s="2"/>
      <c r="AG91" s="3"/>
      <c r="AH91" s="3"/>
      <c r="AI91" s="2"/>
      <c r="AJ91" s="3"/>
      <c r="AK91" s="3"/>
      <c r="AL91" s="2"/>
      <c r="AM91" s="3"/>
      <c r="AN91" s="3"/>
      <c r="AO91" s="2"/>
      <c r="AR91" s="2"/>
      <c r="AU91" s="2"/>
      <c r="AX91" s="2"/>
      <c r="BA91" s="2"/>
      <c r="BD91" s="2"/>
      <c r="BG91" s="2"/>
    </row>
    <row r="92" spans="3:59" x14ac:dyDescent="0.2">
      <c r="C92" s="3"/>
      <c r="D92" s="3"/>
      <c r="E92" s="2"/>
      <c r="F92" s="3">
        <v>442.13</v>
      </c>
      <c r="G92" s="3">
        <v>19.73</v>
      </c>
      <c r="H92" s="2">
        <f t="shared" si="20"/>
        <v>0.107568267048125</v>
      </c>
      <c r="I92" s="3"/>
      <c r="J92" s="3"/>
      <c r="K92" s="2"/>
      <c r="L92" s="3"/>
      <c r="M92" s="3"/>
      <c r="N92" s="2"/>
      <c r="O92" s="3"/>
      <c r="P92" s="3"/>
      <c r="Q92" s="2"/>
      <c r="R92" s="3"/>
      <c r="S92" s="3"/>
      <c r="T92" s="2"/>
      <c r="U92" s="3"/>
      <c r="V92" s="3"/>
      <c r="W92" s="2"/>
      <c r="X92" s="3"/>
      <c r="Y92" s="3"/>
      <c r="Z92" s="2"/>
      <c r="AA92" s="3"/>
      <c r="AB92" s="3"/>
      <c r="AC92" s="2"/>
      <c r="AD92" s="3"/>
      <c r="AE92" s="3"/>
      <c r="AF92" s="2"/>
      <c r="AG92" s="3"/>
      <c r="AH92" s="3"/>
      <c r="AI92" s="2"/>
      <c r="AJ92" s="3"/>
      <c r="AK92" s="3"/>
      <c r="AL92" s="2"/>
      <c r="AM92" s="3"/>
      <c r="AN92" s="3"/>
      <c r="AO92" s="2"/>
      <c r="AR92" s="2"/>
      <c r="AU92" s="2"/>
      <c r="AX92" s="2"/>
      <c r="BA92" s="2"/>
      <c r="BD92" s="2"/>
      <c r="BG92" s="2"/>
    </row>
    <row r="93" spans="3:59" x14ac:dyDescent="0.2">
      <c r="C93" s="3"/>
      <c r="D93" s="3"/>
      <c r="E93" s="2"/>
      <c r="F93" s="3">
        <v>916.3</v>
      </c>
      <c r="G93" s="3">
        <v>28.9</v>
      </c>
      <c r="H93" s="2">
        <f t="shared" si="20"/>
        <v>0.47831432687499992</v>
      </c>
      <c r="I93" s="3"/>
      <c r="J93" s="3"/>
      <c r="K93" s="2"/>
      <c r="L93" s="3"/>
      <c r="M93" s="3"/>
      <c r="N93" s="2"/>
      <c r="O93" s="3"/>
      <c r="P93" s="3"/>
      <c r="Q93" s="2"/>
      <c r="R93" s="3"/>
      <c r="S93" s="3"/>
      <c r="T93" s="2"/>
      <c r="U93" s="3"/>
      <c r="V93" s="3"/>
      <c r="W93" s="2"/>
      <c r="X93" s="3"/>
      <c r="Y93" s="3"/>
      <c r="Z93" s="2"/>
      <c r="AA93" s="3"/>
      <c r="AB93" s="3"/>
      <c r="AC93" s="2"/>
      <c r="AD93" s="3"/>
      <c r="AE93" s="3"/>
      <c r="AF93" s="2"/>
      <c r="AG93" s="3"/>
      <c r="AH93" s="3"/>
      <c r="AI93" s="2"/>
      <c r="AJ93" s="3"/>
      <c r="AK93" s="3"/>
      <c r="AL93" s="2"/>
      <c r="AM93" s="3"/>
      <c r="AN93" s="3"/>
      <c r="AO93" s="2"/>
      <c r="AR93" s="2"/>
      <c r="AU93" s="2"/>
      <c r="AX93" s="2"/>
      <c r="BA93" s="2"/>
      <c r="BD93" s="2"/>
      <c r="BG93" s="2"/>
    </row>
    <row r="94" spans="3:59" x14ac:dyDescent="0.2">
      <c r="C94" s="3"/>
      <c r="D94" s="3"/>
      <c r="E94" s="2"/>
      <c r="F94" s="3">
        <v>849.85</v>
      </c>
      <c r="G94" s="3">
        <v>25.77</v>
      </c>
      <c r="H94" s="2">
        <f t="shared" si="20"/>
        <v>0.35273709441562495</v>
      </c>
      <c r="I94" s="3"/>
      <c r="J94" s="3"/>
      <c r="K94" s="2"/>
      <c r="L94" s="3"/>
      <c r="M94" s="3"/>
      <c r="N94" s="2"/>
      <c r="O94" s="3"/>
      <c r="P94" s="3"/>
      <c r="Q94" s="2"/>
      <c r="R94" s="3"/>
      <c r="S94" s="3"/>
      <c r="T94" s="2"/>
      <c r="U94" s="3"/>
      <c r="V94" s="3"/>
      <c r="W94" s="2"/>
      <c r="X94" s="3"/>
      <c r="Y94" s="3"/>
      <c r="Z94" s="2"/>
      <c r="AA94" s="3"/>
      <c r="AB94" s="3"/>
      <c r="AC94" s="2"/>
      <c r="AD94" s="3"/>
      <c r="AE94" s="3"/>
      <c r="AF94" s="2"/>
      <c r="AG94" s="3"/>
      <c r="AH94" s="3"/>
      <c r="AI94" s="2"/>
      <c r="AJ94" s="3"/>
      <c r="AK94" s="3"/>
      <c r="AL94" s="2"/>
      <c r="AM94" s="3"/>
      <c r="AN94" s="3"/>
      <c r="AO94" s="2"/>
      <c r="AR94" s="2"/>
      <c r="AU94" s="2"/>
      <c r="AX94" s="2"/>
      <c r="BA94" s="2"/>
      <c r="BD94" s="2"/>
      <c r="BG94" s="2"/>
    </row>
    <row r="95" spans="3:59" x14ac:dyDescent="0.2">
      <c r="C95" s="3"/>
      <c r="D95" s="3"/>
      <c r="E95" s="2"/>
      <c r="F95" s="3">
        <v>294.88</v>
      </c>
      <c r="G95" s="3">
        <v>15.83</v>
      </c>
      <c r="H95" s="2">
        <f t="shared" si="20"/>
        <v>4.618353427E-2</v>
      </c>
      <c r="I95" s="3"/>
      <c r="J95" s="3"/>
      <c r="K95" s="2"/>
      <c r="L95" s="3"/>
      <c r="M95" s="3"/>
      <c r="N95" s="2"/>
      <c r="O95" s="3"/>
      <c r="P95" s="3"/>
      <c r="Q95" s="2"/>
      <c r="R95" s="3"/>
      <c r="S95" s="3"/>
      <c r="T95" s="2"/>
      <c r="U95" s="3"/>
      <c r="V95" s="3"/>
      <c r="W95" s="2"/>
      <c r="X95" s="3"/>
      <c r="Y95" s="3"/>
      <c r="Z95" s="2"/>
      <c r="AA95" s="3"/>
      <c r="AB95" s="3"/>
      <c r="AC95" s="2"/>
      <c r="AD95" s="3"/>
      <c r="AE95" s="3"/>
      <c r="AF95" s="2"/>
      <c r="AG95" s="3"/>
      <c r="AH95" s="3"/>
      <c r="AI95" s="2"/>
      <c r="AJ95" s="3"/>
      <c r="AK95" s="3"/>
      <c r="AL95" s="2"/>
      <c r="AM95" s="3"/>
      <c r="AN95" s="3"/>
      <c r="AO95" s="2"/>
      <c r="AR95" s="2"/>
      <c r="AU95" s="2"/>
      <c r="AX95" s="2"/>
      <c r="BA95" s="2"/>
      <c r="BD95" s="2"/>
      <c r="BG95" s="2"/>
    </row>
    <row r="96" spans="3:59" x14ac:dyDescent="0.2">
      <c r="C96" s="3"/>
      <c r="D96" s="3"/>
      <c r="E96" s="2"/>
      <c r="F96" s="3">
        <v>338.93</v>
      </c>
      <c r="G96" s="3">
        <v>19.829999999999998</v>
      </c>
      <c r="H96" s="2">
        <f t="shared" si="20"/>
        <v>8.3298169423124985E-2</v>
      </c>
      <c r="I96" s="3"/>
      <c r="J96" s="3"/>
      <c r="K96" s="2"/>
      <c r="L96" s="3"/>
      <c r="M96" s="3"/>
      <c r="N96" s="2"/>
      <c r="O96" s="3"/>
      <c r="P96" s="3"/>
      <c r="Q96" s="2"/>
      <c r="R96" s="3"/>
      <c r="S96" s="3"/>
      <c r="T96" s="2"/>
      <c r="U96" s="3"/>
      <c r="V96" s="3"/>
      <c r="W96" s="2"/>
      <c r="X96" s="3"/>
      <c r="Y96" s="3"/>
      <c r="Z96" s="2"/>
      <c r="AA96" s="3"/>
      <c r="AB96" s="3"/>
      <c r="AC96" s="2"/>
      <c r="AD96" s="3"/>
      <c r="AE96" s="3"/>
      <c r="AF96" s="2"/>
      <c r="AG96" s="3"/>
      <c r="AH96" s="3"/>
      <c r="AI96" s="2"/>
      <c r="AJ96" s="3"/>
      <c r="AK96" s="3"/>
      <c r="AL96" s="2"/>
      <c r="AM96" s="3"/>
      <c r="AN96" s="3"/>
      <c r="AO96" s="2"/>
      <c r="AR96" s="2"/>
      <c r="AU96" s="2"/>
      <c r="AX96" s="2"/>
      <c r="BA96" s="2"/>
      <c r="BD96" s="2"/>
      <c r="BG96" s="2"/>
    </row>
    <row r="97" spans="3:59" x14ac:dyDescent="0.2">
      <c r="C97" s="3"/>
      <c r="D97" s="3"/>
      <c r="E97" s="2"/>
      <c r="F97" s="3">
        <v>376.47</v>
      </c>
      <c r="G97" s="3">
        <v>19.829999999999998</v>
      </c>
      <c r="H97" s="2">
        <f t="shared" si="20"/>
        <v>9.2524302489374988E-2</v>
      </c>
      <c r="I97" s="3"/>
      <c r="J97" s="3"/>
      <c r="K97" s="2"/>
      <c r="L97" s="3"/>
      <c r="M97" s="3"/>
      <c r="N97" s="2"/>
      <c r="O97" s="3"/>
      <c r="P97" s="3"/>
      <c r="Q97" s="2"/>
      <c r="R97" s="3"/>
      <c r="S97" s="3"/>
      <c r="T97" s="2"/>
      <c r="U97" s="3"/>
      <c r="V97" s="3"/>
      <c r="W97" s="2"/>
      <c r="X97" s="3"/>
      <c r="Y97" s="3"/>
      <c r="Z97" s="2"/>
      <c r="AA97" s="3"/>
      <c r="AB97" s="3"/>
      <c r="AC97" s="2"/>
      <c r="AD97" s="3"/>
      <c r="AE97" s="3"/>
      <c r="AF97" s="2"/>
      <c r="AG97" s="3"/>
      <c r="AH97" s="3"/>
      <c r="AI97" s="2"/>
      <c r="AJ97" s="3"/>
      <c r="AK97" s="3"/>
      <c r="AL97" s="2"/>
      <c r="AM97" s="3"/>
      <c r="AN97" s="3"/>
      <c r="AO97" s="2"/>
      <c r="AR97" s="2"/>
      <c r="AU97" s="2"/>
      <c r="AX97" s="2"/>
      <c r="BA97" s="2"/>
      <c r="BD97" s="2"/>
      <c r="BG97" s="2"/>
    </row>
    <row r="98" spans="3:59" x14ac:dyDescent="0.2">
      <c r="C98" s="3"/>
      <c r="D98" s="3"/>
      <c r="E98" s="2"/>
      <c r="F98" s="3">
        <v>376.47</v>
      </c>
      <c r="G98" s="3">
        <v>21.32</v>
      </c>
      <c r="H98" s="2">
        <f t="shared" si="20"/>
        <v>0.10695098583000001</v>
      </c>
      <c r="I98" s="3"/>
      <c r="J98" s="3"/>
      <c r="K98" s="2"/>
      <c r="L98" s="3"/>
      <c r="M98" s="3"/>
      <c r="N98" s="2"/>
      <c r="O98" s="3"/>
      <c r="P98" s="3"/>
      <c r="Q98" s="2"/>
      <c r="R98" s="3"/>
      <c r="S98" s="3"/>
      <c r="T98" s="2"/>
      <c r="U98" s="3"/>
      <c r="V98" s="3"/>
      <c r="W98" s="2"/>
      <c r="X98" s="3"/>
      <c r="Y98" s="3"/>
      <c r="Z98" s="2"/>
      <c r="AA98" s="3"/>
      <c r="AB98" s="3"/>
      <c r="AC98" s="2"/>
      <c r="AD98" s="3"/>
      <c r="AE98" s="3"/>
      <c r="AF98" s="2"/>
      <c r="AG98" s="3"/>
      <c r="AH98" s="3"/>
      <c r="AI98" s="2"/>
      <c r="AJ98" s="3"/>
      <c r="AK98" s="3"/>
      <c r="AL98" s="2"/>
      <c r="AM98" s="3"/>
      <c r="AN98" s="3"/>
      <c r="AO98" s="2"/>
      <c r="AR98" s="2"/>
      <c r="AU98" s="2"/>
      <c r="AX98" s="2"/>
      <c r="BA98" s="2"/>
      <c r="BD98" s="2"/>
      <c r="BG98" s="2"/>
    </row>
    <row r="99" spans="3:59" x14ac:dyDescent="0.2">
      <c r="C99" s="3"/>
      <c r="D99" s="3"/>
      <c r="E99" s="2"/>
      <c r="F99" s="3">
        <v>324.99</v>
      </c>
      <c r="G99" s="3">
        <v>18.98</v>
      </c>
      <c r="H99" s="2">
        <f t="shared" si="20"/>
        <v>7.3171579747500007E-2</v>
      </c>
      <c r="I99" s="3"/>
      <c r="J99" s="3"/>
      <c r="K99" s="2"/>
      <c r="L99" s="3"/>
      <c r="M99" s="3"/>
      <c r="N99" s="2"/>
      <c r="O99" s="3"/>
      <c r="P99" s="3"/>
      <c r="Q99" s="2"/>
      <c r="R99" s="3"/>
      <c r="S99" s="3"/>
      <c r="T99" s="2"/>
      <c r="U99" s="3"/>
      <c r="V99" s="3"/>
      <c r="W99" s="2"/>
      <c r="X99" s="3"/>
      <c r="Y99" s="3"/>
      <c r="Z99" s="2"/>
      <c r="AA99" s="3"/>
      <c r="AB99" s="3"/>
      <c r="AC99" s="2"/>
      <c r="AD99" s="3"/>
      <c r="AE99" s="3"/>
      <c r="AF99" s="2"/>
      <c r="AG99" s="3"/>
      <c r="AH99" s="3"/>
      <c r="AI99" s="2"/>
      <c r="AJ99" s="3"/>
      <c r="AK99" s="3"/>
      <c r="AL99" s="2"/>
      <c r="AM99" s="3"/>
      <c r="AN99" s="3"/>
      <c r="AO99" s="2"/>
      <c r="AR99" s="2"/>
      <c r="AU99" s="2"/>
      <c r="AX99" s="2"/>
      <c r="BA99" s="2"/>
      <c r="BD99" s="2"/>
      <c r="BG99" s="2"/>
    </row>
    <row r="100" spans="3:59" x14ac:dyDescent="0.2">
      <c r="C100" s="3"/>
      <c r="D100" s="3"/>
      <c r="E100" s="2"/>
      <c r="F100" s="3">
        <v>356.66</v>
      </c>
      <c r="G100" s="3">
        <v>20.58</v>
      </c>
      <c r="H100" s="2">
        <f t="shared" si="20"/>
        <v>9.4411557764999973E-2</v>
      </c>
      <c r="I100" s="3"/>
      <c r="J100" s="3"/>
      <c r="K100" s="2"/>
      <c r="L100" s="3"/>
      <c r="M100" s="3"/>
      <c r="N100" s="2"/>
      <c r="O100" s="3"/>
      <c r="P100" s="3"/>
      <c r="Q100" s="2"/>
      <c r="R100" s="3"/>
      <c r="S100" s="3"/>
      <c r="T100" s="2"/>
      <c r="U100" s="3"/>
      <c r="V100" s="3"/>
      <c r="W100" s="2"/>
      <c r="X100" s="3"/>
      <c r="Y100" s="3"/>
      <c r="Z100" s="2"/>
      <c r="AA100" s="3"/>
      <c r="AB100" s="3"/>
      <c r="AC100" s="2"/>
      <c r="AD100" s="3"/>
      <c r="AE100" s="3"/>
      <c r="AF100" s="2"/>
      <c r="AG100" s="3"/>
      <c r="AH100" s="3"/>
      <c r="AI100" s="2"/>
      <c r="AJ100" s="3"/>
      <c r="AK100" s="3"/>
      <c r="AL100" s="2"/>
      <c r="AM100" s="3"/>
      <c r="AN100" s="3"/>
      <c r="AO100" s="2"/>
      <c r="AR100" s="2"/>
      <c r="AU100" s="2"/>
      <c r="AX100" s="2"/>
      <c r="BA100" s="2"/>
      <c r="BD100" s="2"/>
      <c r="BG100" s="2"/>
    </row>
    <row r="101" spans="3:59" x14ac:dyDescent="0.2">
      <c r="C101" s="3"/>
      <c r="D101" s="3"/>
      <c r="E101" s="2"/>
      <c r="F101" s="3">
        <v>324.20999999999998</v>
      </c>
      <c r="G101" s="3">
        <v>11.33</v>
      </c>
      <c r="H101" s="2">
        <f t="shared" si="20"/>
        <v>2.6011550668124998E-2</v>
      </c>
      <c r="I101" s="3"/>
      <c r="J101" s="3"/>
      <c r="K101" s="2"/>
      <c r="L101" s="3"/>
      <c r="M101" s="3"/>
      <c r="N101" s="2"/>
      <c r="O101" s="3"/>
      <c r="P101" s="3"/>
      <c r="Q101" s="2"/>
      <c r="R101" s="3"/>
      <c r="S101" s="3"/>
      <c r="T101" s="2"/>
      <c r="U101" s="3"/>
      <c r="V101" s="3"/>
      <c r="W101" s="2"/>
      <c r="X101" s="3"/>
      <c r="Y101" s="3"/>
      <c r="Z101" s="2"/>
      <c r="AA101" s="3"/>
      <c r="AB101" s="3"/>
      <c r="AC101" s="2"/>
      <c r="AD101" s="3"/>
      <c r="AE101" s="3"/>
      <c r="AF101" s="2"/>
      <c r="AG101" s="3"/>
      <c r="AH101" s="3"/>
      <c r="AI101" s="2"/>
      <c r="AJ101" s="3"/>
      <c r="AK101" s="3"/>
      <c r="AL101" s="2"/>
      <c r="AM101" s="3"/>
      <c r="AN101" s="3"/>
      <c r="AO101" s="2"/>
      <c r="AR101" s="2"/>
      <c r="AU101" s="2"/>
      <c r="AX101" s="2"/>
      <c r="BA101" s="2"/>
      <c r="BD101" s="2"/>
      <c r="BG101" s="2"/>
    </row>
    <row r="102" spans="3:59" x14ac:dyDescent="0.2">
      <c r="C102" s="3"/>
      <c r="D102" s="3"/>
      <c r="E102" s="2"/>
      <c r="F102" s="3">
        <v>336.27</v>
      </c>
      <c r="G102" s="3">
        <v>17.8</v>
      </c>
      <c r="H102" s="2">
        <f t="shared" ref="H102:H133" si="21">(F102*G102*G102)/1600000</f>
        <v>6.6589866750000004E-2</v>
      </c>
      <c r="I102" s="3"/>
      <c r="J102" s="3"/>
      <c r="K102" s="2"/>
      <c r="L102" s="3"/>
      <c r="M102" s="3"/>
      <c r="N102" s="2"/>
      <c r="O102" s="3"/>
      <c r="P102" s="3"/>
      <c r="Q102" s="2"/>
      <c r="R102" s="3"/>
      <c r="S102" s="3"/>
      <c r="T102" s="2"/>
      <c r="U102" s="3"/>
      <c r="V102" s="3"/>
      <c r="W102" s="2"/>
      <c r="X102" s="3"/>
      <c r="Y102" s="3"/>
      <c r="Z102" s="2"/>
      <c r="AA102" s="3"/>
      <c r="AB102" s="3"/>
      <c r="AC102" s="2"/>
      <c r="AD102" s="3"/>
      <c r="AE102" s="3"/>
      <c r="AF102" s="2"/>
      <c r="AG102" s="3"/>
      <c r="AH102" s="3"/>
      <c r="AI102" s="2"/>
      <c r="AJ102" s="3"/>
      <c r="AK102" s="3"/>
      <c r="AL102" s="2"/>
      <c r="AM102" s="3"/>
      <c r="AN102" s="3"/>
      <c r="AO102" s="2"/>
      <c r="AR102" s="2"/>
      <c r="AU102" s="2"/>
      <c r="AX102" s="2"/>
      <c r="BA102" s="2"/>
      <c r="BD102" s="2"/>
      <c r="BG102" s="2"/>
    </row>
    <row r="103" spans="3:59" x14ac:dyDescent="0.2">
      <c r="C103" s="3"/>
      <c r="D103" s="3"/>
      <c r="E103" s="2"/>
      <c r="F103" s="3">
        <v>326.77999999999997</v>
      </c>
      <c r="G103" s="3">
        <v>16.170000000000002</v>
      </c>
      <c r="H103" s="2">
        <f t="shared" si="21"/>
        <v>5.3401754463750013E-2</v>
      </c>
      <c r="I103" s="3"/>
      <c r="J103" s="3"/>
      <c r="K103" s="2"/>
      <c r="L103" s="3"/>
      <c r="M103" s="3"/>
      <c r="N103" s="2"/>
      <c r="O103" s="3"/>
      <c r="P103" s="3"/>
      <c r="Q103" s="2"/>
      <c r="R103" s="3"/>
      <c r="S103" s="3"/>
      <c r="T103" s="2"/>
      <c r="U103" s="3"/>
      <c r="V103" s="3"/>
      <c r="W103" s="2"/>
      <c r="X103" s="3"/>
      <c r="Y103" s="3"/>
      <c r="Z103" s="2"/>
      <c r="AA103" s="3"/>
      <c r="AB103" s="3"/>
      <c r="AC103" s="2"/>
      <c r="AD103" s="3"/>
      <c r="AE103" s="3"/>
      <c r="AF103" s="2"/>
      <c r="AG103" s="3"/>
      <c r="AH103" s="3"/>
      <c r="AI103" s="2"/>
      <c r="AJ103" s="3"/>
      <c r="AK103" s="3"/>
      <c r="AL103" s="2"/>
      <c r="AM103" s="3"/>
      <c r="AN103" s="3"/>
      <c r="AO103" s="2"/>
      <c r="AR103" s="2"/>
      <c r="AU103" s="2"/>
      <c r="AX103" s="2"/>
      <c r="BA103" s="2"/>
      <c r="BD103" s="2"/>
      <c r="BG103" s="2"/>
    </row>
    <row r="104" spans="3:59" x14ac:dyDescent="0.2">
      <c r="C104" s="3"/>
      <c r="D104" s="3"/>
      <c r="E104" s="2"/>
      <c r="F104" s="3">
        <v>316.92</v>
      </c>
      <c r="G104" s="3">
        <v>17.12</v>
      </c>
      <c r="H104" s="2">
        <f t="shared" si="21"/>
        <v>5.8054673280000017E-2</v>
      </c>
      <c r="I104" s="3"/>
      <c r="J104" s="3"/>
      <c r="K104" s="2"/>
      <c r="L104" s="3"/>
      <c r="M104" s="3"/>
      <c r="N104" s="2"/>
      <c r="O104" s="3"/>
      <c r="P104" s="3"/>
      <c r="Q104" s="2"/>
      <c r="R104" s="3"/>
      <c r="S104" s="3"/>
      <c r="T104" s="2"/>
      <c r="U104" s="3"/>
      <c r="V104" s="3"/>
      <c r="W104" s="2"/>
      <c r="X104" s="3"/>
      <c r="Y104" s="3"/>
      <c r="Z104" s="2"/>
      <c r="AA104" s="3"/>
      <c r="AB104" s="3"/>
      <c r="AC104" s="2"/>
      <c r="AD104" s="3"/>
      <c r="AE104" s="3"/>
      <c r="AF104" s="2"/>
      <c r="AG104" s="3"/>
      <c r="AH104" s="3"/>
      <c r="AI104" s="2"/>
      <c r="AJ104" s="3"/>
      <c r="AK104" s="3"/>
      <c r="AL104" s="2"/>
      <c r="AM104" s="3"/>
      <c r="AN104" s="3"/>
      <c r="AO104" s="2"/>
      <c r="AR104" s="2"/>
      <c r="AU104" s="2"/>
      <c r="AX104" s="2"/>
      <c r="BA104" s="2"/>
      <c r="BD104" s="2"/>
      <c r="BG104" s="2"/>
    </row>
    <row r="105" spans="3:59" x14ac:dyDescent="0.2">
      <c r="C105" s="3"/>
      <c r="D105" s="3"/>
      <c r="E105" s="2"/>
      <c r="F105" s="3">
        <v>324.3</v>
      </c>
      <c r="G105" s="3">
        <v>15.83</v>
      </c>
      <c r="H105" s="2">
        <f t="shared" si="21"/>
        <v>5.0791237668750003E-2</v>
      </c>
      <c r="I105" s="3"/>
      <c r="J105" s="3"/>
      <c r="K105" s="2"/>
      <c r="L105" s="3"/>
      <c r="M105" s="3"/>
      <c r="N105" s="2"/>
      <c r="O105" s="3"/>
      <c r="P105" s="3"/>
      <c r="Q105" s="2"/>
      <c r="R105" s="3"/>
      <c r="S105" s="3"/>
      <c r="T105" s="2"/>
      <c r="U105" s="3"/>
      <c r="V105" s="3"/>
      <c r="W105" s="2"/>
      <c r="X105" s="3"/>
      <c r="Y105" s="3"/>
      <c r="Z105" s="2"/>
      <c r="AA105" s="3"/>
      <c r="AB105" s="3"/>
      <c r="AC105" s="2"/>
      <c r="AD105" s="3"/>
      <c r="AE105" s="3"/>
      <c r="AF105" s="2"/>
      <c r="AG105" s="3"/>
      <c r="AH105" s="3"/>
      <c r="AI105" s="2"/>
      <c r="AJ105" s="3"/>
      <c r="AK105" s="3"/>
      <c r="AL105" s="2"/>
      <c r="AM105" s="3"/>
      <c r="AN105" s="3"/>
      <c r="AO105" s="2"/>
      <c r="AR105" s="2"/>
      <c r="AU105" s="2"/>
      <c r="AX105" s="2"/>
      <c r="BA105" s="2"/>
      <c r="BD105" s="2"/>
      <c r="BG105" s="2"/>
    </row>
    <row r="106" spans="3:59" x14ac:dyDescent="0.2">
      <c r="C106" s="3"/>
      <c r="D106" s="3"/>
      <c r="E106" s="2"/>
      <c r="F106" s="3">
        <v>318.01</v>
      </c>
      <c r="G106" s="3">
        <v>20.350000000000001</v>
      </c>
      <c r="H106" s="2">
        <f t="shared" si="21"/>
        <v>8.2309435140625012E-2</v>
      </c>
      <c r="I106" s="3"/>
      <c r="J106" s="3"/>
      <c r="K106" s="2"/>
      <c r="L106" s="3"/>
      <c r="M106" s="3"/>
      <c r="N106" s="2"/>
      <c r="O106" s="3"/>
      <c r="P106" s="3"/>
      <c r="Q106" s="2"/>
      <c r="R106" s="3"/>
      <c r="S106" s="3"/>
      <c r="T106" s="2"/>
      <c r="U106" s="3"/>
      <c r="V106" s="3"/>
      <c r="W106" s="2"/>
      <c r="X106" s="3"/>
      <c r="Y106" s="3"/>
      <c r="Z106" s="2"/>
      <c r="AA106" s="3"/>
      <c r="AB106" s="3"/>
      <c r="AC106" s="2"/>
      <c r="AD106" s="3"/>
      <c r="AE106" s="3"/>
      <c r="AF106" s="2"/>
      <c r="AG106" s="3"/>
      <c r="AH106" s="3"/>
      <c r="AI106" s="2"/>
      <c r="AJ106" s="3"/>
      <c r="AK106" s="3"/>
      <c r="AL106" s="2"/>
      <c r="AM106" s="3"/>
      <c r="AN106" s="3"/>
      <c r="AO106" s="2"/>
      <c r="AR106" s="2"/>
      <c r="AU106" s="2"/>
      <c r="AX106" s="2"/>
      <c r="BA106" s="2"/>
      <c r="BD106" s="2"/>
      <c r="BG106" s="2"/>
    </row>
    <row r="107" spans="3:59" x14ac:dyDescent="0.2">
      <c r="C107" s="3"/>
      <c r="D107" s="3"/>
      <c r="E107" s="2"/>
      <c r="F107" s="3">
        <v>328.13</v>
      </c>
      <c r="G107" s="3">
        <v>16.39</v>
      </c>
      <c r="H107" s="2">
        <f t="shared" si="21"/>
        <v>5.5091406858125004E-2</v>
      </c>
      <c r="I107" s="3"/>
      <c r="J107" s="3"/>
      <c r="K107" s="2"/>
      <c r="L107" s="3"/>
      <c r="M107" s="3"/>
      <c r="N107" s="2"/>
      <c r="O107" s="3"/>
      <c r="P107" s="3"/>
      <c r="Q107" s="2"/>
      <c r="R107" s="3"/>
      <c r="S107" s="3"/>
      <c r="T107" s="2"/>
      <c r="U107" s="3"/>
      <c r="V107" s="3"/>
      <c r="W107" s="2"/>
      <c r="X107" s="3"/>
      <c r="Y107" s="3"/>
      <c r="Z107" s="2"/>
      <c r="AA107" s="3"/>
      <c r="AB107" s="3"/>
      <c r="AC107" s="2"/>
      <c r="AD107" s="3"/>
      <c r="AE107" s="3"/>
      <c r="AF107" s="2"/>
      <c r="AG107" s="3"/>
      <c r="AH107" s="3"/>
      <c r="AI107" s="2"/>
      <c r="AJ107" s="3"/>
      <c r="AK107" s="3"/>
      <c r="AL107" s="2"/>
      <c r="AM107" s="3"/>
      <c r="AN107" s="3"/>
      <c r="AO107" s="2"/>
      <c r="AR107" s="2"/>
      <c r="AU107" s="2"/>
      <c r="AX107" s="2"/>
      <c r="BA107" s="2"/>
      <c r="BD107" s="2"/>
      <c r="BG107" s="2"/>
    </row>
    <row r="108" spans="3:59" x14ac:dyDescent="0.2">
      <c r="C108" s="3"/>
      <c r="D108" s="3"/>
      <c r="E108" s="2"/>
      <c r="F108" s="3">
        <v>366.58</v>
      </c>
      <c r="G108" s="3">
        <v>17.54</v>
      </c>
      <c r="H108" s="2">
        <f t="shared" si="21"/>
        <v>7.0486827204999991E-2</v>
      </c>
      <c r="I108" s="3"/>
      <c r="J108" s="3"/>
      <c r="K108" s="2"/>
      <c r="L108" s="3"/>
      <c r="M108" s="3"/>
      <c r="N108" s="2"/>
      <c r="O108" s="3"/>
      <c r="P108" s="3"/>
      <c r="Q108" s="2"/>
      <c r="R108" s="3"/>
      <c r="S108" s="3"/>
      <c r="T108" s="2"/>
      <c r="U108" s="3"/>
      <c r="V108" s="3"/>
      <c r="W108" s="2"/>
      <c r="X108" s="3"/>
      <c r="Y108" s="3"/>
      <c r="Z108" s="2"/>
      <c r="AA108" s="3"/>
      <c r="AB108" s="3"/>
      <c r="AC108" s="2"/>
      <c r="AD108" s="3"/>
      <c r="AE108" s="3"/>
      <c r="AF108" s="2"/>
      <c r="AG108" s="3"/>
      <c r="AH108" s="3"/>
      <c r="AI108" s="2"/>
      <c r="AJ108" s="3"/>
      <c r="AK108" s="3"/>
      <c r="AL108" s="2"/>
      <c r="AM108" s="3"/>
      <c r="AN108" s="3"/>
      <c r="AO108" s="2"/>
      <c r="AR108" s="2"/>
      <c r="AU108" s="2"/>
      <c r="AX108" s="2"/>
      <c r="BA108" s="2"/>
      <c r="BD108" s="2"/>
      <c r="BG108" s="2"/>
    </row>
    <row r="109" spans="3:59" x14ac:dyDescent="0.2">
      <c r="C109" s="3"/>
      <c r="D109" s="3"/>
      <c r="E109" s="2"/>
      <c r="F109" s="3">
        <v>356.71</v>
      </c>
      <c r="G109" s="3">
        <v>22.75</v>
      </c>
      <c r="H109" s="2">
        <f t="shared" si="21"/>
        <v>0.11538732460937499</v>
      </c>
      <c r="I109" s="3"/>
      <c r="J109" s="3"/>
      <c r="K109" s="2"/>
      <c r="L109" s="3"/>
      <c r="M109" s="3"/>
      <c r="N109" s="2"/>
      <c r="O109" s="3"/>
      <c r="P109" s="3"/>
      <c r="Q109" s="2"/>
      <c r="R109" s="3"/>
      <c r="S109" s="3"/>
      <c r="T109" s="2"/>
      <c r="U109" s="3"/>
      <c r="V109" s="3"/>
      <c r="W109" s="2"/>
      <c r="X109" s="3"/>
      <c r="Y109" s="3"/>
      <c r="Z109" s="2"/>
      <c r="AA109" s="3"/>
      <c r="AB109" s="3"/>
      <c r="AC109" s="2"/>
      <c r="AD109" s="3"/>
      <c r="AE109" s="3"/>
      <c r="AF109" s="2"/>
      <c r="AG109" s="3"/>
      <c r="AH109" s="3"/>
      <c r="AI109" s="2"/>
      <c r="AJ109" s="3"/>
      <c r="AK109" s="3"/>
      <c r="AL109" s="2"/>
      <c r="AM109" s="3"/>
      <c r="AN109" s="3"/>
      <c r="AO109" s="2"/>
      <c r="AR109" s="2"/>
      <c r="AU109" s="2"/>
      <c r="AX109" s="2"/>
      <c r="BA109" s="2"/>
      <c r="BD109" s="2"/>
      <c r="BG109" s="2"/>
    </row>
    <row r="110" spans="3:59" x14ac:dyDescent="0.2">
      <c r="C110" s="3"/>
      <c r="D110" s="3"/>
      <c r="E110" s="2"/>
      <c r="F110" s="3">
        <v>360.83</v>
      </c>
      <c r="G110" s="3">
        <v>20.440000000000001</v>
      </c>
      <c r="H110" s="2">
        <f t="shared" si="21"/>
        <v>9.4220290430000006E-2</v>
      </c>
      <c r="I110" s="3"/>
      <c r="J110" s="3"/>
      <c r="K110" s="2"/>
      <c r="L110" s="3"/>
      <c r="M110" s="3"/>
      <c r="N110" s="2"/>
      <c r="O110" s="3"/>
      <c r="P110" s="3"/>
      <c r="Q110" s="2"/>
      <c r="R110" s="3"/>
      <c r="S110" s="3"/>
      <c r="T110" s="2"/>
      <c r="U110" s="3"/>
      <c r="V110" s="3"/>
      <c r="W110" s="2"/>
      <c r="X110" s="3"/>
      <c r="Y110" s="3"/>
      <c r="Z110" s="2"/>
      <c r="AA110" s="3"/>
      <c r="AB110" s="3"/>
      <c r="AC110" s="2"/>
      <c r="AD110" s="3"/>
      <c r="AE110" s="3"/>
      <c r="AF110" s="2"/>
      <c r="AG110" s="3"/>
      <c r="AH110" s="3"/>
      <c r="AI110" s="2"/>
      <c r="AJ110" s="3"/>
      <c r="AK110" s="3"/>
      <c r="AL110" s="2"/>
      <c r="AM110" s="3"/>
      <c r="AN110" s="3"/>
      <c r="AO110" s="2"/>
      <c r="AR110" s="2"/>
      <c r="AU110" s="2"/>
      <c r="AX110" s="2"/>
      <c r="BA110" s="2"/>
      <c r="BD110" s="2"/>
      <c r="BG110" s="2"/>
    </row>
    <row r="111" spans="3:59" x14ac:dyDescent="0.2">
      <c r="C111" s="3"/>
      <c r="D111" s="3"/>
      <c r="E111" s="2"/>
      <c r="F111" s="3">
        <v>232.66</v>
      </c>
      <c r="G111" s="3">
        <v>13.44</v>
      </c>
      <c r="H111" s="2">
        <f t="shared" si="21"/>
        <v>2.6266383359999996E-2</v>
      </c>
      <c r="I111" s="3"/>
      <c r="J111" s="3"/>
      <c r="K111" s="2"/>
      <c r="L111" s="3"/>
      <c r="M111" s="3"/>
      <c r="N111" s="2"/>
      <c r="O111" s="3"/>
      <c r="P111" s="3"/>
      <c r="Q111" s="2"/>
      <c r="R111" s="3"/>
      <c r="S111" s="3"/>
      <c r="T111" s="2"/>
      <c r="U111" s="3"/>
      <c r="V111" s="3"/>
      <c r="W111" s="2"/>
      <c r="X111" s="3"/>
      <c r="Y111" s="3"/>
      <c r="Z111" s="2"/>
      <c r="AA111" s="3"/>
      <c r="AB111" s="3"/>
      <c r="AC111" s="2"/>
      <c r="AD111" s="3"/>
      <c r="AE111" s="3"/>
      <c r="AF111" s="2"/>
      <c r="AG111" s="3"/>
      <c r="AH111" s="3"/>
      <c r="AI111" s="2"/>
      <c r="AJ111" s="3"/>
      <c r="AK111" s="3"/>
      <c r="AL111" s="2"/>
      <c r="AM111" s="3"/>
      <c r="AN111" s="3"/>
      <c r="AO111" s="2"/>
      <c r="AR111" s="2"/>
      <c r="AU111" s="2"/>
      <c r="AX111" s="2"/>
      <c r="BA111" s="2"/>
      <c r="BD111" s="2"/>
      <c r="BG111" s="2"/>
    </row>
    <row r="112" spans="3:59" x14ac:dyDescent="0.2">
      <c r="C112" s="3"/>
      <c r="D112" s="3"/>
      <c r="E112" s="2"/>
      <c r="F112" s="3">
        <v>292.69</v>
      </c>
      <c r="G112" s="3">
        <v>17.29</v>
      </c>
      <c r="H112" s="2">
        <f t="shared" si="21"/>
        <v>5.4686217893124993E-2</v>
      </c>
      <c r="I112" s="3"/>
      <c r="J112" s="3"/>
      <c r="K112" s="2"/>
      <c r="L112" s="3"/>
      <c r="M112" s="3"/>
      <c r="N112" s="2"/>
      <c r="O112" s="3"/>
      <c r="P112" s="3"/>
      <c r="Q112" s="2"/>
      <c r="R112" s="3"/>
      <c r="S112" s="3"/>
      <c r="T112" s="2"/>
      <c r="U112" s="3"/>
      <c r="V112" s="3"/>
      <c r="W112" s="2"/>
      <c r="X112" s="3"/>
      <c r="Y112" s="3"/>
      <c r="Z112" s="2"/>
      <c r="AA112" s="3"/>
      <c r="AB112" s="3"/>
      <c r="AC112" s="2"/>
      <c r="AD112" s="3"/>
      <c r="AE112" s="3"/>
      <c r="AF112" s="2"/>
      <c r="AG112" s="3"/>
      <c r="AH112" s="3"/>
      <c r="AI112" s="2"/>
      <c r="AJ112" s="3"/>
      <c r="AK112" s="3"/>
      <c r="AL112" s="2"/>
      <c r="AM112" s="3"/>
      <c r="AN112" s="3"/>
      <c r="AO112" s="2"/>
      <c r="AR112" s="2"/>
      <c r="AU112" s="2"/>
      <c r="AX112" s="2"/>
      <c r="BA112" s="2"/>
      <c r="BD112" s="2"/>
      <c r="BG112" s="2"/>
    </row>
    <row r="113" spans="3:59" x14ac:dyDescent="0.2">
      <c r="C113" s="3"/>
      <c r="D113" s="3"/>
      <c r="E113" s="2"/>
      <c r="F113" s="3">
        <v>323.64999999999998</v>
      </c>
      <c r="G113" s="3">
        <v>17.760000000000002</v>
      </c>
      <c r="H113" s="2">
        <f t="shared" si="21"/>
        <v>6.3803066400000011E-2</v>
      </c>
      <c r="I113" s="3"/>
      <c r="J113" s="3"/>
      <c r="K113" s="2"/>
      <c r="L113" s="3"/>
      <c r="M113" s="3"/>
      <c r="N113" s="2"/>
      <c r="O113" s="3"/>
      <c r="P113" s="3"/>
      <c r="Q113" s="2"/>
      <c r="R113" s="3"/>
      <c r="S113" s="3"/>
      <c r="T113" s="2"/>
      <c r="U113" s="3"/>
      <c r="V113" s="3"/>
      <c r="W113" s="2"/>
      <c r="X113" s="3"/>
      <c r="Y113" s="3"/>
      <c r="Z113" s="2"/>
      <c r="AA113" s="3"/>
      <c r="AB113" s="3"/>
      <c r="AC113" s="2"/>
      <c r="AD113" s="3"/>
      <c r="AE113" s="3"/>
      <c r="AF113" s="2"/>
      <c r="AG113" s="3"/>
      <c r="AH113" s="3"/>
      <c r="AI113" s="2"/>
      <c r="AJ113" s="3"/>
      <c r="AK113" s="3"/>
      <c r="AL113" s="2"/>
      <c r="AM113" s="3"/>
      <c r="AN113" s="3"/>
      <c r="AO113" s="2"/>
      <c r="AR113" s="2"/>
      <c r="AU113" s="2"/>
      <c r="AX113" s="2"/>
      <c r="BA113" s="2"/>
      <c r="BD113" s="2"/>
      <c r="BG113" s="2"/>
    </row>
    <row r="114" spans="3:59" x14ac:dyDescent="0.2">
      <c r="C114" s="3"/>
      <c r="D114" s="3"/>
      <c r="E114" s="2"/>
      <c r="F114" s="3">
        <v>325.32</v>
      </c>
      <c r="G114" s="3">
        <v>16.82</v>
      </c>
      <c r="H114" s="2">
        <f t="shared" si="21"/>
        <v>5.7523163730000007E-2</v>
      </c>
      <c r="I114" s="3"/>
      <c r="J114" s="3"/>
      <c r="K114" s="2"/>
      <c r="L114" s="3"/>
      <c r="M114" s="3"/>
      <c r="N114" s="2"/>
      <c r="O114" s="3"/>
      <c r="P114" s="3"/>
      <c r="Q114" s="2"/>
      <c r="R114" s="3"/>
      <c r="S114" s="3"/>
      <c r="T114" s="2"/>
      <c r="U114" s="3"/>
      <c r="V114" s="3"/>
      <c r="W114" s="2"/>
      <c r="X114" s="3"/>
      <c r="Y114" s="3"/>
      <c r="Z114" s="2"/>
      <c r="AA114" s="3"/>
      <c r="AB114" s="3"/>
      <c r="AC114" s="2"/>
      <c r="AD114" s="3"/>
      <c r="AE114" s="3"/>
      <c r="AF114" s="2"/>
      <c r="AG114" s="3"/>
      <c r="AH114" s="3"/>
      <c r="AI114" s="2"/>
      <c r="AJ114" s="3"/>
      <c r="AK114" s="3"/>
      <c r="AL114" s="2"/>
      <c r="AM114" s="3"/>
      <c r="AN114" s="3"/>
      <c r="AO114" s="2"/>
      <c r="AR114" s="2"/>
      <c r="AU114" s="2"/>
      <c r="AX114" s="2"/>
      <c r="BA114" s="2"/>
      <c r="BD114" s="2"/>
      <c r="BG114" s="2"/>
    </row>
    <row r="115" spans="3:59" x14ac:dyDescent="0.2">
      <c r="C115" s="3"/>
      <c r="D115" s="3"/>
      <c r="E115" s="2"/>
      <c r="F115" s="3">
        <v>460.09</v>
      </c>
      <c r="G115" s="3">
        <v>18.39</v>
      </c>
      <c r="H115" s="2">
        <f t="shared" si="21"/>
        <v>9.7249252055624999E-2</v>
      </c>
      <c r="I115" s="3"/>
      <c r="J115" s="3"/>
      <c r="K115" s="2"/>
      <c r="L115" s="3"/>
      <c r="M115" s="3"/>
      <c r="N115" s="2"/>
      <c r="O115" s="3"/>
      <c r="P115" s="3"/>
      <c r="Q115" s="2"/>
      <c r="R115" s="3"/>
      <c r="S115" s="3"/>
      <c r="T115" s="2"/>
      <c r="U115" s="3"/>
      <c r="V115" s="3"/>
      <c r="W115" s="2"/>
      <c r="X115" s="3"/>
      <c r="Y115" s="3"/>
      <c r="Z115" s="2"/>
      <c r="AA115" s="3"/>
      <c r="AB115" s="3"/>
      <c r="AC115" s="2"/>
      <c r="AD115" s="3"/>
      <c r="AE115" s="3"/>
      <c r="AF115" s="2"/>
      <c r="AG115" s="3"/>
      <c r="AH115" s="3"/>
      <c r="AI115" s="2"/>
      <c r="AJ115" s="3"/>
      <c r="AK115" s="3"/>
      <c r="AL115" s="2"/>
      <c r="AM115" s="3"/>
      <c r="AN115" s="3"/>
      <c r="AO115" s="2"/>
      <c r="AR115" s="2"/>
      <c r="AU115" s="2"/>
      <c r="AX115" s="2"/>
      <c r="BA115" s="2"/>
      <c r="BD115" s="2"/>
      <c r="BG115" s="2"/>
    </row>
    <row r="116" spans="3:59" x14ac:dyDescent="0.2">
      <c r="C116" s="3"/>
      <c r="D116" s="3"/>
      <c r="E116" s="2"/>
      <c r="F116" s="3">
        <v>330.29</v>
      </c>
      <c r="G116" s="3">
        <v>18.43</v>
      </c>
      <c r="H116" s="2">
        <f t="shared" si="21"/>
        <v>7.0117449888125002E-2</v>
      </c>
      <c r="I116" s="3"/>
      <c r="J116" s="3"/>
      <c r="K116" s="2"/>
      <c r="L116" s="3"/>
      <c r="M116" s="3"/>
      <c r="N116" s="2"/>
      <c r="O116" s="3"/>
      <c r="P116" s="3"/>
      <c r="Q116" s="2"/>
      <c r="R116" s="3"/>
      <c r="S116" s="3"/>
      <c r="T116" s="2"/>
      <c r="U116" s="3"/>
      <c r="V116" s="3"/>
      <c r="W116" s="2"/>
      <c r="X116" s="3"/>
      <c r="Y116" s="3"/>
      <c r="Z116" s="2"/>
      <c r="AA116" s="3"/>
      <c r="AB116" s="3"/>
      <c r="AC116" s="2"/>
      <c r="AD116" s="3"/>
      <c r="AE116" s="3"/>
      <c r="AF116" s="2"/>
      <c r="AG116" s="3"/>
      <c r="AH116" s="3"/>
      <c r="AI116" s="2"/>
      <c r="AJ116" s="3"/>
      <c r="AK116" s="3"/>
      <c r="AL116" s="2"/>
      <c r="AM116" s="3"/>
      <c r="AN116" s="3"/>
      <c r="AO116" s="2"/>
      <c r="AR116" s="2"/>
      <c r="AU116" s="2"/>
      <c r="AX116" s="2"/>
      <c r="BA116" s="2"/>
      <c r="BD116" s="2"/>
      <c r="BG116" s="2"/>
    </row>
    <row r="117" spans="3:59" x14ac:dyDescent="0.2">
      <c r="C117" s="3"/>
      <c r="D117" s="3"/>
      <c r="E117" s="2"/>
      <c r="F117" s="3">
        <v>387.76</v>
      </c>
      <c r="G117" s="3">
        <v>19.059999999999999</v>
      </c>
      <c r="H117" s="2">
        <f t="shared" si="21"/>
        <v>8.8041780459999996E-2</v>
      </c>
      <c r="I117" s="3"/>
      <c r="J117" s="3"/>
      <c r="K117" s="2"/>
      <c r="L117" s="3"/>
      <c r="M117" s="3"/>
      <c r="N117" s="2"/>
      <c r="O117" s="3"/>
      <c r="P117" s="3"/>
      <c r="Q117" s="2"/>
      <c r="R117" s="3"/>
      <c r="S117" s="3"/>
      <c r="T117" s="2"/>
      <c r="U117" s="3"/>
      <c r="V117" s="3"/>
      <c r="W117" s="2"/>
      <c r="X117" s="3"/>
      <c r="Y117" s="3"/>
      <c r="Z117" s="2"/>
      <c r="AA117" s="3"/>
      <c r="AB117" s="3"/>
      <c r="AC117" s="2"/>
      <c r="AD117" s="3"/>
      <c r="AE117" s="3"/>
      <c r="AF117" s="2"/>
      <c r="AG117" s="3"/>
      <c r="AH117" s="3"/>
      <c r="AI117" s="2"/>
      <c r="AJ117" s="3"/>
      <c r="AK117" s="3"/>
      <c r="AL117" s="2"/>
      <c r="AM117" s="3"/>
      <c r="AN117" s="3"/>
      <c r="AO117" s="2"/>
      <c r="AR117" s="2"/>
      <c r="AU117" s="2"/>
      <c r="AX117" s="2"/>
      <c r="BA117" s="2"/>
      <c r="BD117" s="2"/>
      <c r="BG117" s="2"/>
    </row>
    <row r="118" spans="3:59" x14ac:dyDescent="0.2">
      <c r="C118" s="3"/>
      <c r="D118" s="3"/>
      <c r="E118" s="2"/>
      <c r="F118" s="3">
        <v>410.97</v>
      </c>
      <c r="G118" s="3">
        <v>24.04</v>
      </c>
      <c r="H118" s="2">
        <f t="shared" si="21"/>
        <v>0.14844277497</v>
      </c>
      <c r="I118" s="3"/>
      <c r="J118" s="3"/>
      <c r="K118" s="2"/>
      <c r="L118" s="3"/>
      <c r="M118" s="3"/>
      <c r="N118" s="2"/>
      <c r="O118" s="3"/>
      <c r="P118" s="3"/>
      <c r="Q118" s="2"/>
      <c r="R118" s="3"/>
      <c r="S118" s="3"/>
      <c r="T118" s="2"/>
      <c r="U118" s="3"/>
      <c r="V118" s="3"/>
      <c r="W118" s="2"/>
      <c r="X118" s="3"/>
      <c r="Y118" s="3"/>
      <c r="Z118" s="2"/>
      <c r="AA118" s="3"/>
      <c r="AB118" s="3"/>
      <c r="AC118" s="2"/>
      <c r="AD118" s="3"/>
      <c r="AE118" s="3"/>
      <c r="AF118" s="2"/>
      <c r="AG118" s="3"/>
      <c r="AH118" s="3"/>
      <c r="AI118" s="2"/>
      <c r="AJ118" s="3"/>
      <c r="AK118" s="3"/>
      <c r="AL118" s="2"/>
      <c r="AM118" s="3"/>
      <c r="AN118" s="3"/>
      <c r="AO118" s="2"/>
      <c r="AR118" s="2"/>
      <c r="AU118" s="2"/>
      <c r="AX118" s="2"/>
      <c r="BA118" s="2"/>
      <c r="BD118" s="2"/>
      <c r="BG118" s="2"/>
    </row>
    <row r="119" spans="3:59" x14ac:dyDescent="0.2">
      <c r="C119" s="3"/>
      <c r="D119" s="3"/>
      <c r="E119" s="2"/>
      <c r="F119" s="3">
        <v>246.99</v>
      </c>
      <c r="G119" s="3">
        <v>15.31</v>
      </c>
      <c r="H119" s="2">
        <f t="shared" si="21"/>
        <v>3.6183432961874998E-2</v>
      </c>
      <c r="I119" s="3"/>
      <c r="J119" s="3"/>
      <c r="K119" s="2"/>
      <c r="L119" s="3"/>
      <c r="M119" s="3"/>
      <c r="N119" s="2"/>
      <c r="O119" s="3"/>
      <c r="P119" s="3"/>
      <c r="Q119" s="2"/>
      <c r="R119" s="3"/>
      <c r="S119" s="3"/>
      <c r="T119" s="2"/>
      <c r="U119" s="3"/>
      <c r="V119" s="3"/>
      <c r="W119" s="2"/>
      <c r="X119" s="3"/>
      <c r="Y119" s="3"/>
      <c r="Z119" s="2"/>
      <c r="AA119" s="3"/>
      <c r="AB119" s="3"/>
      <c r="AC119" s="2"/>
      <c r="AD119" s="3"/>
      <c r="AE119" s="3"/>
      <c r="AF119" s="2"/>
      <c r="AG119" s="3"/>
      <c r="AH119" s="3"/>
      <c r="AI119" s="2"/>
      <c r="AJ119" s="3"/>
      <c r="AK119" s="3"/>
      <c r="AL119" s="2"/>
      <c r="AM119" s="3"/>
      <c r="AN119" s="3"/>
      <c r="AO119" s="2"/>
      <c r="AR119" s="2"/>
      <c r="AU119" s="2"/>
      <c r="AX119" s="2"/>
      <c r="BA119" s="2"/>
      <c r="BD119" s="2"/>
      <c r="BG119" s="2"/>
    </row>
    <row r="120" spans="3:59" x14ac:dyDescent="0.2">
      <c r="C120" s="3"/>
      <c r="D120" s="3"/>
      <c r="E120" s="2"/>
      <c r="F120" s="3">
        <v>242.27</v>
      </c>
      <c r="G120" s="3">
        <v>15.72</v>
      </c>
      <c r="H120" s="2">
        <f t="shared" si="21"/>
        <v>3.7418359230000003E-2</v>
      </c>
      <c r="I120" s="3"/>
      <c r="J120" s="3"/>
      <c r="K120" s="2"/>
      <c r="L120" s="3"/>
      <c r="M120" s="3"/>
      <c r="N120" s="2"/>
      <c r="O120" s="3"/>
      <c r="P120" s="3"/>
      <c r="Q120" s="2"/>
      <c r="R120" s="3"/>
      <c r="S120" s="3"/>
      <c r="T120" s="2"/>
      <c r="U120" s="3"/>
      <c r="V120" s="3"/>
      <c r="W120" s="2"/>
      <c r="X120" s="3"/>
      <c r="Y120" s="3"/>
      <c r="Z120" s="2"/>
      <c r="AA120" s="3"/>
      <c r="AB120" s="3"/>
      <c r="AC120" s="2"/>
      <c r="AD120" s="3"/>
      <c r="AE120" s="3"/>
      <c r="AF120" s="2"/>
      <c r="AG120" s="3"/>
      <c r="AH120" s="3"/>
      <c r="AI120" s="2"/>
      <c r="AJ120" s="3"/>
      <c r="AK120" s="3"/>
      <c r="AL120" s="2"/>
      <c r="AM120" s="3"/>
      <c r="AN120" s="3"/>
      <c r="AO120" s="2"/>
      <c r="AR120" s="2"/>
      <c r="AU120" s="2"/>
      <c r="AX120" s="2"/>
      <c r="BA120" s="2"/>
      <c r="BD120" s="2"/>
      <c r="BG120" s="2"/>
    </row>
    <row r="121" spans="3:59" x14ac:dyDescent="0.2">
      <c r="C121" s="3"/>
      <c r="D121" s="3"/>
      <c r="E121" s="2"/>
      <c r="F121" s="3">
        <v>274.85000000000002</v>
      </c>
      <c r="G121" s="3">
        <v>16.95</v>
      </c>
      <c r="H121" s="2">
        <f t="shared" si="21"/>
        <v>4.9353182578125009E-2</v>
      </c>
      <c r="I121" s="3"/>
      <c r="J121" s="3"/>
      <c r="K121" s="2"/>
      <c r="L121" s="3"/>
      <c r="M121" s="3"/>
      <c r="N121" s="2"/>
      <c r="O121" s="3"/>
      <c r="P121" s="3"/>
      <c r="Q121" s="2"/>
      <c r="R121" s="3"/>
      <c r="S121" s="3"/>
      <c r="T121" s="2"/>
      <c r="U121" s="3"/>
      <c r="V121" s="3"/>
      <c r="W121" s="2"/>
      <c r="X121" s="3"/>
      <c r="Y121" s="3"/>
      <c r="Z121" s="2"/>
      <c r="AA121" s="3"/>
      <c r="AB121" s="3"/>
      <c r="AC121" s="2"/>
      <c r="AD121" s="3"/>
      <c r="AE121" s="3"/>
      <c r="AF121" s="2"/>
      <c r="AG121" s="3"/>
      <c r="AH121" s="3"/>
      <c r="AI121" s="2"/>
      <c r="AJ121" s="3"/>
      <c r="AK121" s="3"/>
      <c r="AL121" s="2"/>
      <c r="AM121" s="3"/>
      <c r="AN121" s="3"/>
      <c r="AO121" s="2"/>
      <c r="AR121" s="2"/>
      <c r="AU121" s="2"/>
      <c r="AX121" s="2"/>
      <c r="BA121" s="2"/>
      <c r="BD121" s="2"/>
      <c r="BG121" s="2"/>
    </row>
    <row r="122" spans="3:59" x14ac:dyDescent="0.2">
      <c r="C122" s="3"/>
      <c r="D122" s="3"/>
      <c r="E122" s="2"/>
      <c r="F122" s="3">
        <v>285.68</v>
      </c>
      <c r="G122" s="3">
        <v>16.04</v>
      </c>
      <c r="H122" s="2">
        <f t="shared" si="21"/>
        <v>4.5937629680000001E-2</v>
      </c>
      <c r="I122" s="3"/>
      <c r="J122" s="3"/>
      <c r="K122" s="2"/>
      <c r="L122" s="3"/>
      <c r="M122" s="3"/>
      <c r="N122" s="2"/>
      <c r="O122" s="3"/>
      <c r="P122" s="3"/>
      <c r="Q122" s="2"/>
      <c r="R122" s="3"/>
      <c r="S122" s="3"/>
      <c r="T122" s="2"/>
      <c r="U122" s="3"/>
      <c r="V122" s="3"/>
      <c r="W122" s="2"/>
      <c r="X122" s="3"/>
      <c r="Y122" s="3"/>
      <c r="Z122" s="2"/>
      <c r="AA122" s="3"/>
      <c r="AB122" s="3"/>
      <c r="AC122" s="2"/>
      <c r="AD122" s="3"/>
      <c r="AE122" s="3"/>
      <c r="AF122" s="2"/>
      <c r="AG122" s="3"/>
      <c r="AH122" s="3"/>
      <c r="AI122" s="2"/>
      <c r="AJ122" s="3"/>
      <c r="AK122" s="3"/>
      <c r="AL122" s="2"/>
      <c r="AM122" s="3"/>
      <c r="AN122" s="3"/>
      <c r="AO122" s="2"/>
      <c r="AR122" s="2"/>
      <c r="AU122" s="2"/>
      <c r="AX122" s="2"/>
      <c r="BA122" s="2"/>
      <c r="BD122" s="2"/>
      <c r="BG122" s="2"/>
    </row>
    <row r="123" spans="3:59" x14ac:dyDescent="0.2">
      <c r="C123" s="3"/>
      <c r="D123" s="3"/>
      <c r="E123" s="2"/>
      <c r="F123" s="3">
        <v>287.29000000000002</v>
      </c>
      <c r="G123" s="3">
        <v>17.93</v>
      </c>
      <c r="H123" s="2">
        <f t="shared" si="21"/>
        <v>5.7724623075624995E-2</v>
      </c>
      <c r="I123" s="3"/>
      <c r="J123" s="3"/>
      <c r="K123" s="2"/>
      <c r="L123" s="3"/>
      <c r="M123" s="3"/>
      <c r="N123" s="2"/>
      <c r="O123" s="3"/>
      <c r="P123" s="3"/>
      <c r="Q123" s="2"/>
      <c r="R123" s="3"/>
      <c r="S123" s="3"/>
      <c r="T123" s="2"/>
      <c r="U123" s="3"/>
      <c r="V123" s="3"/>
      <c r="W123" s="2"/>
      <c r="X123" s="3"/>
      <c r="Y123" s="3"/>
      <c r="Z123" s="2"/>
      <c r="AA123" s="3"/>
      <c r="AB123" s="3"/>
      <c r="AC123" s="2"/>
      <c r="AD123" s="3"/>
      <c r="AE123" s="3"/>
      <c r="AF123" s="2"/>
      <c r="AG123" s="3"/>
      <c r="AH123" s="3"/>
      <c r="AI123" s="2"/>
      <c r="AJ123" s="3"/>
      <c r="AK123" s="3"/>
      <c r="AL123" s="2"/>
      <c r="AM123" s="3"/>
      <c r="AN123" s="3"/>
      <c r="AO123" s="2"/>
      <c r="AR123" s="2"/>
      <c r="AU123" s="2"/>
      <c r="AX123" s="2"/>
      <c r="BA123" s="2"/>
      <c r="BD123" s="2"/>
      <c r="BG123" s="2"/>
    </row>
    <row r="124" spans="3:59" x14ac:dyDescent="0.2">
      <c r="C124" s="3"/>
      <c r="D124" s="3"/>
      <c r="E124" s="2"/>
      <c r="F124" s="3">
        <v>414.27</v>
      </c>
      <c r="G124" s="3">
        <v>26.98</v>
      </c>
      <c r="H124" s="2">
        <f t="shared" si="21"/>
        <v>0.18847224006750002</v>
      </c>
      <c r="I124" s="3"/>
      <c r="J124" s="3"/>
      <c r="K124" s="2"/>
      <c r="L124" s="3"/>
      <c r="M124" s="3"/>
      <c r="N124" s="2"/>
      <c r="O124" s="3"/>
      <c r="P124" s="3"/>
      <c r="Q124" s="2"/>
      <c r="R124" s="3"/>
      <c r="S124" s="3"/>
      <c r="T124" s="2"/>
      <c r="U124" s="3"/>
      <c r="V124" s="3"/>
      <c r="W124" s="2"/>
      <c r="X124" s="3"/>
      <c r="Y124" s="3"/>
      <c r="Z124" s="2"/>
      <c r="AA124" s="3"/>
      <c r="AB124" s="3"/>
      <c r="AC124" s="2"/>
      <c r="AD124" s="3"/>
      <c r="AE124" s="3"/>
      <c r="AF124" s="2"/>
      <c r="AG124" s="3"/>
      <c r="AH124" s="3"/>
      <c r="AI124" s="2"/>
      <c r="AJ124" s="3"/>
      <c r="AK124" s="3"/>
      <c r="AL124" s="2"/>
      <c r="AM124" s="3"/>
      <c r="AN124" s="3"/>
      <c r="AO124" s="2"/>
      <c r="AR124" s="2"/>
      <c r="AU124" s="2"/>
      <c r="AX124" s="2"/>
      <c r="BA124" s="2"/>
      <c r="BD124" s="2"/>
      <c r="BG124" s="2"/>
    </row>
    <row r="125" spans="3:59" x14ac:dyDescent="0.2">
      <c r="C125" s="3"/>
      <c r="D125" s="3"/>
      <c r="E125" s="2"/>
      <c r="F125" s="3">
        <v>303.52999999999997</v>
      </c>
      <c r="G125" s="3">
        <v>6.8</v>
      </c>
      <c r="H125" s="2">
        <f t="shared" si="21"/>
        <v>8.772017E-3</v>
      </c>
      <c r="I125" s="3"/>
      <c r="J125" s="3"/>
      <c r="K125" s="2"/>
      <c r="L125" s="3"/>
      <c r="M125" s="3"/>
      <c r="N125" s="2"/>
      <c r="O125" s="3"/>
      <c r="P125" s="3"/>
      <c r="Q125" s="2"/>
      <c r="R125" s="3"/>
      <c r="S125" s="3"/>
      <c r="T125" s="2"/>
      <c r="U125" s="3"/>
      <c r="V125" s="3"/>
      <c r="W125" s="2"/>
      <c r="X125" s="3"/>
      <c r="Y125" s="3"/>
      <c r="Z125" s="2"/>
      <c r="AA125" s="3"/>
      <c r="AB125" s="3"/>
      <c r="AC125" s="2"/>
      <c r="AD125" s="3"/>
      <c r="AE125" s="3"/>
      <c r="AF125" s="2"/>
      <c r="AG125" s="3"/>
      <c r="AH125" s="3"/>
      <c r="AI125" s="2"/>
      <c r="AJ125" s="3"/>
      <c r="AK125" s="3"/>
      <c r="AL125" s="2"/>
      <c r="AM125" s="3"/>
      <c r="AN125" s="3"/>
      <c r="AO125" s="2"/>
      <c r="AR125" s="2"/>
      <c r="AU125" s="2"/>
      <c r="AX125" s="2"/>
      <c r="BA125" s="2"/>
      <c r="BD125" s="2"/>
      <c r="BG125" s="2"/>
    </row>
    <row r="126" spans="3:59" x14ac:dyDescent="0.2">
      <c r="C126" s="3"/>
      <c r="D126" s="3"/>
      <c r="E126" s="2"/>
      <c r="F126" s="3">
        <v>252.76</v>
      </c>
      <c r="G126" s="3">
        <v>17.399999999999999</v>
      </c>
      <c r="H126" s="2">
        <f t="shared" si="21"/>
        <v>4.782851099999999E-2</v>
      </c>
      <c r="I126" s="3"/>
      <c r="J126" s="3"/>
      <c r="K126" s="2"/>
      <c r="L126" s="3"/>
      <c r="M126" s="3"/>
      <c r="N126" s="2"/>
      <c r="O126" s="3"/>
      <c r="P126" s="3"/>
      <c r="Q126" s="2"/>
      <c r="R126" s="3"/>
      <c r="S126" s="3"/>
      <c r="T126" s="2"/>
      <c r="U126" s="3"/>
      <c r="V126" s="3"/>
      <c r="W126" s="2"/>
      <c r="X126" s="3"/>
      <c r="Y126" s="3"/>
      <c r="Z126" s="2"/>
      <c r="AA126" s="3"/>
      <c r="AB126" s="3"/>
      <c r="AC126" s="2"/>
      <c r="AD126" s="3"/>
      <c r="AE126" s="3"/>
      <c r="AF126" s="2"/>
      <c r="AG126" s="3"/>
      <c r="AH126" s="3"/>
      <c r="AI126" s="2"/>
      <c r="AJ126" s="3"/>
      <c r="AK126" s="3"/>
      <c r="AL126" s="2"/>
      <c r="AM126" s="3"/>
      <c r="AN126" s="3"/>
      <c r="AO126" s="2"/>
      <c r="AR126" s="2"/>
      <c r="AU126" s="2"/>
      <c r="AX126" s="2"/>
      <c r="BA126" s="2"/>
      <c r="BD126" s="2"/>
      <c r="BG126" s="2"/>
    </row>
    <row r="127" spans="3:59" x14ac:dyDescent="0.2">
      <c r="C127" s="3"/>
      <c r="D127" s="3"/>
      <c r="E127" s="2"/>
      <c r="F127" s="3">
        <v>271.35000000000002</v>
      </c>
      <c r="G127" s="3">
        <v>16.489999999999998</v>
      </c>
      <c r="H127" s="2">
        <f t="shared" si="21"/>
        <v>4.6115949459375E-2</v>
      </c>
      <c r="I127" s="3"/>
      <c r="J127" s="3"/>
      <c r="K127" s="2"/>
      <c r="L127" s="3"/>
      <c r="M127" s="3"/>
      <c r="N127" s="2"/>
      <c r="O127" s="3"/>
      <c r="P127" s="3"/>
      <c r="Q127" s="2"/>
      <c r="R127" s="3"/>
      <c r="S127" s="3"/>
      <c r="T127" s="2"/>
      <c r="U127" s="3"/>
      <c r="V127" s="3"/>
      <c r="W127" s="2"/>
      <c r="X127" s="3"/>
      <c r="Y127" s="3"/>
      <c r="Z127" s="2"/>
      <c r="AA127" s="3"/>
      <c r="AB127" s="3"/>
      <c r="AC127" s="2"/>
      <c r="AD127" s="3"/>
      <c r="AE127" s="3"/>
      <c r="AF127" s="2"/>
      <c r="AG127" s="3"/>
      <c r="AH127" s="3"/>
      <c r="AI127" s="2"/>
      <c r="AJ127" s="3"/>
      <c r="AK127" s="3"/>
      <c r="AL127" s="2"/>
      <c r="AM127" s="3"/>
      <c r="AN127" s="3"/>
      <c r="AO127" s="2"/>
      <c r="AR127" s="2"/>
      <c r="AU127" s="2"/>
      <c r="AX127" s="2"/>
      <c r="BA127" s="2"/>
      <c r="BD127" s="2"/>
      <c r="BG127" s="2"/>
    </row>
    <row r="128" spans="3:59" x14ac:dyDescent="0.2">
      <c r="C128" s="3"/>
      <c r="D128" s="3"/>
      <c r="E128" s="2"/>
      <c r="F128" s="3">
        <v>402.36</v>
      </c>
      <c r="G128" s="3">
        <v>23.15</v>
      </c>
      <c r="H128" s="2">
        <f t="shared" si="21"/>
        <v>0.13477111068749997</v>
      </c>
      <c r="I128" s="3"/>
      <c r="J128" s="3"/>
      <c r="K128" s="2"/>
      <c r="L128" s="3"/>
      <c r="M128" s="3"/>
      <c r="N128" s="2"/>
      <c r="O128" s="3"/>
      <c r="P128" s="3"/>
      <c r="Q128" s="2"/>
      <c r="R128" s="3"/>
      <c r="S128" s="3"/>
      <c r="T128" s="2"/>
      <c r="U128" s="3"/>
      <c r="V128" s="3"/>
      <c r="W128" s="2"/>
      <c r="X128" s="3"/>
      <c r="Y128" s="3"/>
      <c r="Z128" s="2"/>
      <c r="AA128" s="3"/>
      <c r="AB128" s="3"/>
      <c r="AC128" s="2"/>
      <c r="AD128" s="3"/>
      <c r="AE128" s="3"/>
      <c r="AF128" s="2"/>
      <c r="AG128" s="3"/>
      <c r="AH128" s="3"/>
      <c r="AI128" s="2"/>
      <c r="AJ128" s="3"/>
      <c r="AK128" s="3"/>
      <c r="AL128" s="2"/>
      <c r="AM128" s="3"/>
      <c r="AN128" s="3"/>
      <c r="AO128" s="2"/>
      <c r="AR128" s="2"/>
      <c r="AU128" s="2"/>
      <c r="AX128" s="2"/>
      <c r="BA128" s="2"/>
      <c r="BD128" s="2"/>
      <c r="BG128" s="2"/>
    </row>
    <row r="129" spans="3:59" x14ac:dyDescent="0.2">
      <c r="C129" s="3"/>
      <c r="D129" s="3"/>
      <c r="E129" s="2"/>
      <c r="F129" s="3">
        <v>412.47</v>
      </c>
      <c r="G129" s="3">
        <v>24.45</v>
      </c>
      <c r="H129" s="2">
        <f t="shared" si="21"/>
        <v>0.15410974823437498</v>
      </c>
      <c r="I129" s="3"/>
      <c r="J129" s="3"/>
      <c r="K129" s="2"/>
      <c r="L129" s="3"/>
      <c r="M129" s="3"/>
      <c r="N129" s="2"/>
      <c r="O129" s="3"/>
      <c r="P129" s="3"/>
      <c r="Q129" s="2"/>
      <c r="R129" s="3"/>
      <c r="S129" s="3"/>
      <c r="T129" s="2"/>
      <c r="U129" s="3"/>
      <c r="V129" s="3"/>
      <c r="W129" s="2"/>
      <c r="X129" s="3"/>
      <c r="Y129" s="3"/>
      <c r="Z129" s="2"/>
      <c r="AA129" s="3"/>
      <c r="AB129" s="3"/>
      <c r="AC129" s="2"/>
      <c r="AD129" s="3"/>
      <c r="AE129" s="3"/>
      <c r="AF129" s="2"/>
      <c r="AG129" s="3"/>
      <c r="AH129" s="3"/>
      <c r="AI129" s="2"/>
      <c r="AJ129" s="3"/>
      <c r="AK129" s="3"/>
      <c r="AL129" s="2"/>
      <c r="AM129" s="3"/>
      <c r="AN129" s="3"/>
      <c r="AO129" s="2"/>
      <c r="AR129" s="2"/>
      <c r="AU129" s="2"/>
      <c r="AX129" s="2"/>
      <c r="BA129" s="2"/>
      <c r="BD129" s="2"/>
      <c r="BG129" s="2"/>
    </row>
    <row r="130" spans="3:59" x14ac:dyDescent="0.2">
      <c r="C130" s="3"/>
      <c r="D130" s="3"/>
      <c r="E130" s="2"/>
      <c r="F130" s="3">
        <v>290.41000000000003</v>
      </c>
      <c r="G130" s="3">
        <v>14.35</v>
      </c>
      <c r="H130" s="2">
        <f t="shared" si="21"/>
        <v>3.7376220765624996E-2</v>
      </c>
      <c r="I130" s="3"/>
      <c r="J130" s="3"/>
      <c r="K130" s="2"/>
      <c r="L130" s="3"/>
      <c r="M130" s="3"/>
      <c r="N130" s="2"/>
      <c r="O130" s="3"/>
      <c r="P130" s="3"/>
      <c r="Q130" s="2"/>
      <c r="R130" s="3"/>
      <c r="S130" s="3"/>
      <c r="T130" s="2"/>
      <c r="U130" s="3"/>
      <c r="V130" s="3"/>
      <c r="W130" s="2"/>
      <c r="X130" s="3"/>
      <c r="Y130" s="3"/>
      <c r="Z130" s="2"/>
      <c r="AA130" s="3"/>
      <c r="AB130" s="3"/>
      <c r="AC130" s="2"/>
      <c r="AD130" s="3"/>
      <c r="AE130" s="3"/>
      <c r="AF130" s="2"/>
      <c r="AG130" s="3"/>
      <c r="AH130" s="3"/>
      <c r="AI130" s="2"/>
      <c r="AJ130" s="3"/>
      <c r="AK130" s="3"/>
      <c r="AL130" s="2"/>
      <c r="AM130" s="3"/>
      <c r="AN130" s="3"/>
      <c r="AO130" s="2"/>
      <c r="AR130" s="2"/>
      <c r="AU130" s="2"/>
      <c r="AX130" s="2"/>
      <c r="BA130" s="2"/>
      <c r="BD130" s="2"/>
      <c r="BG130" s="2"/>
    </row>
    <row r="131" spans="3:59" x14ac:dyDescent="0.2">
      <c r="C131" s="3"/>
      <c r="D131" s="3"/>
      <c r="E131" s="2"/>
      <c r="F131" s="3">
        <v>296.58999999999997</v>
      </c>
      <c r="G131" s="3">
        <v>15.44</v>
      </c>
      <c r="H131" s="2">
        <f t="shared" si="21"/>
        <v>4.4190723639999999E-2</v>
      </c>
      <c r="I131" s="3"/>
      <c r="J131" s="3"/>
      <c r="K131" s="2"/>
      <c r="L131" s="3"/>
      <c r="M131" s="3"/>
      <c r="N131" s="2"/>
      <c r="O131" s="3"/>
      <c r="P131" s="3"/>
      <c r="Q131" s="2"/>
      <c r="R131" s="3"/>
      <c r="S131" s="3"/>
      <c r="T131" s="2"/>
      <c r="U131" s="3"/>
      <c r="V131" s="3"/>
      <c r="W131" s="2"/>
      <c r="X131" s="3"/>
      <c r="Y131" s="3"/>
      <c r="Z131" s="2"/>
      <c r="AA131" s="3"/>
      <c r="AB131" s="3"/>
      <c r="AC131" s="2"/>
      <c r="AD131" s="3"/>
      <c r="AE131" s="3"/>
      <c r="AF131" s="2"/>
      <c r="AG131" s="3"/>
      <c r="AH131" s="3"/>
      <c r="AI131" s="2"/>
      <c r="AJ131" s="3"/>
      <c r="AK131" s="3"/>
      <c r="AL131" s="2"/>
      <c r="AM131" s="3"/>
      <c r="AN131" s="3"/>
      <c r="AO131" s="2"/>
      <c r="AR131" s="2"/>
      <c r="AU131" s="2"/>
      <c r="AX131" s="2"/>
      <c r="BA131" s="2"/>
      <c r="BD131" s="2"/>
      <c r="BG131" s="2"/>
    </row>
    <row r="132" spans="3:59" x14ac:dyDescent="0.2">
      <c r="C132" s="3"/>
      <c r="D132" s="3"/>
      <c r="E132" s="2"/>
      <c r="F132" s="3">
        <v>266.04000000000002</v>
      </c>
      <c r="G132" s="3">
        <v>18.95</v>
      </c>
      <c r="H132" s="2">
        <f t="shared" si="21"/>
        <v>5.9709768187500005E-2</v>
      </c>
      <c r="I132" s="3"/>
      <c r="J132" s="3"/>
      <c r="K132" s="2"/>
      <c r="L132" s="3"/>
      <c r="M132" s="3"/>
      <c r="N132" s="2"/>
      <c r="O132" s="3"/>
      <c r="P132" s="3"/>
      <c r="Q132" s="2"/>
      <c r="R132" s="3"/>
      <c r="S132" s="3"/>
      <c r="T132" s="2"/>
      <c r="U132" s="3"/>
      <c r="V132" s="3"/>
      <c r="W132" s="2"/>
      <c r="X132" s="3"/>
      <c r="Y132" s="3"/>
      <c r="Z132" s="2"/>
      <c r="AA132" s="3"/>
      <c r="AB132" s="3"/>
      <c r="AC132" s="2"/>
      <c r="AD132" s="3"/>
      <c r="AE132" s="3"/>
      <c r="AF132" s="2"/>
      <c r="AG132" s="3"/>
      <c r="AH132" s="3"/>
      <c r="AI132" s="2"/>
      <c r="AJ132" s="3"/>
      <c r="AK132" s="3"/>
      <c r="AL132" s="2"/>
      <c r="AM132" s="3"/>
      <c r="AN132" s="3"/>
      <c r="AO132" s="2"/>
      <c r="AR132" s="2"/>
      <c r="AU132" s="2"/>
      <c r="AX132" s="2"/>
      <c r="BA132" s="2"/>
      <c r="BD132" s="2"/>
      <c r="BG132" s="2"/>
    </row>
    <row r="133" spans="3:59" x14ac:dyDescent="0.2">
      <c r="C133" s="3"/>
      <c r="D133" s="3"/>
      <c r="E133" s="2"/>
      <c r="F133" s="3">
        <v>431.75</v>
      </c>
      <c r="G133" s="3">
        <v>28.71</v>
      </c>
      <c r="H133" s="2">
        <f t="shared" si="21"/>
        <v>0.22242251573437502</v>
      </c>
      <c r="I133" s="3"/>
      <c r="J133" s="3"/>
      <c r="K133" s="2"/>
      <c r="L133" s="3"/>
      <c r="M133" s="3"/>
      <c r="N133" s="2"/>
      <c r="O133" s="3"/>
      <c r="P133" s="3"/>
      <c r="Q133" s="2"/>
      <c r="R133" s="3"/>
      <c r="S133" s="3"/>
      <c r="T133" s="2"/>
      <c r="U133" s="3"/>
      <c r="V133" s="3"/>
      <c r="W133" s="2"/>
      <c r="X133" s="3"/>
      <c r="Y133" s="3"/>
      <c r="Z133" s="2"/>
      <c r="AA133" s="3"/>
      <c r="AB133" s="3"/>
      <c r="AC133" s="2"/>
      <c r="AD133" s="3"/>
      <c r="AE133" s="3"/>
      <c r="AF133" s="2"/>
      <c r="AG133" s="3"/>
      <c r="AH133" s="3"/>
      <c r="AI133" s="2"/>
      <c r="AJ133" s="3"/>
      <c r="AK133" s="3"/>
      <c r="AL133" s="2"/>
      <c r="AM133" s="3"/>
      <c r="AN133" s="3"/>
      <c r="AO133" s="2"/>
      <c r="AR133" s="2"/>
      <c r="AU133" s="2"/>
      <c r="AX133" s="2"/>
      <c r="BA133" s="2"/>
      <c r="BD133" s="2"/>
      <c r="BG133" s="2"/>
    </row>
    <row r="134" spans="3:59" x14ac:dyDescent="0.2">
      <c r="C134" s="3"/>
      <c r="D134" s="3"/>
      <c r="E134" s="2"/>
      <c r="F134" s="3">
        <v>292.26</v>
      </c>
      <c r="G134" s="3">
        <v>16.47</v>
      </c>
      <c r="H134" s="2">
        <f t="shared" ref="H134:H139" si="22">(F134*G134*G134)/1600000</f>
        <v>4.9549194146249996E-2</v>
      </c>
      <c r="I134" s="3"/>
      <c r="J134" s="3"/>
      <c r="K134" s="2"/>
      <c r="L134" s="3"/>
      <c r="M134" s="3"/>
      <c r="N134" s="2"/>
      <c r="O134" s="3"/>
      <c r="P134" s="3"/>
      <c r="Q134" s="2"/>
      <c r="R134" s="3"/>
      <c r="S134" s="3"/>
      <c r="T134" s="2"/>
      <c r="U134" s="3"/>
      <c r="V134" s="3"/>
      <c r="W134" s="2"/>
      <c r="X134" s="3"/>
      <c r="Y134" s="3"/>
      <c r="Z134" s="2"/>
      <c r="AA134" s="3"/>
      <c r="AB134" s="3"/>
      <c r="AC134" s="2"/>
      <c r="AD134" s="3"/>
      <c r="AE134" s="3"/>
      <c r="AF134" s="2"/>
      <c r="AG134" s="3"/>
      <c r="AH134" s="3"/>
      <c r="AI134" s="2"/>
      <c r="AJ134" s="3"/>
      <c r="AK134" s="3"/>
      <c r="AL134" s="2"/>
      <c r="AM134" s="3"/>
      <c r="AN134" s="3"/>
      <c r="AO134" s="2"/>
      <c r="AR134" s="2"/>
      <c r="AU134" s="2"/>
      <c r="AX134" s="2"/>
      <c r="BA134" s="2"/>
      <c r="BD134" s="2"/>
      <c r="BG134" s="2"/>
    </row>
    <row r="135" spans="3:59" x14ac:dyDescent="0.2">
      <c r="C135" s="3"/>
      <c r="D135" s="3"/>
      <c r="E135" s="2"/>
      <c r="F135" s="3">
        <v>233.89</v>
      </c>
      <c r="G135" s="3">
        <v>10.91</v>
      </c>
      <c r="H135" s="2">
        <f t="shared" si="22"/>
        <v>1.7399676443124998E-2</v>
      </c>
      <c r="I135" s="3"/>
      <c r="J135" s="3"/>
      <c r="K135" s="2"/>
      <c r="L135" s="3"/>
      <c r="M135" s="3"/>
      <c r="N135" s="2"/>
      <c r="O135" s="3"/>
      <c r="P135" s="3"/>
      <c r="Q135" s="2"/>
      <c r="R135" s="3"/>
      <c r="S135" s="3"/>
      <c r="T135" s="2"/>
      <c r="U135" s="3"/>
      <c r="V135" s="3"/>
      <c r="W135" s="2"/>
      <c r="X135" s="3"/>
      <c r="Y135" s="3"/>
      <c r="Z135" s="2"/>
      <c r="AA135" s="3"/>
      <c r="AB135" s="3"/>
      <c r="AC135" s="2"/>
      <c r="AD135" s="3"/>
      <c r="AE135" s="3"/>
      <c r="AF135" s="2"/>
      <c r="AG135" s="3"/>
      <c r="AH135" s="3"/>
      <c r="AI135" s="2"/>
      <c r="AJ135" s="3"/>
      <c r="AK135" s="3"/>
      <c r="AL135" s="2"/>
      <c r="AM135" s="3"/>
      <c r="AN135" s="3"/>
      <c r="AO135" s="2"/>
      <c r="AR135" s="2"/>
      <c r="AU135" s="2"/>
      <c r="AX135" s="2"/>
      <c r="BA135" s="2"/>
      <c r="BD135" s="2"/>
      <c r="BG135" s="2"/>
    </row>
    <row r="136" spans="3:59" x14ac:dyDescent="0.2">
      <c r="C136" s="3"/>
      <c r="D136" s="3"/>
      <c r="E136" s="2"/>
      <c r="F136" s="3">
        <v>422.95</v>
      </c>
      <c r="G136" s="3">
        <v>24.06</v>
      </c>
      <c r="H136" s="2">
        <f t="shared" si="22"/>
        <v>0.15302426163749999</v>
      </c>
      <c r="I136" s="3"/>
      <c r="J136" s="3"/>
      <c r="K136" s="2"/>
      <c r="L136" s="3"/>
      <c r="M136" s="3"/>
      <c r="N136" s="2"/>
      <c r="O136" s="3"/>
      <c r="P136" s="3"/>
      <c r="Q136" s="2"/>
      <c r="R136" s="3"/>
      <c r="S136" s="3"/>
      <c r="T136" s="2"/>
      <c r="U136" s="3"/>
      <c r="V136" s="3"/>
      <c r="W136" s="2"/>
      <c r="X136" s="3"/>
      <c r="Y136" s="3"/>
      <c r="Z136" s="2"/>
      <c r="AA136" s="3"/>
      <c r="AB136" s="3"/>
      <c r="AC136" s="2"/>
      <c r="AD136" s="3"/>
      <c r="AE136" s="3"/>
      <c r="AF136" s="2"/>
      <c r="AG136" s="3"/>
      <c r="AH136" s="3"/>
      <c r="AI136" s="2"/>
      <c r="AJ136" s="3"/>
      <c r="AK136" s="3"/>
      <c r="AL136" s="2"/>
      <c r="AM136" s="3"/>
      <c r="AN136" s="3"/>
      <c r="AO136" s="2"/>
      <c r="AR136" s="2"/>
      <c r="AU136" s="2"/>
      <c r="AX136" s="2"/>
      <c r="BA136" s="2"/>
      <c r="BD136" s="2"/>
      <c r="BG136" s="2"/>
    </row>
    <row r="137" spans="3:59" x14ac:dyDescent="0.2">
      <c r="C137" s="3"/>
      <c r="D137" s="3"/>
      <c r="E137" s="2"/>
      <c r="F137" s="3">
        <v>249.67</v>
      </c>
      <c r="G137" s="3">
        <v>14.77</v>
      </c>
      <c r="H137" s="2">
        <f t="shared" si="22"/>
        <v>3.4041396589374995E-2</v>
      </c>
      <c r="I137" s="3"/>
      <c r="J137" s="3"/>
      <c r="K137" s="2"/>
      <c r="L137" s="3"/>
      <c r="M137" s="3"/>
      <c r="N137" s="2"/>
      <c r="O137" s="3"/>
      <c r="P137" s="3"/>
      <c r="Q137" s="2"/>
      <c r="R137" s="3"/>
      <c r="S137" s="3"/>
      <c r="T137" s="2"/>
      <c r="U137" s="3"/>
      <c r="V137" s="3"/>
      <c r="W137" s="2"/>
      <c r="X137" s="3"/>
      <c r="Y137" s="3"/>
      <c r="Z137" s="2"/>
      <c r="AA137" s="3"/>
      <c r="AB137" s="3"/>
      <c r="AC137" s="2"/>
      <c r="AD137" s="3"/>
      <c r="AE137" s="3"/>
      <c r="AF137" s="2"/>
      <c r="AG137" s="3"/>
      <c r="AH137" s="3"/>
      <c r="AI137" s="2"/>
      <c r="AJ137" s="3"/>
      <c r="AK137" s="3"/>
      <c r="AL137" s="2"/>
      <c r="AM137" s="3"/>
      <c r="AN137" s="3"/>
      <c r="AO137" s="2"/>
      <c r="AR137" s="2"/>
      <c r="AU137" s="2"/>
      <c r="AX137" s="2"/>
      <c r="BA137" s="2"/>
      <c r="BD137" s="2"/>
      <c r="BG137" s="2"/>
    </row>
    <row r="138" spans="3:59" x14ac:dyDescent="0.2">
      <c r="C138" s="3"/>
      <c r="D138" s="3"/>
      <c r="E138" s="2"/>
      <c r="F138" s="3">
        <v>301.70999999999998</v>
      </c>
      <c r="G138" s="3">
        <v>17.309999999999999</v>
      </c>
      <c r="H138" s="2">
        <f t="shared" si="22"/>
        <v>5.6502004831874994E-2</v>
      </c>
      <c r="I138" s="3"/>
      <c r="J138" s="3"/>
      <c r="K138" s="2"/>
      <c r="L138" s="3"/>
      <c r="M138" s="3"/>
      <c r="N138" s="2"/>
      <c r="O138" s="3"/>
      <c r="P138" s="3"/>
      <c r="Q138" s="2"/>
      <c r="R138" s="3"/>
      <c r="S138" s="3"/>
      <c r="T138" s="2"/>
      <c r="U138" s="3"/>
      <c r="V138" s="3"/>
      <c r="W138" s="2"/>
      <c r="X138" s="3"/>
      <c r="Y138" s="3"/>
      <c r="Z138" s="2"/>
      <c r="AA138" s="3"/>
      <c r="AB138" s="3"/>
      <c r="AC138" s="2"/>
      <c r="AD138" s="3"/>
      <c r="AE138" s="3"/>
      <c r="AF138" s="2"/>
      <c r="AG138" s="3"/>
      <c r="AH138" s="3"/>
      <c r="AI138" s="2"/>
      <c r="AJ138" s="3"/>
      <c r="AK138" s="3"/>
      <c r="AL138" s="2"/>
      <c r="AM138" s="3"/>
      <c r="AN138" s="3"/>
      <c r="AO138" s="2"/>
      <c r="AR138" s="2"/>
      <c r="AU138" s="2"/>
      <c r="AX138" s="2"/>
      <c r="BA138" s="2"/>
      <c r="BD138" s="2"/>
      <c r="BG138" s="2"/>
    </row>
    <row r="139" spans="3:59" x14ac:dyDescent="0.2">
      <c r="C139" s="3"/>
      <c r="D139" s="3"/>
      <c r="E139" s="2"/>
      <c r="F139" s="3">
        <v>309.52999999999997</v>
      </c>
      <c r="G139" s="3">
        <v>16.12</v>
      </c>
      <c r="H139" s="2">
        <f t="shared" si="22"/>
        <v>5.0270457770000006E-2</v>
      </c>
      <c r="I139" s="3"/>
      <c r="J139" s="3"/>
      <c r="K139" s="2"/>
      <c r="L139" s="3"/>
      <c r="M139" s="3"/>
      <c r="N139" s="2"/>
      <c r="O139" s="3"/>
      <c r="P139" s="3"/>
      <c r="Q139" s="2"/>
      <c r="R139" s="3"/>
      <c r="S139" s="3"/>
      <c r="T139" s="2"/>
      <c r="U139" s="3"/>
      <c r="V139" s="3"/>
      <c r="W139" s="2"/>
      <c r="X139" s="3"/>
      <c r="Y139" s="3"/>
      <c r="Z139" s="2"/>
      <c r="AA139" s="3"/>
      <c r="AB139" s="3"/>
      <c r="AC139" s="2"/>
      <c r="AD139" s="3"/>
      <c r="AE139" s="3"/>
      <c r="AF139" s="2"/>
      <c r="AG139" s="3"/>
      <c r="AH139" s="3"/>
      <c r="AI139" s="2"/>
      <c r="AJ139" s="3"/>
      <c r="AK139" s="3"/>
      <c r="AL139" s="2"/>
      <c r="AM139" s="3"/>
      <c r="AN139" s="3"/>
      <c r="AO139" s="2"/>
      <c r="AR139" s="2"/>
      <c r="AU139" s="2"/>
      <c r="AX139" s="2"/>
      <c r="BA139" s="2"/>
      <c r="BD139" s="2"/>
      <c r="BG139" s="2"/>
    </row>
  </sheetData>
  <mergeCells count="77">
    <mergeCell ref="BE4:BF4"/>
    <mergeCell ref="C2:D2"/>
    <mergeCell ref="F2:G2"/>
    <mergeCell ref="I2:J2"/>
    <mergeCell ref="L2:M2"/>
    <mergeCell ref="O2:P2"/>
    <mergeCell ref="AG4:AH4"/>
    <mergeCell ref="BE3:BF3"/>
    <mergeCell ref="AG3:AH3"/>
    <mergeCell ref="AJ3:AK3"/>
    <mergeCell ref="R4:S4"/>
    <mergeCell ref="U4:V4"/>
    <mergeCell ref="X4:Y4"/>
    <mergeCell ref="AA4:AB4"/>
    <mergeCell ref="AD4:AE4"/>
    <mergeCell ref="AJ4:AK4"/>
    <mergeCell ref="BB4:BC4"/>
    <mergeCell ref="BB3:BC3"/>
    <mergeCell ref="U3:V3"/>
    <mergeCell ref="X3:Y3"/>
    <mergeCell ref="AA3:AB3"/>
    <mergeCell ref="AD3:AE3"/>
    <mergeCell ref="AM4:AN4"/>
    <mergeCell ref="AP4:AQ4"/>
    <mergeCell ref="AS4:AT4"/>
    <mergeCell ref="AV4:AW4"/>
    <mergeCell ref="AY4:AZ4"/>
    <mergeCell ref="C4:D4"/>
    <mergeCell ref="F4:G4"/>
    <mergeCell ref="I4:J4"/>
    <mergeCell ref="L4:M4"/>
    <mergeCell ref="O4:P4"/>
    <mergeCell ref="C3:D3"/>
    <mergeCell ref="F3:G3"/>
    <mergeCell ref="I3:J3"/>
    <mergeCell ref="L3:M3"/>
    <mergeCell ref="O3:P3"/>
    <mergeCell ref="AV2:AW2"/>
    <mergeCell ref="AY2:AZ2"/>
    <mergeCell ref="R3:S3"/>
    <mergeCell ref="BB2:BC2"/>
    <mergeCell ref="BE2:BF2"/>
    <mergeCell ref="R2:S2"/>
    <mergeCell ref="U2:V2"/>
    <mergeCell ref="X2:Y2"/>
    <mergeCell ref="AA2:AB2"/>
    <mergeCell ref="AD2:AE2"/>
    <mergeCell ref="AG2:AH2"/>
    <mergeCell ref="AM3:AN3"/>
    <mergeCell ref="AP3:AQ3"/>
    <mergeCell ref="AS3:AT3"/>
    <mergeCell ref="AV3:AW3"/>
    <mergeCell ref="AY3:AZ3"/>
    <mergeCell ref="A1:B1"/>
    <mergeCell ref="AJ2:AK2"/>
    <mergeCell ref="AM2:AN2"/>
    <mergeCell ref="AP2:AQ2"/>
    <mergeCell ref="AS2:AT2"/>
    <mergeCell ref="AM1:AO1"/>
    <mergeCell ref="AP1:AR1"/>
    <mergeCell ref="AS1:AU1"/>
    <mergeCell ref="AV1:AX1"/>
    <mergeCell ref="AY1:BA1"/>
    <mergeCell ref="BB1:BD1"/>
    <mergeCell ref="BE1:BG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2B60-F965-4509-9B4B-5CF9639725AA}">
  <dimension ref="A1:BS151"/>
  <sheetViews>
    <sheetView zoomScale="160" zoomScaleNormal="160" workbookViewId="0">
      <selection activeCell="A7" sqref="A7"/>
    </sheetView>
  </sheetViews>
  <sheetFormatPr defaultColWidth="9" defaultRowHeight="14.25" x14ac:dyDescent="0.2"/>
  <cols>
    <col min="1" max="1" width="14.875" style="1" customWidth="1"/>
    <col min="2" max="2" width="9" style="1"/>
    <col min="3" max="4" width="9" style="1" customWidth="1"/>
    <col min="5" max="5" width="9" style="6"/>
    <col min="6" max="7" width="9" style="1" customWidth="1"/>
    <col min="8" max="8" width="9" style="6"/>
    <col min="9" max="9" width="9.5" style="1" customWidth="1"/>
    <col min="10" max="10" width="9" style="1" customWidth="1"/>
    <col min="11" max="11" width="9" style="6"/>
    <col min="12" max="13" width="9" style="1" customWidth="1"/>
    <col min="14" max="14" width="9" style="6"/>
    <col min="15" max="16" width="9" style="1" customWidth="1"/>
    <col min="17" max="17" width="9" style="6"/>
    <col min="18" max="19" width="9" style="1" customWidth="1"/>
    <col min="20" max="20" width="9" style="6"/>
    <col min="21" max="22" width="9" style="1" customWidth="1"/>
    <col min="23" max="23" width="9" style="6"/>
    <col min="24" max="25" width="9" style="1" customWidth="1"/>
    <col min="26" max="26" width="9" style="6"/>
    <col min="27" max="28" width="9" style="1" customWidth="1"/>
    <col min="29" max="29" width="9" style="6"/>
    <col min="30" max="31" width="9" style="1" customWidth="1"/>
    <col min="32" max="32" width="9" style="6"/>
    <col min="33" max="34" width="9" style="1" customWidth="1"/>
    <col min="35" max="35" width="9" style="6"/>
    <col min="36" max="37" width="9" style="1" customWidth="1"/>
    <col min="38" max="38" width="9" style="6"/>
    <col min="39" max="40" width="9" style="1" customWidth="1"/>
    <col min="41" max="41" width="9" style="6"/>
    <col min="42" max="43" width="9" style="1" customWidth="1"/>
    <col min="44" max="44" width="9" style="6"/>
    <col min="45" max="45" width="9" style="1" customWidth="1"/>
    <col min="46" max="46" width="9" style="1"/>
    <col min="47" max="47" width="9" style="6"/>
    <col min="48" max="49" width="9" style="1" customWidth="1"/>
    <col min="50" max="50" width="9" style="6"/>
    <col min="51" max="52" width="9" style="1" customWidth="1"/>
    <col min="53" max="53" width="9" style="6"/>
    <col min="54" max="54" width="9.5" style="1" customWidth="1"/>
    <col min="55" max="55" width="9" style="1" customWidth="1"/>
    <col min="56" max="56" width="9" style="6"/>
    <col min="57" max="57" width="9.5" style="1" customWidth="1"/>
    <col min="58" max="58" width="9" style="1" customWidth="1"/>
    <col min="59" max="59" width="9" style="6"/>
    <col min="60" max="61" width="9" style="1" customWidth="1"/>
    <col min="62" max="62" width="9" style="6"/>
    <col min="63" max="64" width="9" style="1" customWidth="1"/>
    <col min="65" max="65" width="9" style="6"/>
    <col min="66" max="67" width="9" style="1" customWidth="1"/>
    <col min="68" max="68" width="9" style="6"/>
    <col min="69" max="70" width="9" style="1" customWidth="1"/>
    <col min="71" max="71" width="9" style="6"/>
    <col min="72" max="16384" width="9" style="1"/>
  </cols>
  <sheetData>
    <row r="1" spans="1:71" s="5" customFormat="1" x14ac:dyDescent="0.2">
      <c r="A1" s="20" t="s">
        <v>47</v>
      </c>
      <c r="B1" s="20"/>
      <c r="C1" s="18" t="s">
        <v>34</v>
      </c>
      <c r="D1" s="18"/>
      <c r="E1" s="18"/>
      <c r="F1" s="18" t="s">
        <v>12</v>
      </c>
      <c r="G1" s="18"/>
      <c r="H1" s="18"/>
      <c r="I1" s="18" t="s">
        <v>20</v>
      </c>
      <c r="J1" s="18"/>
      <c r="K1" s="18"/>
      <c r="L1" s="18" t="s">
        <v>10</v>
      </c>
      <c r="M1" s="18"/>
      <c r="N1" s="18"/>
      <c r="O1" s="18" t="s">
        <v>42</v>
      </c>
      <c r="P1" s="18"/>
      <c r="Q1" s="18"/>
      <c r="R1" s="18" t="s">
        <v>21</v>
      </c>
      <c r="S1" s="18"/>
      <c r="T1" s="18"/>
      <c r="U1" s="18" t="s">
        <v>46</v>
      </c>
      <c r="V1" s="18"/>
      <c r="W1" s="18"/>
      <c r="X1" s="18" t="s">
        <v>22</v>
      </c>
      <c r="Y1" s="18"/>
      <c r="Z1" s="18"/>
      <c r="AA1" s="18" t="s">
        <v>6</v>
      </c>
      <c r="AB1" s="18"/>
      <c r="AC1" s="18"/>
      <c r="AD1" s="18" t="s">
        <v>23</v>
      </c>
      <c r="AE1" s="18"/>
      <c r="AF1" s="18"/>
      <c r="AG1" s="18" t="s">
        <v>16</v>
      </c>
      <c r="AH1" s="18"/>
      <c r="AI1" s="18"/>
      <c r="AJ1" s="18" t="s">
        <v>41</v>
      </c>
      <c r="AK1" s="18"/>
      <c r="AL1" s="18"/>
      <c r="AM1" s="18" t="s">
        <v>48</v>
      </c>
      <c r="AN1" s="18"/>
      <c r="AO1" s="18"/>
      <c r="AP1" s="18" t="s">
        <v>25</v>
      </c>
      <c r="AQ1" s="18"/>
      <c r="AR1" s="18"/>
      <c r="AS1" s="18" t="s">
        <v>28</v>
      </c>
      <c r="AT1" s="18"/>
      <c r="AU1" s="18"/>
      <c r="AV1" s="18" t="s">
        <v>19</v>
      </c>
      <c r="AW1" s="18"/>
      <c r="AX1" s="18"/>
      <c r="AY1" s="18" t="s">
        <v>11</v>
      </c>
      <c r="AZ1" s="18"/>
      <c r="BA1" s="18"/>
      <c r="BB1" s="18" t="s">
        <v>18</v>
      </c>
      <c r="BC1" s="18"/>
      <c r="BD1" s="18"/>
      <c r="BE1" s="18" t="s">
        <v>13</v>
      </c>
      <c r="BF1" s="18"/>
      <c r="BG1" s="18"/>
      <c r="BH1" s="18" t="s">
        <v>8</v>
      </c>
      <c r="BI1" s="18"/>
      <c r="BJ1" s="18"/>
      <c r="BK1" s="18" t="s">
        <v>49</v>
      </c>
      <c r="BL1" s="18"/>
      <c r="BM1" s="18"/>
      <c r="BN1" s="18" t="s">
        <v>50</v>
      </c>
      <c r="BO1" s="18"/>
      <c r="BP1" s="18"/>
      <c r="BQ1" s="18" t="s">
        <v>29</v>
      </c>
      <c r="BR1" s="18"/>
      <c r="BS1" s="18"/>
    </row>
    <row r="2" spans="1:71" x14ac:dyDescent="0.2">
      <c r="A2" s="1" t="s">
        <v>5</v>
      </c>
      <c r="B2" s="1">
        <f>SUM(C2:XC2)</f>
        <v>244</v>
      </c>
      <c r="C2" s="19" t="s">
        <v>5</v>
      </c>
      <c r="D2" s="19"/>
      <c r="E2" s="8">
        <f>COUNT(E6:E300)</f>
        <v>45</v>
      </c>
      <c r="F2" s="19" t="s">
        <v>5</v>
      </c>
      <c r="G2" s="19"/>
      <c r="H2" s="8">
        <f>COUNT(H6:H300)</f>
        <v>67</v>
      </c>
      <c r="I2" s="19" t="s">
        <v>5</v>
      </c>
      <c r="J2" s="19"/>
      <c r="K2" s="8">
        <f>COUNT(K6:K300)</f>
        <v>15</v>
      </c>
      <c r="L2" s="19" t="s">
        <v>5</v>
      </c>
      <c r="M2" s="19"/>
      <c r="N2" s="8">
        <f>COUNT(N6:N300)</f>
        <v>3</v>
      </c>
      <c r="O2" s="19" t="s">
        <v>5</v>
      </c>
      <c r="P2" s="19"/>
      <c r="Q2" s="8">
        <f>COUNT(Q6:Q300)</f>
        <v>2</v>
      </c>
      <c r="R2" s="19" t="s">
        <v>5</v>
      </c>
      <c r="S2" s="19"/>
      <c r="T2" s="8">
        <f>COUNT(T6:T300)</f>
        <v>19</v>
      </c>
      <c r="U2" s="19" t="s">
        <v>5</v>
      </c>
      <c r="V2" s="19"/>
      <c r="W2" s="8">
        <f>COUNT(W6:W300)</f>
        <v>30</v>
      </c>
      <c r="X2" s="19" t="s">
        <v>5</v>
      </c>
      <c r="Y2" s="19"/>
      <c r="Z2" s="8">
        <f>COUNT(Z6:Z300)</f>
        <v>9</v>
      </c>
      <c r="AA2" s="19" t="s">
        <v>5</v>
      </c>
      <c r="AB2" s="19"/>
      <c r="AC2" s="8">
        <f>COUNT(AC6:AC300)</f>
        <v>4</v>
      </c>
      <c r="AD2" s="19" t="s">
        <v>5</v>
      </c>
      <c r="AE2" s="19"/>
      <c r="AF2" s="8">
        <f>COUNT(AF6:AF300)</f>
        <v>6</v>
      </c>
      <c r="AG2" s="19" t="s">
        <v>5</v>
      </c>
      <c r="AH2" s="19"/>
      <c r="AI2" s="8">
        <f>COUNT(AI6:AI300)</f>
        <v>13</v>
      </c>
      <c r="AJ2" s="19" t="s">
        <v>5</v>
      </c>
      <c r="AK2" s="19"/>
      <c r="AL2" s="8">
        <f>COUNT(AL6:AL300)</f>
        <v>2</v>
      </c>
      <c r="AM2" s="19" t="s">
        <v>5</v>
      </c>
      <c r="AN2" s="19"/>
      <c r="AO2" s="8">
        <f>COUNT(AO6:AO300)</f>
        <v>1</v>
      </c>
      <c r="AP2" s="19" t="s">
        <v>5</v>
      </c>
      <c r="AQ2" s="19"/>
      <c r="AR2" s="8">
        <f>COUNT(AR6:AR300)</f>
        <v>6</v>
      </c>
      <c r="AS2" s="19" t="s">
        <v>5</v>
      </c>
      <c r="AT2" s="19"/>
      <c r="AU2" s="8">
        <f>COUNT(AU6:AU300)</f>
        <v>1</v>
      </c>
      <c r="AV2" s="19" t="s">
        <v>5</v>
      </c>
      <c r="AW2" s="19"/>
      <c r="AX2" s="8">
        <f>COUNT(AX6:AX300)</f>
        <v>10</v>
      </c>
      <c r="AY2" s="19" t="s">
        <v>5</v>
      </c>
      <c r="AZ2" s="19"/>
      <c r="BA2" s="8">
        <f>COUNT(BA6:BA300)</f>
        <v>2</v>
      </c>
      <c r="BB2" s="19" t="s">
        <v>5</v>
      </c>
      <c r="BC2" s="19"/>
      <c r="BD2" s="8">
        <f>COUNT(BD6:BD300)</f>
        <v>2</v>
      </c>
      <c r="BE2" s="19" t="s">
        <v>5</v>
      </c>
      <c r="BF2" s="19"/>
      <c r="BG2" s="8">
        <f>COUNT(BG6:BG300)</f>
        <v>1</v>
      </c>
      <c r="BH2" s="19" t="s">
        <v>5</v>
      </c>
      <c r="BI2" s="19"/>
      <c r="BJ2" s="8">
        <f>COUNT(BJ6:BJ300)</f>
        <v>1</v>
      </c>
      <c r="BK2" s="19" t="s">
        <v>5</v>
      </c>
      <c r="BL2" s="19"/>
      <c r="BM2" s="8">
        <f>COUNT(BM6:BM300)</f>
        <v>1</v>
      </c>
      <c r="BN2" s="19" t="s">
        <v>5</v>
      </c>
      <c r="BO2" s="19"/>
      <c r="BP2" s="8">
        <f>COUNT(BP6:BP300)</f>
        <v>1</v>
      </c>
      <c r="BQ2" s="19" t="s">
        <v>5</v>
      </c>
      <c r="BR2" s="19"/>
      <c r="BS2" s="8">
        <f>COUNT(BS6:BS300)</f>
        <v>3</v>
      </c>
    </row>
    <row r="3" spans="1:71" x14ac:dyDescent="0.2">
      <c r="A3" s="1" t="s">
        <v>4</v>
      </c>
      <c r="B3" s="1">
        <f>SUM(C3:XC3)</f>
        <v>25.625562026750288</v>
      </c>
      <c r="C3" s="19" t="s">
        <v>4</v>
      </c>
      <c r="D3" s="19"/>
      <c r="E3" s="8">
        <f>SUM(E6:E300)</f>
        <v>5.0250401035278918</v>
      </c>
      <c r="F3" s="19" t="s">
        <v>4</v>
      </c>
      <c r="G3" s="19"/>
      <c r="H3" s="8">
        <f>SUM(H6:H300)</f>
        <v>4.18858158024375</v>
      </c>
      <c r="I3" s="19" t="s">
        <v>4</v>
      </c>
      <c r="J3" s="19"/>
      <c r="K3" s="8">
        <f>SUM(K6:K300)</f>
        <v>4.6050334047681254</v>
      </c>
      <c r="L3" s="19" t="s">
        <v>4</v>
      </c>
      <c r="M3" s="19"/>
      <c r="N3" s="8">
        <f>SUM(N6:N300)</f>
        <v>0.17149470948062503</v>
      </c>
      <c r="O3" s="19" t="s">
        <v>4</v>
      </c>
      <c r="P3" s="19"/>
      <c r="Q3" s="8">
        <f>SUM(Q6:Q300)</f>
        <v>3.8703813424999997E-2</v>
      </c>
      <c r="R3" s="19" t="s">
        <v>4</v>
      </c>
      <c r="S3" s="19"/>
      <c r="T3" s="8">
        <f>SUM(T6:T300)</f>
        <v>0.94139558077312491</v>
      </c>
      <c r="U3" s="19" t="s">
        <v>4</v>
      </c>
      <c r="V3" s="19"/>
      <c r="W3" s="8">
        <f>SUM(W6:W300)</f>
        <v>2.68224629258625</v>
      </c>
      <c r="X3" s="19" t="s">
        <v>4</v>
      </c>
      <c r="Y3" s="19"/>
      <c r="Z3" s="8">
        <f>SUM(Z6:Z300)</f>
        <v>0.45723517297750005</v>
      </c>
      <c r="AA3" s="19" t="s">
        <v>4</v>
      </c>
      <c r="AB3" s="19"/>
      <c r="AC3" s="8">
        <f>SUM(AC6:AC300)</f>
        <v>0.961402025775</v>
      </c>
      <c r="AD3" s="19" t="s">
        <v>4</v>
      </c>
      <c r="AE3" s="19"/>
      <c r="AF3" s="8">
        <f>SUM(AF6:AF300)</f>
        <v>0.32082048928625007</v>
      </c>
      <c r="AG3" s="19" t="s">
        <v>4</v>
      </c>
      <c r="AH3" s="19"/>
      <c r="AI3" s="8">
        <f>SUM(AI6:AI300)</f>
        <v>0.84265870446106261</v>
      </c>
      <c r="AJ3" s="19" t="s">
        <v>4</v>
      </c>
      <c r="AK3" s="19"/>
      <c r="AL3" s="8">
        <f>SUM(AL6:AL300)</f>
        <v>0.44883174344062499</v>
      </c>
      <c r="AM3" s="19" t="s">
        <v>4</v>
      </c>
      <c r="AN3" s="19"/>
      <c r="AO3" s="8">
        <f>SUM(AO6:AO300)</f>
        <v>3.54203125E-3</v>
      </c>
      <c r="AP3" s="19" t="s">
        <v>4</v>
      </c>
      <c r="AQ3" s="19"/>
      <c r="AR3" s="8">
        <f>SUM(AR6:AR300)</f>
        <v>0.27144084374062499</v>
      </c>
      <c r="AS3" s="19" t="s">
        <v>4</v>
      </c>
      <c r="AT3" s="19"/>
      <c r="AU3" s="8">
        <f>SUM(AU6:AU300)</f>
        <v>2.9677499999999999E-2</v>
      </c>
      <c r="AV3" s="19" t="s">
        <v>4</v>
      </c>
      <c r="AW3" s="19"/>
      <c r="AX3" s="8">
        <f>SUM(AX6:AX300)</f>
        <v>1.24408374958875</v>
      </c>
      <c r="AY3" s="19" t="s">
        <v>4</v>
      </c>
      <c r="AZ3" s="19"/>
      <c r="BA3" s="8">
        <f>SUM(BA6:BA300)</f>
        <v>0.12049014061687499</v>
      </c>
      <c r="BB3" s="19" t="s">
        <v>4</v>
      </c>
      <c r="BC3" s="19"/>
      <c r="BD3" s="8">
        <f>SUM(BD6:BD300)</f>
        <v>1.929029537831328</v>
      </c>
      <c r="BE3" s="19" t="s">
        <v>4</v>
      </c>
      <c r="BF3" s="19"/>
      <c r="BG3" s="8">
        <f>SUM(BG6:BG300)</f>
        <v>0.81036951123125023</v>
      </c>
      <c r="BH3" s="19" t="s">
        <v>4</v>
      </c>
      <c r="BI3" s="19"/>
      <c r="BJ3" s="8">
        <f>SUM(BJ6:BJ300)</f>
        <v>6.5634430207499997E-2</v>
      </c>
      <c r="BK3" s="19" t="s">
        <v>4</v>
      </c>
      <c r="BL3" s="19"/>
      <c r="BM3" s="8">
        <f>SUM(BM6:BM300)</f>
        <v>9.5165869590000007E-2</v>
      </c>
      <c r="BN3" s="19" t="s">
        <v>4</v>
      </c>
      <c r="BO3" s="19"/>
      <c r="BP3" s="8">
        <f>SUM(BP6:BP300)</f>
        <v>0.13670971069187501</v>
      </c>
      <c r="BQ3" s="19" t="s">
        <v>4</v>
      </c>
      <c r="BR3" s="19"/>
      <c r="BS3" s="8">
        <f>SUM(BS6:BS300)</f>
        <v>0.23597508125687502</v>
      </c>
    </row>
    <row r="4" spans="1:71" x14ac:dyDescent="0.2">
      <c r="C4" s="19" t="s">
        <v>3</v>
      </c>
      <c r="D4" s="19"/>
      <c r="E4" s="8">
        <f>AVERAGE(E6:E300)</f>
        <v>0.11166755785617537</v>
      </c>
      <c r="F4" s="19" t="s">
        <v>3</v>
      </c>
      <c r="G4" s="19"/>
      <c r="H4" s="8">
        <f>AVERAGE(H6:H300)</f>
        <v>6.2516142988712692E-2</v>
      </c>
      <c r="I4" s="19" t="s">
        <v>3</v>
      </c>
      <c r="J4" s="19"/>
      <c r="K4" s="8">
        <f>AVERAGE(K6:K300)</f>
        <v>0.30700222698454172</v>
      </c>
      <c r="L4" s="19" t="s">
        <v>3</v>
      </c>
      <c r="M4" s="19"/>
      <c r="N4" s="8">
        <f>AVERAGE(N6:N300)</f>
        <v>5.7164903160208343E-2</v>
      </c>
      <c r="O4" s="19" t="s">
        <v>3</v>
      </c>
      <c r="P4" s="19"/>
      <c r="Q4" s="8">
        <f>AVERAGE(Q6:Q300)</f>
        <v>1.9351906712499999E-2</v>
      </c>
      <c r="R4" s="19" t="s">
        <v>3</v>
      </c>
      <c r="S4" s="19"/>
      <c r="T4" s="8">
        <f>AVERAGE(T6:T300)</f>
        <v>4.9547135830164471E-2</v>
      </c>
      <c r="U4" s="19" t="s">
        <v>3</v>
      </c>
      <c r="V4" s="19"/>
      <c r="W4" s="8">
        <f>AVERAGE(W6:W300)</f>
        <v>8.9408209752875001E-2</v>
      </c>
      <c r="X4" s="19" t="s">
        <v>3</v>
      </c>
      <c r="Y4" s="19"/>
      <c r="Z4" s="8">
        <f>AVERAGE(Z6:Z300)</f>
        <v>5.0803908108611115E-2</v>
      </c>
      <c r="AA4" s="19" t="s">
        <v>3</v>
      </c>
      <c r="AB4" s="19"/>
      <c r="AC4" s="8">
        <f>AVERAGE(AC6:AC300)</f>
        <v>0.24035050644375</v>
      </c>
      <c r="AD4" s="19" t="s">
        <v>3</v>
      </c>
      <c r="AE4" s="19"/>
      <c r="AF4" s="8">
        <f>AVERAGE(AF6:AF300)</f>
        <v>5.3470081547708347E-2</v>
      </c>
      <c r="AG4" s="19" t="s">
        <v>3</v>
      </c>
      <c r="AH4" s="19"/>
      <c r="AI4" s="8">
        <f>AVERAGE(AI6:AI300)</f>
        <v>6.4819900343158668E-2</v>
      </c>
      <c r="AJ4" s="19" t="s">
        <v>3</v>
      </c>
      <c r="AK4" s="19"/>
      <c r="AL4" s="8">
        <f>AVERAGE(AL6:AL300)</f>
        <v>0.22441587172031249</v>
      </c>
      <c r="AM4" s="19" t="s">
        <v>3</v>
      </c>
      <c r="AN4" s="19"/>
      <c r="AO4" s="8">
        <f>AVERAGE(AO6:AO300)</f>
        <v>3.54203125E-3</v>
      </c>
      <c r="AP4" s="19" t="s">
        <v>3</v>
      </c>
      <c r="AQ4" s="19"/>
      <c r="AR4" s="8">
        <f>AVERAGE(AR6:AR300)</f>
        <v>4.5240140623437501E-2</v>
      </c>
      <c r="AS4" s="19" t="s">
        <v>3</v>
      </c>
      <c r="AT4" s="19"/>
      <c r="AU4" s="8">
        <f>AVERAGE(AU6:AU300)</f>
        <v>2.9677499999999999E-2</v>
      </c>
      <c r="AV4" s="19" t="s">
        <v>3</v>
      </c>
      <c r="AW4" s="19"/>
      <c r="AX4" s="8">
        <f>AVERAGE(AX6:AX300)</f>
        <v>0.124408374958875</v>
      </c>
      <c r="AY4" s="19" t="s">
        <v>3</v>
      </c>
      <c r="AZ4" s="19"/>
      <c r="BA4" s="8">
        <f>AVERAGE(BA6:BA300)</f>
        <v>6.0245070308437496E-2</v>
      </c>
      <c r="BB4" s="19" t="s">
        <v>3</v>
      </c>
      <c r="BC4" s="19"/>
      <c r="BD4" s="8">
        <f>AVERAGE(BD6:BD300)</f>
        <v>0.96451476891566401</v>
      </c>
      <c r="BE4" s="19" t="s">
        <v>3</v>
      </c>
      <c r="BF4" s="19"/>
      <c r="BG4" s="8">
        <f>AVERAGE(BG6:BG300)</f>
        <v>0.81036951123125023</v>
      </c>
      <c r="BH4" s="19" t="s">
        <v>3</v>
      </c>
      <c r="BI4" s="19"/>
      <c r="BJ4" s="8">
        <f>AVERAGE(BJ6:BJ300)</f>
        <v>6.5634430207499997E-2</v>
      </c>
      <c r="BK4" s="19" t="s">
        <v>3</v>
      </c>
      <c r="BL4" s="19"/>
      <c r="BM4" s="8">
        <f>AVERAGE(BM6:BM300)</f>
        <v>9.5165869590000007E-2</v>
      </c>
      <c r="BN4" s="19" t="s">
        <v>3</v>
      </c>
      <c r="BO4" s="19"/>
      <c r="BP4" s="8">
        <f>AVERAGE(BP6:BP300)</f>
        <v>0.13670971069187501</v>
      </c>
      <c r="BQ4" s="19" t="s">
        <v>3</v>
      </c>
      <c r="BR4" s="19"/>
      <c r="BS4" s="8">
        <f>AVERAGE(BS6:BS300)</f>
        <v>7.8658360418958337E-2</v>
      </c>
    </row>
    <row r="5" spans="1:71" x14ac:dyDescent="0.2"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  <c r="BK5" s="8" t="s">
        <v>2</v>
      </c>
      <c r="BL5" s="8" t="s">
        <v>1</v>
      </c>
      <c r="BM5" s="8" t="s">
        <v>0</v>
      </c>
      <c r="BN5" s="8" t="s">
        <v>2</v>
      </c>
      <c r="BO5" s="8" t="s">
        <v>1</v>
      </c>
      <c r="BP5" s="8" t="s">
        <v>0</v>
      </c>
      <c r="BQ5" s="8" t="s">
        <v>2</v>
      </c>
      <c r="BR5" s="8" t="s">
        <v>1</v>
      </c>
      <c r="BS5" s="8" t="s">
        <v>0</v>
      </c>
    </row>
    <row r="6" spans="1:71" x14ac:dyDescent="0.2">
      <c r="C6" s="3">
        <v>526.44000000000005</v>
      </c>
      <c r="D6" s="3">
        <v>17.3</v>
      </c>
      <c r="E6" s="2">
        <f t="shared" ref="E6:E37" si="0">(C6*D6*D6)/1600000</f>
        <v>9.8473892250000028E-2</v>
      </c>
      <c r="F6" s="3">
        <v>328.84</v>
      </c>
      <c r="G6" s="3">
        <v>20.12</v>
      </c>
      <c r="H6" s="2">
        <f t="shared" ref="H6:H37" si="1">(F6*G6*G6)/1600000</f>
        <v>8.3199479559999998E-2</v>
      </c>
      <c r="I6" s="3">
        <v>500.58</v>
      </c>
      <c r="J6" s="3">
        <v>21.03</v>
      </c>
      <c r="K6" s="2">
        <f t="shared" ref="K6:K20" si="2">(I6*J6*J6)/1600000</f>
        <v>0.13836685082625</v>
      </c>
      <c r="L6" s="3">
        <v>434.63</v>
      </c>
      <c r="M6" s="3">
        <v>16.25</v>
      </c>
      <c r="N6" s="2">
        <f t="shared" ref="N6:N8" si="3">(L6*M6*M6)/1600000</f>
        <v>7.1730927734375005E-2</v>
      </c>
      <c r="O6" s="3">
        <v>357.36</v>
      </c>
      <c r="P6" s="3">
        <v>7.65</v>
      </c>
      <c r="Q6" s="2">
        <f t="shared" ref="Q6:Q7" si="4">(O6*P6*P6)/1600000</f>
        <v>1.3071000375000001E-2</v>
      </c>
      <c r="R6" s="3">
        <v>306.58999999999997</v>
      </c>
      <c r="S6" s="3">
        <v>11.79</v>
      </c>
      <c r="T6" s="2">
        <f t="shared" ref="T6:T24" si="5">(R6*S6*S6)/1600000</f>
        <v>2.6635791886874996E-2</v>
      </c>
      <c r="U6" s="3">
        <v>422.4</v>
      </c>
      <c r="V6" s="3">
        <v>16.420000000000002</v>
      </c>
      <c r="W6" s="2">
        <f t="shared" ref="W6:W35" si="6">(U6*V6*V6)/1600000</f>
        <v>7.1178729600000004E-2</v>
      </c>
      <c r="X6" s="3">
        <v>328.99</v>
      </c>
      <c r="Y6" s="3">
        <v>15.41</v>
      </c>
      <c r="Z6" s="2">
        <f t="shared" ref="Z6:Z14" si="7">(X6*Y6*Y6)/1600000</f>
        <v>4.8827893886875008E-2</v>
      </c>
      <c r="AA6" s="3">
        <v>711.69</v>
      </c>
      <c r="AB6" s="3">
        <v>28.34</v>
      </c>
      <c r="AC6" s="2">
        <f t="shared" ref="AC6:AC9" si="8">(AA6*AB6*AB6)/1600000</f>
        <v>0.35724863060250006</v>
      </c>
      <c r="AD6" s="3">
        <v>41.42</v>
      </c>
      <c r="AE6" s="3">
        <v>14.24</v>
      </c>
      <c r="AF6" s="2">
        <f t="shared" ref="AF6:AF11" si="9">(AD6*AE6*AE6)/1600000</f>
        <v>5.2494051200000016E-3</v>
      </c>
      <c r="AG6" s="3">
        <v>323.83</v>
      </c>
      <c r="AH6" s="3">
        <v>18.440000000000001</v>
      </c>
      <c r="AI6" s="2">
        <f t="shared" ref="AI6:AI18" si="10">(AG6*AH6*AH6)/1600000</f>
        <v>6.8820675430000006E-2</v>
      </c>
      <c r="AJ6" s="3">
        <v>450.97</v>
      </c>
      <c r="AK6" s="3">
        <v>18.47</v>
      </c>
      <c r="AL6" s="2">
        <f t="shared" ref="AL6:AL7" si="11">(AJ6*AK6*AK6)/1600000</f>
        <v>9.6152694795624993E-2</v>
      </c>
      <c r="AM6" s="3">
        <v>226.69</v>
      </c>
      <c r="AN6" s="3">
        <v>5</v>
      </c>
      <c r="AO6" s="2">
        <f t="shared" ref="AO6" si="12">(AM6*AN6*AN6)/1600000</f>
        <v>3.54203125E-3</v>
      </c>
      <c r="AP6" s="3">
        <v>458.92</v>
      </c>
      <c r="AQ6" s="3">
        <v>16.13</v>
      </c>
      <c r="AR6" s="2">
        <f t="shared" ref="AR6:AR11" si="13">(AP6*AQ6*AQ6)/1600000</f>
        <v>7.4625239342499997E-2</v>
      </c>
      <c r="AS6" s="3">
        <v>329.75</v>
      </c>
      <c r="AT6" s="3">
        <v>12</v>
      </c>
      <c r="AU6" s="2">
        <f t="shared" ref="AU6" si="14">(AS6*AT6*AT6)/1600000</f>
        <v>2.9677499999999999E-2</v>
      </c>
      <c r="AV6" s="3">
        <v>489.12</v>
      </c>
      <c r="AW6" s="3">
        <v>15.9</v>
      </c>
      <c r="AX6" s="2">
        <f t="shared" ref="AX6:AX15" si="15">(AV6*AW6*AW6)/1600000</f>
        <v>7.728401700000001E-2</v>
      </c>
      <c r="AY6" s="3">
        <v>616.57000000000005</v>
      </c>
      <c r="AZ6" s="3">
        <v>16.47</v>
      </c>
      <c r="BA6" s="2">
        <f t="shared" ref="BA6:BA7" si="16">(AY6*AZ6*AZ6)/1600000</f>
        <v>0.104532083195625</v>
      </c>
      <c r="BB6" s="3">
        <v>1007.07</v>
      </c>
      <c r="BC6" s="3">
        <v>41.43</v>
      </c>
      <c r="BD6" s="2">
        <f t="shared" ref="BD6" si="17">(BB6*BC6*BC6)/1600000</f>
        <v>1.080362603401875</v>
      </c>
      <c r="BE6" s="3">
        <v>1181.3</v>
      </c>
      <c r="BF6" s="3">
        <v>33.130000000000003</v>
      </c>
      <c r="BG6" s="2">
        <f t="shared" ref="BG6" si="18">(BE6*BF6*BF6)/1600000</f>
        <v>0.81036951123125023</v>
      </c>
      <c r="BH6" s="3">
        <v>546.66999999999996</v>
      </c>
      <c r="BI6" s="3">
        <v>13.86</v>
      </c>
      <c r="BJ6" s="2">
        <f t="shared" ref="BJ6" si="19">(BH6*BI6*BI6)/1600000</f>
        <v>6.5634430207499997E-2</v>
      </c>
      <c r="BK6" s="3">
        <v>415.64</v>
      </c>
      <c r="BL6" s="3">
        <v>19.14</v>
      </c>
      <c r="BM6" s="2">
        <f t="shared" ref="BM6" si="20">(BK6*BL6*BL6)/1600000</f>
        <v>9.5165869590000007E-2</v>
      </c>
      <c r="BN6" s="3">
        <v>295.87</v>
      </c>
      <c r="BO6" s="3">
        <v>27.19</v>
      </c>
      <c r="BP6" s="2">
        <f t="shared" ref="BP6" si="21">(BN6*BO6*BO6)/1600000</f>
        <v>0.13670971069187501</v>
      </c>
      <c r="BQ6" s="3">
        <v>608.63</v>
      </c>
      <c r="BR6" s="3">
        <v>20.92</v>
      </c>
      <c r="BS6" s="2">
        <f t="shared" ref="BS6:BS8" si="22">(BQ6*BR6*BR6)/1600000</f>
        <v>0.16647795527000003</v>
      </c>
    </row>
    <row r="7" spans="1:71" x14ac:dyDescent="0.2">
      <c r="C7" s="3">
        <v>421.53</v>
      </c>
      <c r="D7" s="3">
        <v>16.54</v>
      </c>
      <c r="E7" s="2">
        <f t="shared" si="0"/>
        <v>7.2074147842499992E-2</v>
      </c>
      <c r="F7" s="3">
        <v>256.08999999999997</v>
      </c>
      <c r="G7" s="3">
        <v>14.32</v>
      </c>
      <c r="H7" s="2">
        <f t="shared" si="1"/>
        <v>3.2821518760000001E-2</v>
      </c>
      <c r="I7" s="3">
        <v>1015.46</v>
      </c>
      <c r="J7" s="3">
        <v>29.4</v>
      </c>
      <c r="K7" s="2">
        <f t="shared" si="2"/>
        <v>0.54857687850000003</v>
      </c>
      <c r="L7" s="3">
        <v>405.15</v>
      </c>
      <c r="M7" s="3">
        <v>14.79</v>
      </c>
      <c r="N7" s="2">
        <f t="shared" si="3"/>
        <v>5.5390107571875E-2</v>
      </c>
      <c r="O7" s="3">
        <v>515.45000000000005</v>
      </c>
      <c r="P7" s="3">
        <v>8.92</v>
      </c>
      <c r="Q7" s="2">
        <f t="shared" si="4"/>
        <v>2.5632813049999998E-2</v>
      </c>
      <c r="R7" s="3">
        <v>446.1</v>
      </c>
      <c r="S7" s="3">
        <v>18.36</v>
      </c>
      <c r="T7" s="2">
        <f t="shared" si="5"/>
        <v>9.3984794100000005E-2</v>
      </c>
      <c r="U7" s="3">
        <v>375.82</v>
      </c>
      <c r="V7" s="3">
        <v>15.17</v>
      </c>
      <c r="W7" s="2">
        <f t="shared" si="6"/>
        <v>5.4054401998750001E-2</v>
      </c>
      <c r="X7" s="3">
        <v>302.86</v>
      </c>
      <c r="Y7" s="3">
        <v>16.47</v>
      </c>
      <c r="Z7" s="2">
        <f t="shared" si="7"/>
        <v>5.1346297608749994E-2</v>
      </c>
      <c r="AA7" s="3">
        <v>592.4</v>
      </c>
      <c r="AB7" s="3">
        <v>24.97</v>
      </c>
      <c r="AC7" s="2">
        <f t="shared" si="8"/>
        <v>0.23085120822499997</v>
      </c>
      <c r="AD7" s="3">
        <v>276.85000000000002</v>
      </c>
      <c r="AE7" s="3">
        <v>16.64</v>
      </c>
      <c r="AF7" s="2">
        <f t="shared" si="9"/>
        <v>4.7910553600000003E-2</v>
      </c>
      <c r="AG7" s="3">
        <v>340.8</v>
      </c>
      <c r="AH7" s="3">
        <v>16.22</v>
      </c>
      <c r="AI7" s="2">
        <f t="shared" si="10"/>
        <v>5.6037829199999993E-2</v>
      </c>
      <c r="AJ7" s="3">
        <v>504.02</v>
      </c>
      <c r="AK7" s="3">
        <v>33.46</v>
      </c>
      <c r="AL7" s="2">
        <f t="shared" si="11"/>
        <v>0.35267904864499999</v>
      </c>
      <c r="AM7" s="3"/>
      <c r="AN7" s="3"/>
      <c r="AO7" s="2"/>
      <c r="AP7" s="3">
        <v>327.27</v>
      </c>
      <c r="AQ7" s="3">
        <v>18</v>
      </c>
      <c r="AR7" s="2">
        <f t="shared" si="13"/>
        <v>6.6272175000000003E-2</v>
      </c>
      <c r="AS7" s="3"/>
      <c r="AT7" s="3"/>
      <c r="AU7" s="2"/>
      <c r="AV7" s="3">
        <v>368.72</v>
      </c>
      <c r="AW7" s="3">
        <v>20.239999999999998</v>
      </c>
      <c r="AX7" s="2">
        <f t="shared" si="15"/>
        <v>9.4405593919999989E-2</v>
      </c>
      <c r="AY7" s="3">
        <v>241.14</v>
      </c>
      <c r="AZ7" s="3">
        <v>10.29</v>
      </c>
      <c r="BA7" s="2">
        <f t="shared" si="16"/>
        <v>1.5958057421249998E-2</v>
      </c>
      <c r="BB7" s="3">
        <f>1799.77/2</f>
        <v>899.88499999999999</v>
      </c>
      <c r="BC7" s="3">
        <f>77.69/2</f>
        <v>38.844999999999999</v>
      </c>
      <c r="BD7" s="2">
        <f>(BB7*BC7*BC7)/1600000</f>
        <v>0.84866693442945307</v>
      </c>
      <c r="BE7" s="3"/>
      <c r="BF7" s="3"/>
      <c r="BG7" s="2"/>
      <c r="BH7" s="3"/>
      <c r="BI7" s="3"/>
      <c r="BJ7" s="2"/>
      <c r="BK7" s="3"/>
      <c r="BL7" s="3"/>
      <c r="BM7" s="2"/>
      <c r="BN7" s="3"/>
      <c r="BO7" s="3"/>
      <c r="BP7" s="2"/>
      <c r="BQ7" s="3">
        <v>362.01</v>
      </c>
      <c r="BR7" s="3">
        <v>12.52</v>
      </c>
      <c r="BS7" s="2">
        <f t="shared" si="22"/>
        <v>3.5465757690000002E-2</v>
      </c>
    </row>
    <row r="8" spans="1:71" x14ac:dyDescent="0.2">
      <c r="C8" s="3">
        <v>541.69000000000005</v>
      </c>
      <c r="D8" s="3">
        <v>18.670000000000002</v>
      </c>
      <c r="E8" s="2">
        <f t="shared" si="0"/>
        <v>0.11801017965062503</v>
      </c>
      <c r="F8" s="3">
        <v>295.22000000000003</v>
      </c>
      <c r="G8" s="3">
        <v>17.55</v>
      </c>
      <c r="H8" s="2">
        <f t="shared" si="1"/>
        <v>5.6830311281250018E-2</v>
      </c>
      <c r="I8" s="3">
        <v>359.25</v>
      </c>
      <c r="J8" s="3">
        <v>16.52</v>
      </c>
      <c r="K8" s="2">
        <f t="shared" si="2"/>
        <v>6.1276913249999988E-2</v>
      </c>
      <c r="L8" s="3">
        <v>395.99</v>
      </c>
      <c r="M8" s="3">
        <v>13.39</v>
      </c>
      <c r="N8" s="2">
        <f t="shared" si="3"/>
        <v>4.4373674174375009E-2</v>
      </c>
      <c r="O8" s="3"/>
      <c r="P8" s="3"/>
      <c r="Q8" s="2"/>
      <c r="R8" s="3">
        <v>287.99</v>
      </c>
      <c r="S8" s="3">
        <v>17.72</v>
      </c>
      <c r="T8" s="2">
        <f t="shared" si="5"/>
        <v>5.6517749509999993E-2</v>
      </c>
      <c r="U8" s="3">
        <v>417.4</v>
      </c>
      <c r="V8" s="3">
        <v>14.79</v>
      </c>
      <c r="W8" s="2">
        <f t="shared" si="6"/>
        <v>5.7064867087499999E-2</v>
      </c>
      <c r="X8" s="3">
        <v>342.89</v>
      </c>
      <c r="Y8" s="3">
        <v>20.49</v>
      </c>
      <c r="Z8" s="2">
        <f t="shared" si="7"/>
        <v>8.9974357430624985E-2</v>
      </c>
      <c r="AA8" s="3">
        <v>583.96</v>
      </c>
      <c r="AB8" s="3">
        <v>16.89</v>
      </c>
      <c r="AC8" s="2">
        <f t="shared" si="8"/>
        <v>0.10411718469750002</v>
      </c>
      <c r="AD8" s="3">
        <v>391.4</v>
      </c>
      <c r="AE8" s="3">
        <v>17.96</v>
      </c>
      <c r="AF8" s="2">
        <f t="shared" si="9"/>
        <v>7.890663140000001E-2</v>
      </c>
      <c r="AG8" s="3">
        <v>329.59</v>
      </c>
      <c r="AH8" s="3">
        <v>17.940000000000001</v>
      </c>
      <c r="AI8" s="2">
        <f t="shared" si="10"/>
        <v>6.6297770077500012E-2</v>
      </c>
      <c r="AJ8" s="3"/>
      <c r="AK8" s="3"/>
      <c r="AL8" s="2"/>
      <c r="AM8" s="3"/>
      <c r="AN8" s="3"/>
      <c r="AO8" s="2"/>
      <c r="AP8" s="3">
        <v>352.42</v>
      </c>
      <c r="AQ8" s="3">
        <v>16.690000000000001</v>
      </c>
      <c r="AR8" s="2">
        <f t="shared" si="13"/>
        <v>6.1355462976250011E-2</v>
      </c>
      <c r="AS8" s="3"/>
      <c r="AT8" s="3"/>
      <c r="AU8" s="2"/>
      <c r="AV8" s="3">
        <v>660.58</v>
      </c>
      <c r="AW8" s="3">
        <v>18.75</v>
      </c>
      <c r="AX8" s="2">
        <f t="shared" si="15"/>
        <v>0.14514697265625001</v>
      </c>
      <c r="AY8" s="3"/>
      <c r="AZ8" s="3"/>
      <c r="BA8" s="2"/>
      <c r="BB8" s="3"/>
      <c r="BC8" s="3"/>
      <c r="BD8" s="2"/>
      <c r="BE8" s="3"/>
      <c r="BF8" s="3"/>
      <c r="BG8" s="2"/>
      <c r="BH8" s="3"/>
      <c r="BI8" s="3"/>
      <c r="BJ8" s="2"/>
      <c r="BK8" s="3"/>
      <c r="BL8" s="3"/>
      <c r="BM8" s="2"/>
      <c r="BN8" s="3"/>
      <c r="BO8" s="3"/>
      <c r="BP8" s="2"/>
      <c r="BQ8" s="3">
        <v>345.71</v>
      </c>
      <c r="BR8" s="3">
        <v>12.55</v>
      </c>
      <c r="BS8" s="2">
        <f t="shared" si="22"/>
        <v>3.4031368296875003E-2</v>
      </c>
    </row>
    <row r="9" spans="1:71" x14ac:dyDescent="0.2">
      <c r="C9" s="3">
        <v>333.03</v>
      </c>
      <c r="D9" s="3">
        <v>15.19</v>
      </c>
      <c r="E9" s="2">
        <f t="shared" si="0"/>
        <v>4.8026277114374988E-2</v>
      </c>
      <c r="F9" s="3">
        <v>257.87</v>
      </c>
      <c r="G9" s="3">
        <v>13.57</v>
      </c>
      <c r="H9" s="2">
        <f t="shared" si="1"/>
        <v>2.9678403351875E-2</v>
      </c>
      <c r="I9" s="3">
        <v>647.80999999999995</v>
      </c>
      <c r="J9" s="3">
        <v>36.15</v>
      </c>
      <c r="K9" s="2">
        <f t="shared" si="2"/>
        <v>0.52910792732812495</v>
      </c>
      <c r="L9" s="3"/>
      <c r="M9" s="3"/>
      <c r="N9" s="2"/>
      <c r="O9" s="3"/>
      <c r="P9" s="3"/>
      <c r="Q9" s="2"/>
      <c r="R9" s="3">
        <v>292.74</v>
      </c>
      <c r="S9" s="3">
        <v>12.59</v>
      </c>
      <c r="T9" s="2">
        <f t="shared" si="5"/>
        <v>2.9001038246249999E-2</v>
      </c>
      <c r="U9" s="3">
        <v>534.01</v>
      </c>
      <c r="V9" s="3">
        <v>25.26</v>
      </c>
      <c r="W9" s="2">
        <f t="shared" si="6"/>
        <v>0.21295904942250002</v>
      </c>
      <c r="X9" s="3">
        <v>281.73</v>
      </c>
      <c r="Y9" s="3">
        <v>16.48</v>
      </c>
      <c r="Z9" s="2">
        <f t="shared" si="7"/>
        <v>4.7821977120000012E-2</v>
      </c>
      <c r="AA9" s="3">
        <v>557.29</v>
      </c>
      <c r="AB9" s="3">
        <v>27.8</v>
      </c>
      <c r="AC9" s="2">
        <f t="shared" si="8"/>
        <v>0.26918500224999997</v>
      </c>
      <c r="AD9" s="3">
        <v>450.03</v>
      </c>
      <c r="AE9" s="3">
        <v>15.99</v>
      </c>
      <c r="AF9" s="2">
        <f t="shared" si="9"/>
        <v>7.1914822126875E-2</v>
      </c>
      <c r="AG9" s="3">
        <v>553.05999999999995</v>
      </c>
      <c r="AH9" s="3">
        <v>25.18</v>
      </c>
      <c r="AI9" s="2">
        <f t="shared" si="10"/>
        <v>0.21916122446499997</v>
      </c>
      <c r="AJ9" s="3"/>
      <c r="AK9" s="3"/>
      <c r="AL9" s="2"/>
      <c r="AM9" s="3"/>
      <c r="AN9" s="3"/>
      <c r="AO9" s="2"/>
      <c r="AP9" s="3">
        <v>307.38</v>
      </c>
      <c r="AQ9" s="3">
        <v>13.01</v>
      </c>
      <c r="AR9" s="2">
        <f t="shared" si="13"/>
        <v>3.2516980961249997E-2</v>
      </c>
      <c r="AS9" s="3"/>
      <c r="AT9" s="3"/>
      <c r="AU9" s="2"/>
      <c r="AV9" s="3">
        <v>298.07</v>
      </c>
      <c r="AW9" s="3">
        <v>15.16</v>
      </c>
      <c r="AX9" s="2">
        <f t="shared" si="15"/>
        <v>4.2815072870000005E-2</v>
      </c>
      <c r="AY9" s="3"/>
      <c r="AZ9" s="3"/>
      <c r="BA9" s="2"/>
      <c r="BB9" s="3"/>
      <c r="BC9" s="3"/>
      <c r="BD9" s="2"/>
      <c r="BE9" s="3"/>
      <c r="BF9" s="3"/>
      <c r="BG9" s="2"/>
      <c r="BH9" s="3"/>
      <c r="BI9" s="3"/>
      <c r="BJ9" s="2"/>
      <c r="BK9" s="3"/>
      <c r="BL9" s="3"/>
      <c r="BM9" s="2"/>
      <c r="BN9" s="3"/>
      <c r="BO9" s="3"/>
      <c r="BP9" s="2"/>
      <c r="BQ9" s="3"/>
      <c r="BR9" s="3"/>
      <c r="BS9" s="2"/>
    </row>
    <row r="10" spans="1:71" x14ac:dyDescent="0.2">
      <c r="C10" s="3">
        <v>333.85</v>
      </c>
      <c r="D10" s="3">
        <v>17.09</v>
      </c>
      <c r="E10" s="2">
        <f t="shared" si="0"/>
        <v>6.0941834490625006E-2</v>
      </c>
      <c r="F10" s="3">
        <v>263.07</v>
      </c>
      <c r="G10" s="3">
        <v>17.03</v>
      </c>
      <c r="H10" s="2">
        <f t="shared" si="1"/>
        <v>4.7684873851875011E-2</v>
      </c>
      <c r="I10" s="3">
        <v>986.82</v>
      </c>
      <c r="J10" s="3">
        <v>29.98</v>
      </c>
      <c r="K10" s="2">
        <f t="shared" si="2"/>
        <v>0.55434638170500006</v>
      </c>
      <c r="L10" s="3"/>
      <c r="M10" s="3"/>
      <c r="N10" s="2"/>
      <c r="O10" s="3"/>
      <c r="P10" s="3"/>
      <c r="Q10" s="2"/>
      <c r="R10" s="3">
        <v>414.07</v>
      </c>
      <c r="S10" s="3">
        <v>14.72</v>
      </c>
      <c r="T10" s="2">
        <f t="shared" si="5"/>
        <v>5.6075015680000007E-2</v>
      </c>
      <c r="U10" s="3">
        <v>324.62</v>
      </c>
      <c r="V10" s="3">
        <v>16.89</v>
      </c>
      <c r="W10" s="2">
        <f t="shared" si="6"/>
        <v>5.7878143188750002E-2</v>
      </c>
      <c r="X10" s="3">
        <v>236.77</v>
      </c>
      <c r="Y10" s="3">
        <v>15.47</v>
      </c>
      <c r="Z10" s="2">
        <f t="shared" si="7"/>
        <v>3.5415005933125E-2</v>
      </c>
      <c r="AA10" s="3"/>
      <c r="AB10" s="3"/>
      <c r="AC10" s="2"/>
      <c r="AD10" s="3">
        <v>516.25</v>
      </c>
      <c r="AE10" s="3">
        <v>15.36</v>
      </c>
      <c r="AF10" s="2">
        <f t="shared" si="9"/>
        <v>7.6124159999999996E-2</v>
      </c>
      <c r="AG10" s="3">
        <v>313.91000000000003</v>
      </c>
      <c r="AH10" s="3">
        <v>17.57</v>
      </c>
      <c r="AI10" s="2">
        <f t="shared" si="10"/>
        <v>6.0565971974375007E-2</v>
      </c>
      <c r="AJ10" s="3"/>
      <c r="AK10" s="3"/>
      <c r="AL10" s="2"/>
      <c r="AM10" s="3"/>
      <c r="AN10" s="3"/>
      <c r="AO10" s="2"/>
      <c r="AP10" s="3">
        <v>312.17</v>
      </c>
      <c r="AQ10" s="3">
        <v>10.95</v>
      </c>
      <c r="AR10" s="2">
        <f t="shared" si="13"/>
        <v>2.3393727140625001E-2</v>
      </c>
      <c r="AS10" s="3"/>
      <c r="AT10" s="3"/>
      <c r="AU10" s="2"/>
      <c r="AV10" s="3">
        <v>320.32</v>
      </c>
      <c r="AW10" s="3">
        <v>16.46</v>
      </c>
      <c r="AX10" s="2">
        <f t="shared" si="15"/>
        <v>5.4240506320000006E-2</v>
      </c>
      <c r="AY10" s="3"/>
      <c r="AZ10" s="3"/>
      <c r="BA10" s="2"/>
      <c r="BB10" s="3"/>
      <c r="BC10" s="3"/>
      <c r="BD10" s="2"/>
      <c r="BE10" s="3"/>
      <c r="BF10" s="3"/>
      <c r="BG10" s="2"/>
      <c r="BH10" s="3"/>
      <c r="BI10" s="3"/>
      <c r="BJ10" s="2"/>
      <c r="BK10" s="3"/>
      <c r="BL10" s="3"/>
      <c r="BM10" s="2"/>
      <c r="BN10" s="3"/>
      <c r="BO10" s="3"/>
      <c r="BP10" s="2"/>
      <c r="BQ10" s="3"/>
      <c r="BR10" s="3"/>
      <c r="BS10" s="2"/>
    </row>
    <row r="11" spans="1:71" x14ac:dyDescent="0.2">
      <c r="C11" s="3">
        <v>575.36</v>
      </c>
      <c r="D11" s="3">
        <v>16.850000000000001</v>
      </c>
      <c r="E11" s="2">
        <f t="shared" si="0"/>
        <v>0.10209853100000002</v>
      </c>
      <c r="F11" s="3">
        <v>279.55</v>
      </c>
      <c r="G11" s="3">
        <v>17.86</v>
      </c>
      <c r="H11" s="2">
        <f t="shared" si="1"/>
        <v>5.5731716987499992E-2</v>
      </c>
      <c r="I11" s="3">
        <v>354.06</v>
      </c>
      <c r="J11" s="3">
        <v>13.21</v>
      </c>
      <c r="K11" s="2">
        <f t="shared" si="2"/>
        <v>3.8615576028750001E-2</v>
      </c>
      <c r="L11" s="3"/>
      <c r="M11" s="3"/>
      <c r="N11" s="2"/>
      <c r="O11" s="3"/>
      <c r="P11" s="3"/>
      <c r="Q11" s="2"/>
      <c r="R11" s="3">
        <v>525.66999999999996</v>
      </c>
      <c r="S11" s="3">
        <v>15.4</v>
      </c>
      <c r="T11" s="2">
        <f t="shared" si="5"/>
        <v>7.791743575E-2</v>
      </c>
      <c r="U11" s="3">
        <v>325.7</v>
      </c>
      <c r="V11" s="3">
        <v>13.03</v>
      </c>
      <c r="W11" s="2">
        <f t="shared" si="6"/>
        <v>3.4561024456249999E-2</v>
      </c>
      <c r="X11" s="3">
        <v>263.26</v>
      </c>
      <c r="Y11" s="3">
        <v>16.54</v>
      </c>
      <c r="Z11" s="2">
        <f t="shared" si="7"/>
        <v>4.5012787134999989E-2</v>
      </c>
      <c r="AA11" s="3"/>
      <c r="AB11" s="3"/>
      <c r="AC11" s="2"/>
      <c r="AD11" s="3">
        <v>306.87</v>
      </c>
      <c r="AE11" s="3">
        <v>14.57</v>
      </c>
      <c r="AF11" s="2">
        <f t="shared" si="9"/>
        <v>4.0714917039375007E-2</v>
      </c>
      <c r="AG11" s="3">
        <v>327.97</v>
      </c>
      <c r="AH11" s="3">
        <v>19.350000000000001</v>
      </c>
      <c r="AI11" s="2">
        <f t="shared" si="10"/>
        <v>7.6749592078125012E-2</v>
      </c>
      <c r="AJ11" s="3"/>
      <c r="AK11" s="3"/>
      <c r="AL11" s="2"/>
      <c r="AM11" s="3"/>
      <c r="AN11" s="3"/>
      <c r="AO11" s="2"/>
      <c r="AP11" s="3">
        <v>243.52</v>
      </c>
      <c r="AQ11" s="3">
        <v>9.34</v>
      </c>
      <c r="AR11" s="2">
        <f t="shared" si="13"/>
        <v>1.3277258319999999E-2</v>
      </c>
      <c r="AS11" s="3"/>
      <c r="AT11" s="3"/>
      <c r="AU11" s="2"/>
      <c r="AV11" s="3">
        <v>311.5</v>
      </c>
      <c r="AW11" s="3">
        <v>15.01</v>
      </c>
      <c r="AX11" s="2">
        <f t="shared" si="15"/>
        <v>4.3863113218749993E-2</v>
      </c>
      <c r="AY11" s="3"/>
      <c r="AZ11" s="3"/>
      <c r="BA11" s="2"/>
      <c r="BB11" s="3"/>
      <c r="BC11" s="3"/>
      <c r="BD11" s="2"/>
      <c r="BE11" s="3"/>
      <c r="BF11" s="3"/>
      <c r="BG11" s="2"/>
      <c r="BH11" s="3"/>
      <c r="BI11" s="3"/>
      <c r="BJ11" s="2"/>
      <c r="BK11" s="3"/>
      <c r="BL11" s="3"/>
      <c r="BM11" s="2"/>
      <c r="BN11" s="3"/>
      <c r="BO11" s="3"/>
      <c r="BP11" s="2"/>
      <c r="BQ11" s="3"/>
      <c r="BR11" s="3"/>
      <c r="BS11" s="2"/>
    </row>
    <row r="12" spans="1:71" x14ac:dyDescent="0.2">
      <c r="C12" s="3">
        <v>422.89</v>
      </c>
      <c r="D12" s="3">
        <v>15.65</v>
      </c>
      <c r="E12" s="2">
        <f t="shared" si="0"/>
        <v>6.4734547515625004E-2</v>
      </c>
      <c r="F12" s="3">
        <v>273.18</v>
      </c>
      <c r="G12" s="3">
        <v>17.48</v>
      </c>
      <c r="H12" s="2">
        <f t="shared" si="1"/>
        <v>5.2168911420000005E-2</v>
      </c>
      <c r="I12" s="3">
        <v>545.86</v>
      </c>
      <c r="J12" s="3">
        <v>18.170000000000002</v>
      </c>
      <c r="K12" s="2">
        <f t="shared" si="2"/>
        <v>0.11263442409625005</v>
      </c>
      <c r="L12" s="3"/>
      <c r="M12" s="3"/>
      <c r="N12" s="2"/>
      <c r="O12" s="3"/>
      <c r="P12" s="3"/>
      <c r="Q12" s="2"/>
      <c r="R12" s="3">
        <v>434.54</v>
      </c>
      <c r="S12" s="3">
        <v>16.11</v>
      </c>
      <c r="T12" s="2">
        <f t="shared" si="5"/>
        <v>7.0485674208750002E-2</v>
      </c>
      <c r="U12" s="3">
        <v>439.09</v>
      </c>
      <c r="V12" s="3">
        <v>22.25</v>
      </c>
      <c r="W12" s="2">
        <f t="shared" si="6"/>
        <v>0.13586062070312499</v>
      </c>
      <c r="X12" s="3">
        <v>299.77999999999997</v>
      </c>
      <c r="Y12" s="3">
        <v>17.3</v>
      </c>
      <c r="Z12" s="2">
        <f t="shared" si="7"/>
        <v>5.6075722624999998E-2</v>
      </c>
      <c r="AA12" s="3"/>
      <c r="AB12" s="3"/>
      <c r="AC12" s="2"/>
      <c r="AD12" s="3"/>
      <c r="AE12" s="3"/>
      <c r="AF12" s="2"/>
      <c r="AG12" s="3">
        <v>297.93</v>
      </c>
      <c r="AH12" s="3">
        <v>16.79</v>
      </c>
      <c r="AI12" s="2">
        <f t="shared" si="10"/>
        <v>5.2492305320625002E-2</v>
      </c>
      <c r="AJ12" s="3"/>
      <c r="AK12" s="3"/>
      <c r="AL12" s="2"/>
      <c r="AM12" s="3"/>
      <c r="AN12" s="3"/>
      <c r="AO12" s="2"/>
      <c r="AP12" s="3"/>
      <c r="AQ12" s="3"/>
      <c r="AR12" s="2"/>
      <c r="AS12" s="3"/>
      <c r="AT12" s="3"/>
      <c r="AU12" s="2"/>
      <c r="AV12" s="3">
        <v>712.79</v>
      </c>
      <c r="AW12" s="3">
        <v>38.090000000000003</v>
      </c>
      <c r="AX12" s="2">
        <f t="shared" si="15"/>
        <v>0.64634376074937505</v>
      </c>
      <c r="AY12" s="3"/>
      <c r="AZ12" s="3"/>
      <c r="BA12" s="2"/>
      <c r="BB12" s="3"/>
      <c r="BC12" s="3"/>
      <c r="BD12" s="2"/>
      <c r="BE12" s="3"/>
      <c r="BF12" s="3"/>
      <c r="BG12" s="2"/>
      <c r="BH12" s="3"/>
      <c r="BI12" s="3"/>
      <c r="BJ12" s="2"/>
      <c r="BK12" s="3"/>
      <c r="BL12" s="3"/>
      <c r="BM12" s="2"/>
      <c r="BN12" s="3"/>
      <c r="BO12" s="3"/>
      <c r="BP12" s="2"/>
      <c r="BQ12" s="3"/>
      <c r="BR12" s="3"/>
      <c r="BS12" s="2"/>
    </row>
    <row r="13" spans="1:71" x14ac:dyDescent="0.2">
      <c r="C13" s="3">
        <v>420.9</v>
      </c>
      <c r="D13" s="3">
        <v>15.19</v>
      </c>
      <c r="E13" s="2">
        <f t="shared" si="0"/>
        <v>6.0698015306249992E-2</v>
      </c>
      <c r="F13" s="3">
        <v>273.18</v>
      </c>
      <c r="G13" s="3">
        <v>17.73</v>
      </c>
      <c r="H13" s="2">
        <f t="shared" si="1"/>
        <v>5.3671828263750006E-2</v>
      </c>
      <c r="I13" s="3">
        <v>344.76</v>
      </c>
      <c r="J13" s="3">
        <v>14.41</v>
      </c>
      <c r="K13" s="2">
        <f t="shared" si="2"/>
        <v>4.4742974347500006E-2</v>
      </c>
      <c r="L13" s="3"/>
      <c r="M13" s="3"/>
      <c r="N13" s="2"/>
      <c r="O13" s="3"/>
      <c r="P13" s="3"/>
      <c r="Q13" s="2"/>
      <c r="R13" s="3">
        <v>383.4</v>
      </c>
      <c r="S13" s="3">
        <v>11.12</v>
      </c>
      <c r="T13" s="2">
        <f t="shared" si="5"/>
        <v>2.9630685599999991E-2</v>
      </c>
      <c r="U13" s="3">
        <v>589.47</v>
      </c>
      <c r="V13" s="3">
        <v>18.03</v>
      </c>
      <c r="W13" s="2">
        <f t="shared" si="6"/>
        <v>0.11976589882687502</v>
      </c>
      <c r="X13" s="3">
        <v>285.68</v>
      </c>
      <c r="Y13" s="3">
        <v>17.440000000000001</v>
      </c>
      <c r="Z13" s="2">
        <f t="shared" si="7"/>
        <v>5.4306625280000007E-2</v>
      </c>
      <c r="AA13" s="3"/>
      <c r="AB13" s="3"/>
      <c r="AC13" s="2"/>
      <c r="AD13" s="3"/>
      <c r="AE13" s="3"/>
      <c r="AF13" s="2"/>
      <c r="AG13" s="3">
        <v>303.25</v>
      </c>
      <c r="AH13" s="3">
        <v>16.670000000000002</v>
      </c>
      <c r="AI13" s="2">
        <f t="shared" si="10"/>
        <v>5.2668630578125014E-2</v>
      </c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>
        <v>339.58</v>
      </c>
      <c r="AW13" s="3">
        <v>14.77</v>
      </c>
      <c r="AX13" s="2">
        <f t="shared" si="15"/>
        <v>4.6300226113749995E-2</v>
      </c>
      <c r="AY13" s="3"/>
      <c r="AZ13" s="3"/>
      <c r="BA13" s="2"/>
      <c r="BB13" s="3"/>
      <c r="BC13" s="3"/>
      <c r="BD13" s="2"/>
      <c r="BE13" s="3"/>
      <c r="BF13" s="3"/>
      <c r="BG13" s="2"/>
      <c r="BH13" s="3"/>
      <c r="BI13" s="3"/>
      <c r="BJ13" s="2"/>
      <c r="BK13" s="3"/>
      <c r="BL13" s="3"/>
      <c r="BM13" s="2"/>
      <c r="BN13" s="3"/>
      <c r="BO13" s="3"/>
      <c r="BP13" s="2"/>
      <c r="BQ13" s="3"/>
      <c r="BR13" s="3"/>
      <c r="BS13" s="2"/>
    </row>
    <row r="14" spans="1:71" x14ac:dyDescent="0.2">
      <c r="C14" s="3">
        <v>579.67999999999995</v>
      </c>
      <c r="D14" s="3">
        <v>16.579999999999998</v>
      </c>
      <c r="E14" s="2">
        <f t="shared" si="0"/>
        <v>9.959496571999997E-2</v>
      </c>
      <c r="F14" s="3">
        <v>378.98</v>
      </c>
      <c r="G14" s="3">
        <v>17.73</v>
      </c>
      <c r="H14" s="2">
        <f t="shared" si="1"/>
        <v>7.445841377625001E-2</v>
      </c>
      <c r="I14" s="3">
        <v>908.09</v>
      </c>
      <c r="J14" s="3">
        <v>29.14</v>
      </c>
      <c r="K14" s="2">
        <f t="shared" si="2"/>
        <v>0.48193448710250009</v>
      </c>
      <c r="L14" s="3"/>
      <c r="M14" s="3"/>
      <c r="N14" s="2"/>
      <c r="O14" s="3"/>
      <c r="P14" s="3"/>
      <c r="Q14" s="2"/>
      <c r="R14" s="3">
        <v>472.26</v>
      </c>
      <c r="S14" s="3">
        <v>15.13</v>
      </c>
      <c r="T14" s="2">
        <f t="shared" si="5"/>
        <v>6.7567684496250002E-2</v>
      </c>
      <c r="U14" s="3">
        <v>320.93</v>
      </c>
      <c r="V14" s="3">
        <v>15.93</v>
      </c>
      <c r="W14" s="2">
        <f t="shared" si="6"/>
        <v>5.0900480848124999E-2</v>
      </c>
      <c r="X14" s="3">
        <v>208.13</v>
      </c>
      <c r="Y14" s="3">
        <v>14.79</v>
      </c>
      <c r="Z14" s="2">
        <f t="shared" si="7"/>
        <v>2.8454505958124997E-2</v>
      </c>
      <c r="AA14" s="3"/>
      <c r="AB14" s="3"/>
      <c r="AC14" s="2"/>
      <c r="AD14" s="3"/>
      <c r="AE14" s="3"/>
      <c r="AF14" s="2"/>
      <c r="AG14" s="3">
        <v>309.66000000000003</v>
      </c>
      <c r="AH14" s="3">
        <v>17.7</v>
      </c>
      <c r="AI14" s="2">
        <f t="shared" si="10"/>
        <v>6.0633363374999999E-2</v>
      </c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>
        <v>320.89999999999998</v>
      </c>
      <c r="AW14" s="3">
        <v>16.23</v>
      </c>
      <c r="AX14" s="2">
        <f t="shared" si="15"/>
        <v>5.2830749756249996E-2</v>
      </c>
      <c r="AY14" s="3"/>
      <c r="AZ14" s="3"/>
      <c r="BA14" s="2"/>
      <c r="BB14" s="3"/>
      <c r="BC14" s="3"/>
      <c r="BD14" s="2"/>
      <c r="BE14" s="3"/>
      <c r="BF14" s="3"/>
      <c r="BG14" s="2"/>
      <c r="BH14" s="3"/>
      <c r="BI14" s="3"/>
      <c r="BJ14" s="2"/>
      <c r="BK14" s="3"/>
      <c r="BL14" s="3"/>
      <c r="BM14" s="2"/>
      <c r="BN14" s="3"/>
      <c r="BO14" s="3"/>
      <c r="BP14" s="2"/>
      <c r="BQ14" s="3"/>
      <c r="BR14" s="3"/>
      <c r="BS14" s="2"/>
    </row>
    <row r="15" spans="1:71" x14ac:dyDescent="0.2">
      <c r="C15" s="3">
        <v>322.52999999999997</v>
      </c>
      <c r="D15" s="3">
        <v>14.99</v>
      </c>
      <c r="E15" s="2">
        <f t="shared" si="0"/>
        <v>4.5295327033124992E-2</v>
      </c>
      <c r="F15" s="3">
        <v>467</v>
      </c>
      <c r="G15" s="3">
        <v>16</v>
      </c>
      <c r="H15" s="2">
        <f t="shared" si="1"/>
        <v>7.4719999999999995E-2</v>
      </c>
      <c r="I15" s="3">
        <v>456.75</v>
      </c>
      <c r="J15" s="3">
        <v>17.14</v>
      </c>
      <c r="K15" s="2">
        <f t="shared" si="2"/>
        <v>8.386489518750001E-2</v>
      </c>
      <c r="L15" s="3"/>
      <c r="M15" s="3"/>
      <c r="N15" s="2"/>
      <c r="O15" s="3"/>
      <c r="P15" s="3"/>
      <c r="Q15" s="2"/>
      <c r="R15" s="3">
        <v>217.5</v>
      </c>
      <c r="S15" s="3">
        <v>9.6999999999999993</v>
      </c>
      <c r="T15" s="2">
        <f t="shared" si="5"/>
        <v>1.2790359374999997E-2</v>
      </c>
      <c r="U15" s="3">
        <v>654.75</v>
      </c>
      <c r="V15" s="3">
        <v>22.19</v>
      </c>
      <c r="W15" s="2">
        <f t="shared" si="6"/>
        <v>0.20149771654687501</v>
      </c>
      <c r="X15" s="3"/>
      <c r="Y15" s="3"/>
      <c r="Z15" s="2"/>
      <c r="AA15" s="3"/>
      <c r="AB15" s="3"/>
      <c r="AC15" s="2"/>
      <c r="AD15" s="3"/>
      <c r="AE15" s="3"/>
      <c r="AF15" s="2"/>
      <c r="AG15" s="3">
        <v>15.833</v>
      </c>
      <c r="AH15" s="3">
        <v>12.03</v>
      </c>
      <c r="AI15" s="2">
        <f t="shared" si="10"/>
        <v>1.4321037560624998E-3</v>
      </c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>
        <v>317.43</v>
      </c>
      <c r="AW15" s="3">
        <v>14.35</v>
      </c>
      <c r="AX15" s="2">
        <f t="shared" si="15"/>
        <v>4.0853736984375E-2</v>
      </c>
      <c r="AY15" s="3"/>
      <c r="AZ15" s="3"/>
      <c r="BA15" s="2"/>
      <c r="BB15" s="3"/>
      <c r="BC15" s="3"/>
      <c r="BD15" s="2"/>
      <c r="BE15" s="3"/>
      <c r="BF15" s="3"/>
      <c r="BG15" s="2"/>
      <c r="BH15" s="3"/>
      <c r="BI15" s="3"/>
      <c r="BJ15" s="2"/>
      <c r="BK15" s="3"/>
      <c r="BL15" s="3"/>
      <c r="BM15" s="2"/>
      <c r="BN15" s="3"/>
      <c r="BO15" s="3"/>
      <c r="BP15" s="2"/>
      <c r="BQ15" s="3"/>
      <c r="BR15" s="3"/>
      <c r="BS15" s="2"/>
    </row>
    <row r="16" spans="1:71" x14ac:dyDescent="0.2">
      <c r="C16" s="3">
        <v>475.45</v>
      </c>
      <c r="D16" s="3">
        <v>14.01</v>
      </c>
      <c r="E16" s="2">
        <f t="shared" si="0"/>
        <v>5.8325858465624998E-2</v>
      </c>
      <c r="F16" s="3">
        <v>274.47000000000003</v>
      </c>
      <c r="G16" s="3">
        <v>19.34</v>
      </c>
      <c r="H16" s="2">
        <f t="shared" si="1"/>
        <v>6.4163469457500011E-2</v>
      </c>
      <c r="I16" s="3">
        <v>955.33</v>
      </c>
      <c r="J16" s="3">
        <v>28.54</v>
      </c>
      <c r="K16" s="2">
        <f t="shared" si="2"/>
        <v>0.4863415458925</v>
      </c>
      <c r="L16" s="3"/>
      <c r="M16" s="3"/>
      <c r="N16" s="2"/>
      <c r="O16" s="3"/>
      <c r="P16" s="3"/>
      <c r="Q16" s="2"/>
      <c r="R16" s="3">
        <v>514.98</v>
      </c>
      <c r="S16" s="3">
        <v>11.9</v>
      </c>
      <c r="T16" s="2">
        <f t="shared" si="5"/>
        <v>4.5578948625000004E-2</v>
      </c>
      <c r="U16" s="3">
        <v>418.21</v>
      </c>
      <c r="V16" s="3">
        <v>19.13</v>
      </c>
      <c r="W16" s="2">
        <f t="shared" si="6"/>
        <v>9.5654271968124982E-2</v>
      </c>
      <c r="X16" s="3"/>
      <c r="Y16" s="3"/>
      <c r="Z16" s="2"/>
      <c r="AA16" s="3"/>
      <c r="AB16" s="3"/>
      <c r="AC16" s="2"/>
      <c r="AD16" s="3"/>
      <c r="AE16" s="3"/>
      <c r="AF16" s="2"/>
      <c r="AG16" s="3">
        <v>330.9</v>
      </c>
      <c r="AH16" s="3">
        <v>16.59</v>
      </c>
      <c r="AI16" s="2">
        <f t="shared" si="10"/>
        <v>5.692061143124999E-2</v>
      </c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/>
      <c r="AW16" s="3"/>
      <c r="AX16" s="2"/>
      <c r="AY16" s="3"/>
      <c r="AZ16" s="3"/>
      <c r="BA16" s="2"/>
      <c r="BB16" s="3"/>
      <c r="BC16" s="3"/>
      <c r="BD16" s="2"/>
      <c r="BE16" s="3"/>
      <c r="BF16" s="3"/>
      <c r="BG16" s="2"/>
      <c r="BH16" s="3"/>
      <c r="BI16" s="3"/>
      <c r="BJ16" s="2"/>
      <c r="BK16" s="3"/>
      <c r="BL16" s="3"/>
      <c r="BM16" s="2"/>
      <c r="BN16" s="3"/>
      <c r="BO16" s="3"/>
      <c r="BP16" s="2"/>
      <c r="BQ16" s="3"/>
      <c r="BR16" s="3"/>
      <c r="BS16" s="2"/>
    </row>
    <row r="17" spans="3:71" x14ac:dyDescent="0.2">
      <c r="C17" s="3">
        <v>574.27</v>
      </c>
      <c r="D17" s="3">
        <v>19.95</v>
      </c>
      <c r="E17" s="2">
        <f t="shared" si="0"/>
        <v>0.142850559796875</v>
      </c>
      <c r="F17" s="3">
        <v>332.26</v>
      </c>
      <c r="G17" s="3">
        <v>14.56</v>
      </c>
      <c r="H17" s="2">
        <f t="shared" si="1"/>
        <v>4.4023120960000009E-2</v>
      </c>
      <c r="I17" s="3">
        <v>1007.65</v>
      </c>
      <c r="J17" s="3">
        <v>32.14</v>
      </c>
      <c r="K17" s="2">
        <f t="shared" si="2"/>
        <v>0.65055118371249998</v>
      </c>
      <c r="L17" s="3"/>
      <c r="M17" s="3"/>
      <c r="N17" s="2"/>
      <c r="O17" s="3"/>
      <c r="P17" s="3"/>
      <c r="Q17" s="2"/>
      <c r="R17" s="3">
        <v>398.02</v>
      </c>
      <c r="S17" s="3">
        <v>12.18</v>
      </c>
      <c r="T17" s="2">
        <f t="shared" si="5"/>
        <v>3.6904513904999998E-2</v>
      </c>
      <c r="U17" s="3">
        <v>335.88</v>
      </c>
      <c r="V17" s="3">
        <v>17.04</v>
      </c>
      <c r="W17" s="2">
        <f t="shared" si="6"/>
        <v>6.0954158879999998E-2</v>
      </c>
      <c r="X17" s="3"/>
      <c r="Y17" s="3"/>
      <c r="Z17" s="2"/>
      <c r="AA17" s="3"/>
      <c r="AB17" s="3"/>
      <c r="AC17" s="2"/>
      <c r="AD17" s="3"/>
      <c r="AE17" s="3"/>
      <c r="AF17" s="2"/>
      <c r="AG17" s="3">
        <v>284.77999999999997</v>
      </c>
      <c r="AH17" s="3">
        <v>14.22</v>
      </c>
      <c r="AI17" s="2">
        <f t="shared" si="10"/>
        <v>3.5990567594999995E-2</v>
      </c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/>
      <c r="AW17" s="3"/>
      <c r="AX17" s="2"/>
      <c r="AY17" s="3"/>
      <c r="AZ17" s="3"/>
      <c r="BA17" s="2"/>
      <c r="BB17" s="3"/>
      <c r="BC17" s="3"/>
      <c r="BD17" s="2"/>
      <c r="BE17" s="3"/>
      <c r="BF17" s="3"/>
      <c r="BG17" s="2"/>
      <c r="BH17" s="3"/>
      <c r="BI17" s="3"/>
      <c r="BJ17" s="2"/>
      <c r="BK17" s="3"/>
      <c r="BL17" s="3"/>
      <c r="BM17" s="2"/>
      <c r="BN17" s="3"/>
      <c r="BO17" s="3"/>
      <c r="BP17" s="2"/>
      <c r="BQ17" s="3"/>
      <c r="BR17" s="3"/>
      <c r="BS17" s="2"/>
    </row>
    <row r="18" spans="3:71" x14ac:dyDescent="0.2">
      <c r="C18" s="3">
        <v>530.62</v>
      </c>
      <c r="D18" s="3">
        <v>18.47</v>
      </c>
      <c r="E18" s="2">
        <f t="shared" si="0"/>
        <v>0.11313511522375</v>
      </c>
      <c r="F18" s="3">
        <v>209.65</v>
      </c>
      <c r="G18" s="3">
        <v>12.27</v>
      </c>
      <c r="H18" s="2">
        <f t="shared" si="1"/>
        <v>1.9727134678124997E-2</v>
      </c>
      <c r="I18" s="3">
        <v>754.95</v>
      </c>
      <c r="J18" s="3">
        <v>23.25</v>
      </c>
      <c r="K18" s="2">
        <f t="shared" si="2"/>
        <v>0.25506103710937506</v>
      </c>
      <c r="L18" s="3"/>
      <c r="M18" s="3"/>
      <c r="N18" s="2"/>
      <c r="O18" s="3"/>
      <c r="P18" s="3"/>
      <c r="Q18" s="2"/>
      <c r="R18" s="3">
        <v>322.63</v>
      </c>
      <c r="S18" s="3">
        <v>13.11</v>
      </c>
      <c r="T18" s="2">
        <f t="shared" si="5"/>
        <v>3.4656934764374994E-2</v>
      </c>
      <c r="U18" s="3">
        <v>463.62</v>
      </c>
      <c r="V18" s="3">
        <v>16.03</v>
      </c>
      <c r="W18" s="2">
        <f t="shared" si="6"/>
        <v>7.4457632786250019E-2</v>
      </c>
      <c r="X18" s="3"/>
      <c r="Y18" s="3"/>
      <c r="Z18" s="2"/>
      <c r="AA18" s="3"/>
      <c r="AB18" s="3"/>
      <c r="AC18" s="2"/>
      <c r="AD18" s="3"/>
      <c r="AE18" s="3"/>
      <c r="AF18" s="2"/>
      <c r="AG18" s="3">
        <v>283.18</v>
      </c>
      <c r="AH18" s="3">
        <v>14.04</v>
      </c>
      <c r="AI18" s="2">
        <f t="shared" si="10"/>
        <v>3.4888059179999993E-2</v>
      </c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/>
      <c r="AW18" s="3"/>
      <c r="AX18" s="2"/>
      <c r="AY18" s="3"/>
      <c r="AZ18" s="3"/>
      <c r="BA18" s="2"/>
      <c r="BB18" s="3"/>
      <c r="BC18" s="3"/>
      <c r="BD18" s="2"/>
      <c r="BE18" s="3"/>
      <c r="BF18" s="3"/>
      <c r="BG18" s="2"/>
      <c r="BH18" s="3"/>
      <c r="BI18" s="3"/>
      <c r="BJ18" s="2"/>
      <c r="BK18" s="3"/>
      <c r="BL18" s="3"/>
      <c r="BM18" s="2"/>
      <c r="BN18" s="3"/>
      <c r="BO18" s="3"/>
      <c r="BP18" s="2"/>
      <c r="BQ18" s="3"/>
      <c r="BR18" s="3"/>
      <c r="BS18" s="2"/>
    </row>
    <row r="19" spans="3:71" x14ac:dyDescent="0.2">
      <c r="C19" s="3">
        <v>623.75</v>
      </c>
      <c r="D19" s="3">
        <v>18.850000000000001</v>
      </c>
      <c r="E19" s="2">
        <f t="shared" si="0"/>
        <v>0.13852025585937502</v>
      </c>
      <c r="F19" s="3">
        <v>325.86</v>
      </c>
      <c r="G19" s="3">
        <v>20.2</v>
      </c>
      <c r="H19" s="2">
        <f t="shared" si="1"/>
        <v>8.310244650000001E-2</v>
      </c>
      <c r="I19" s="3">
        <v>972.11</v>
      </c>
      <c r="J19" s="3">
        <v>29.93</v>
      </c>
      <c r="K19" s="2">
        <f t="shared" si="2"/>
        <v>0.54426306333687502</v>
      </c>
      <c r="L19" s="3"/>
      <c r="M19" s="3"/>
      <c r="N19" s="2"/>
      <c r="O19" s="3"/>
      <c r="P19" s="3"/>
      <c r="Q19" s="2"/>
      <c r="R19" s="3">
        <v>414.21</v>
      </c>
      <c r="S19" s="3">
        <v>16.47</v>
      </c>
      <c r="T19" s="2">
        <f t="shared" si="5"/>
        <v>7.0224360868124988E-2</v>
      </c>
      <c r="U19" s="3">
        <v>442.98</v>
      </c>
      <c r="V19" s="3">
        <v>17.36</v>
      </c>
      <c r="W19" s="2">
        <f t="shared" si="6"/>
        <v>8.3437940880000006E-2</v>
      </c>
      <c r="X19" s="3"/>
      <c r="Y19" s="3"/>
      <c r="Z19" s="2"/>
      <c r="AA19" s="3"/>
      <c r="AB19" s="3"/>
      <c r="AC19" s="2"/>
      <c r="AD19" s="3"/>
      <c r="AE19" s="3"/>
      <c r="AF19" s="2"/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/>
      <c r="AW19" s="3"/>
      <c r="AX19" s="2"/>
      <c r="AY19" s="3"/>
      <c r="AZ19" s="3"/>
      <c r="BA19" s="2"/>
      <c r="BB19" s="3"/>
      <c r="BC19" s="3"/>
      <c r="BD19" s="2"/>
      <c r="BE19" s="3"/>
      <c r="BF19" s="3"/>
      <c r="BG19" s="2"/>
      <c r="BH19" s="3"/>
      <c r="BI19" s="3"/>
      <c r="BJ19" s="2"/>
      <c r="BK19" s="3"/>
      <c r="BL19" s="3"/>
      <c r="BM19" s="2"/>
      <c r="BN19" s="3"/>
      <c r="BO19" s="3"/>
      <c r="BP19" s="2"/>
      <c r="BQ19" s="3"/>
      <c r="BR19" s="3"/>
      <c r="BS19" s="2"/>
    </row>
    <row r="20" spans="3:71" x14ac:dyDescent="0.2">
      <c r="C20" s="3">
        <v>444.12</v>
      </c>
      <c r="D20" s="3">
        <v>15.55</v>
      </c>
      <c r="E20" s="2">
        <f t="shared" si="0"/>
        <v>6.7118328937500013E-2</v>
      </c>
      <c r="F20" s="3">
        <v>317.76</v>
      </c>
      <c r="G20" s="3">
        <v>17.5</v>
      </c>
      <c r="H20" s="2">
        <f t="shared" si="1"/>
        <v>6.082125E-2</v>
      </c>
      <c r="I20" s="3">
        <v>482.32</v>
      </c>
      <c r="J20" s="3">
        <v>15.81</v>
      </c>
      <c r="K20" s="2">
        <f t="shared" si="2"/>
        <v>7.5349266344999999E-2</v>
      </c>
      <c r="L20" s="3"/>
      <c r="M20" s="3"/>
      <c r="N20" s="2"/>
      <c r="O20" s="3"/>
      <c r="P20" s="3"/>
      <c r="Q20" s="2"/>
      <c r="R20" s="3">
        <v>347.38</v>
      </c>
      <c r="S20" s="3">
        <v>14.64</v>
      </c>
      <c r="T20" s="2">
        <f t="shared" si="5"/>
        <v>4.6533635280000006E-2</v>
      </c>
      <c r="U20" s="3">
        <v>515.28</v>
      </c>
      <c r="V20" s="3">
        <v>20.57</v>
      </c>
      <c r="W20" s="2">
        <f t="shared" si="6"/>
        <v>0.13626737404499997</v>
      </c>
      <c r="X20" s="3"/>
      <c r="Y20" s="3"/>
      <c r="Z20" s="2"/>
      <c r="AA20" s="3"/>
      <c r="AB20" s="3"/>
      <c r="AC20" s="2"/>
      <c r="AD20" s="3"/>
      <c r="AE20" s="3"/>
      <c r="AF20" s="2"/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  <c r="BE20" s="3"/>
      <c r="BF20" s="3"/>
      <c r="BG20" s="2"/>
      <c r="BH20" s="3"/>
      <c r="BI20" s="3"/>
      <c r="BJ20" s="2"/>
      <c r="BK20" s="3"/>
      <c r="BL20" s="3"/>
      <c r="BM20" s="2"/>
      <c r="BN20" s="3"/>
      <c r="BO20" s="3"/>
      <c r="BP20" s="2"/>
      <c r="BQ20" s="3"/>
      <c r="BR20" s="3"/>
      <c r="BS20" s="2"/>
    </row>
    <row r="21" spans="3:71" x14ac:dyDescent="0.2">
      <c r="C21" s="3">
        <f>932.37/2</f>
        <v>466.185</v>
      </c>
      <c r="D21" s="3">
        <f>33.57/2</f>
        <v>16.785</v>
      </c>
      <c r="E21" s="2">
        <f t="shared" si="0"/>
        <v>8.2088251282265629E-2</v>
      </c>
      <c r="F21" s="3">
        <v>271.77999999999997</v>
      </c>
      <c r="G21" s="3">
        <v>18.600000000000001</v>
      </c>
      <c r="H21" s="2">
        <f t="shared" si="1"/>
        <v>5.8765630500000006E-2</v>
      </c>
      <c r="I21" s="3"/>
      <c r="J21" s="3"/>
      <c r="K21" s="2"/>
      <c r="L21" s="3"/>
      <c r="M21" s="3"/>
      <c r="N21" s="2"/>
      <c r="O21" s="3"/>
      <c r="P21" s="3"/>
      <c r="Q21" s="2"/>
      <c r="R21" s="3">
        <v>364.82</v>
      </c>
      <c r="S21" s="3">
        <v>11.98</v>
      </c>
      <c r="T21" s="2">
        <f t="shared" si="5"/>
        <v>3.2724445205000001E-2</v>
      </c>
      <c r="U21" s="3">
        <v>363.2</v>
      </c>
      <c r="V21" s="3">
        <v>15.17</v>
      </c>
      <c r="W21" s="2">
        <f t="shared" si="6"/>
        <v>5.22392603E-2</v>
      </c>
      <c r="X21" s="3"/>
      <c r="Y21" s="3"/>
      <c r="Z21" s="2"/>
      <c r="AA21" s="3"/>
      <c r="AB21" s="3"/>
      <c r="AC21" s="2"/>
      <c r="AD21" s="3"/>
      <c r="AE21" s="3"/>
      <c r="AF21" s="2"/>
      <c r="AG21" s="3"/>
      <c r="AH21" s="3"/>
      <c r="AI21" s="2"/>
      <c r="AJ21" s="3"/>
      <c r="AK21" s="3"/>
      <c r="AL21" s="2"/>
      <c r="AM21" s="3"/>
      <c r="AN21" s="3"/>
      <c r="AO21" s="2"/>
      <c r="AP21" s="3"/>
      <c r="AQ21" s="3"/>
      <c r="AR21" s="2"/>
      <c r="AS21" s="3"/>
      <c r="AT21" s="3"/>
      <c r="AU21" s="2"/>
      <c r="AV21" s="3"/>
      <c r="AW21" s="3"/>
      <c r="AX21" s="2"/>
      <c r="AY21" s="3"/>
      <c r="AZ21" s="3"/>
      <c r="BA21" s="2"/>
      <c r="BB21" s="3"/>
      <c r="BC21" s="3"/>
      <c r="BD21" s="2"/>
      <c r="BE21" s="3"/>
      <c r="BF21" s="3"/>
      <c r="BG21" s="2"/>
      <c r="BH21" s="3"/>
      <c r="BI21" s="3"/>
      <c r="BJ21" s="2"/>
      <c r="BK21" s="3"/>
      <c r="BL21" s="3"/>
      <c r="BM21" s="2"/>
      <c r="BN21" s="3"/>
      <c r="BO21" s="3"/>
      <c r="BP21" s="2"/>
      <c r="BQ21" s="3"/>
      <c r="BR21" s="3"/>
      <c r="BS21" s="2"/>
    </row>
    <row r="22" spans="3:71" x14ac:dyDescent="0.2">
      <c r="C22" s="3">
        <v>570.55999999999995</v>
      </c>
      <c r="D22" s="3">
        <v>16.010000000000002</v>
      </c>
      <c r="E22" s="2">
        <f t="shared" si="0"/>
        <v>9.1403747660000007E-2</v>
      </c>
      <c r="F22" s="3">
        <v>268.95999999999998</v>
      </c>
      <c r="G22" s="3">
        <v>17.45</v>
      </c>
      <c r="H22" s="2">
        <f t="shared" si="1"/>
        <v>5.1186870249999995E-2</v>
      </c>
      <c r="I22" s="3"/>
      <c r="J22" s="3"/>
      <c r="K22" s="2"/>
      <c r="L22" s="3"/>
      <c r="M22" s="3"/>
      <c r="N22" s="2"/>
      <c r="O22" s="3"/>
      <c r="P22" s="3"/>
      <c r="Q22" s="2"/>
      <c r="R22" s="3">
        <v>359.96</v>
      </c>
      <c r="S22" s="3">
        <v>14</v>
      </c>
      <c r="T22" s="2">
        <f t="shared" si="5"/>
        <v>4.4095099999999991E-2</v>
      </c>
      <c r="U22" s="3">
        <v>509.58</v>
      </c>
      <c r="V22" s="3">
        <v>22.3</v>
      </c>
      <c r="W22" s="2">
        <f t="shared" si="6"/>
        <v>0.158380648875</v>
      </c>
      <c r="X22" s="3"/>
      <c r="Y22" s="3"/>
      <c r="Z22" s="2"/>
      <c r="AA22" s="3"/>
      <c r="AB22" s="3"/>
      <c r="AC22" s="2"/>
      <c r="AD22" s="3"/>
      <c r="AE22" s="3"/>
      <c r="AF22" s="2"/>
      <c r="AG22" s="3"/>
      <c r="AH22" s="3"/>
      <c r="AI22" s="2"/>
      <c r="AJ22" s="3"/>
      <c r="AK22" s="3"/>
      <c r="AL22" s="2"/>
      <c r="AM22" s="3"/>
      <c r="AN22" s="3"/>
      <c r="AO22" s="2"/>
      <c r="AP22" s="3"/>
      <c r="AQ22" s="3"/>
      <c r="AR22" s="2"/>
      <c r="AS22" s="3"/>
      <c r="AT22" s="3"/>
      <c r="AU22" s="2"/>
      <c r="AV22" s="3"/>
      <c r="AW22" s="3"/>
      <c r="AX22" s="2"/>
      <c r="AY22" s="3"/>
      <c r="AZ22" s="3"/>
      <c r="BA22" s="2"/>
      <c r="BB22" s="3"/>
      <c r="BC22" s="3"/>
      <c r="BD22" s="2"/>
      <c r="BE22" s="3"/>
      <c r="BF22" s="3"/>
      <c r="BG22" s="2"/>
      <c r="BH22" s="3"/>
      <c r="BI22" s="3"/>
      <c r="BJ22" s="2"/>
      <c r="BK22" s="3"/>
      <c r="BL22" s="3"/>
      <c r="BM22" s="2"/>
      <c r="BN22" s="3"/>
      <c r="BO22" s="3"/>
      <c r="BP22" s="2"/>
      <c r="BQ22" s="3"/>
      <c r="BR22" s="3"/>
      <c r="BS22" s="2"/>
    </row>
    <row r="23" spans="3:71" x14ac:dyDescent="0.2">
      <c r="C23" s="3">
        <v>467.11</v>
      </c>
      <c r="D23" s="3">
        <v>16.899999999999999</v>
      </c>
      <c r="E23" s="2">
        <f t="shared" si="0"/>
        <v>8.3382054437499992E-2</v>
      </c>
      <c r="F23" s="3">
        <v>263.18</v>
      </c>
      <c r="G23" s="3">
        <v>14.33</v>
      </c>
      <c r="H23" s="2">
        <f t="shared" si="1"/>
        <v>3.3777327188749998E-2</v>
      </c>
      <c r="I23" s="3"/>
      <c r="J23" s="3"/>
      <c r="K23" s="2"/>
      <c r="L23" s="3"/>
      <c r="M23" s="3"/>
      <c r="N23" s="2"/>
      <c r="O23" s="3"/>
      <c r="P23" s="3"/>
      <c r="Q23" s="2"/>
      <c r="R23" s="3">
        <v>405.83</v>
      </c>
      <c r="S23" s="3">
        <v>14.81</v>
      </c>
      <c r="T23" s="2">
        <f t="shared" si="5"/>
        <v>5.5633230914375005E-2</v>
      </c>
      <c r="U23" s="3">
        <v>294.25</v>
      </c>
      <c r="V23" s="3">
        <v>15.98</v>
      </c>
      <c r="W23" s="2">
        <f t="shared" si="6"/>
        <v>4.69623735625E-2</v>
      </c>
      <c r="X23" s="3"/>
      <c r="Y23" s="3"/>
      <c r="Z23" s="2"/>
      <c r="AA23" s="3"/>
      <c r="AB23" s="3"/>
      <c r="AC23" s="2"/>
      <c r="AD23" s="3"/>
      <c r="AE23" s="3"/>
      <c r="AF23" s="2"/>
      <c r="AG23" s="3"/>
      <c r="AH23" s="3"/>
      <c r="AI23" s="2"/>
      <c r="AJ23" s="3"/>
      <c r="AK23" s="3"/>
      <c r="AL23" s="2"/>
      <c r="AM23" s="3"/>
      <c r="AN23" s="3"/>
      <c r="AO23" s="2"/>
      <c r="AP23" s="3"/>
      <c r="AQ23" s="3"/>
      <c r="AR23" s="2"/>
      <c r="AS23" s="3"/>
      <c r="AT23" s="3"/>
      <c r="AU23" s="2"/>
      <c r="AV23" s="3"/>
      <c r="AW23" s="3"/>
      <c r="AX23" s="2"/>
      <c r="AY23" s="3"/>
      <c r="AZ23" s="3"/>
      <c r="BA23" s="2"/>
      <c r="BB23" s="3"/>
      <c r="BC23" s="3"/>
      <c r="BD23" s="2"/>
      <c r="BE23" s="3"/>
      <c r="BF23" s="3"/>
      <c r="BG23" s="2"/>
      <c r="BH23" s="3"/>
      <c r="BI23" s="3"/>
      <c r="BJ23" s="2"/>
      <c r="BK23" s="3"/>
      <c r="BL23" s="3"/>
      <c r="BM23" s="2"/>
      <c r="BN23" s="3"/>
      <c r="BO23" s="3"/>
      <c r="BP23" s="2"/>
      <c r="BQ23" s="3"/>
      <c r="BR23" s="3"/>
      <c r="BS23" s="2"/>
    </row>
    <row r="24" spans="3:71" x14ac:dyDescent="0.2">
      <c r="C24" s="3">
        <v>593.09</v>
      </c>
      <c r="D24" s="3">
        <v>17.71</v>
      </c>
      <c r="E24" s="2">
        <f t="shared" si="0"/>
        <v>0.11626198704312501</v>
      </c>
      <c r="F24" s="3">
        <v>334.55</v>
      </c>
      <c r="G24" s="3">
        <v>18.3</v>
      </c>
      <c r="H24" s="2">
        <f t="shared" si="1"/>
        <v>7.0023405937500005E-2</v>
      </c>
      <c r="I24" s="3"/>
      <c r="J24" s="3"/>
      <c r="K24" s="2"/>
      <c r="L24" s="3"/>
      <c r="M24" s="3"/>
      <c r="N24" s="2"/>
      <c r="O24" s="3"/>
      <c r="P24" s="3"/>
      <c r="Q24" s="2"/>
      <c r="R24" s="3">
        <v>402.53</v>
      </c>
      <c r="S24" s="3">
        <v>14.71</v>
      </c>
      <c r="T24" s="2">
        <f t="shared" si="5"/>
        <v>5.4438182358125004E-2</v>
      </c>
      <c r="U24" s="3">
        <v>413.12</v>
      </c>
      <c r="V24" s="3">
        <v>15.5</v>
      </c>
      <c r="W24" s="2">
        <f t="shared" si="6"/>
        <v>6.2032549999999999E-2</v>
      </c>
      <c r="X24" s="3"/>
      <c r="Y24" s="3"/>
      <c r="Z24" s="2"/>
      <c r="AA24" s="3"/>
      <c r="AB24" s="3"/>
      <c r="AC24" s="2"/>
      <c r="AD24" s="3"/>
      <c r="AE24" s="3"/>
      <c r="AF24" s="2"/>
      <c r="AG24" s="3"/>
      <c r="AH24" s="3"/>
      <c r="AI24" s="2"/>
      <c r="AJ24" s="3"/>
      <c r="AK24" s="3"/>
      <c r="AL24" s="2"/>
      <c r="AM24" s="3"/>
      <c r="AN24" s="3"/>
      <c r="AO24" s="2"/>
      <c r="AP24" s="3"/>
      <c r="AQ24" s="3"/>
      <c r="AR24" s="2"/>
      <c r="AS24" s="3"/>
      <c r="AT24" s="3"/>
      <c r="AU24" s="2"/>
      <c r="AV24" s="3"/>
      <c r="AW24" s="3"/>
      <c r="AX24" s="2"/>
      <c r="AY24" s="3"/>
      <c r="AZ24" s="3"/>
      <c r="BA24" s="2"/>
      <c r="BB24" s="3"/>
      <c r="BC24" s="3"/>
      <c r="BD24" s="2"/>
      <c r="BE24" s="3"/>
      <c r="BF24" s="3"/>
      <c r="BG24" s="2"/>
      <c r="BH24" s="3"/>
      <c r="BI24" s="3"/>
      <c r="BJ24" s="2"/>
      <c r="BK24" s="3"/>
      <c r="BL24" s="3"/>
      <c r="BM24" s="2"/>
      <c r="BN24" s="3"/>
      <c r="BO24" s="3"/>
      <c r="BP24" s="2"/>
      <c r="BQ24" s="3"/>
      <c r="BR24" s="3"/>
      <c r="BS24" s="2"/>
    </row>
    <row r="25" spans="3:71" x14ac:dyDescent="0.2">
      <c r="C25" s="3">
        <v>693.93</v>
      </c>
      <c r="D25" s="3">
        <v>20.7</v>
      </c>
      <c r="E25" s="2">
        <f t="shared" si="0"/>
        <v>0.18583879106249998</v>
      </c>
      <c r="F25" s="3">
        <v>337.61</v>
      </c>
      <c r="G25" s="3">
        <v>18.21</v>
      </c>
      <c r="H25" s="2">
        <f t="shared" si="1"/>
        <v>6.9970537625625009E-2</v>
      </c>
      <c r="I25" s="3"/>
      <c r="J25" s="3"/>
      <c r="K25" s="2"/>
      <c r="L25" s="3"/>
      <c r="M25" s="3"/>
      <c r="N25" s="2"/>
      <c r="O25" s="3"/>
      <c r="P25" s="3"/>
      <c r="Q25" s="2"/>
      <c r="R25" s="3"/>
      <c r="S25" s="3"/>
      <c r="T25" s="2"/>
      <c r="U25" s="3">
        <v>293.64</v>
      </c>
      <c r="V25" s="3">
        <v>16.21</v>
      </c>
      <c r="W25" s="2">
        <f t="shared" si="6"/>
        <v>4.822378145250001E-2</v>
      </c>
      <c r="X25" s="3"/>
      <c r="Y25" s="3"/>
      <c r="Z25" s="2"/>
      <c r="AA25" s="3"/>
      <c r="AB25" s="3"/>
      <c r="AC25" s="2"/>
      <c r="AD25" s="3"/>
      <c r="AE25" s="3"/>
      <c r="AF25" s="2"/>
      <c r="AG25" s="3"/>
      <c r="AH25" s="3"/>
      <c r="AI25" s="2"/>
      <c r="AJ25" s="3"/>
      <c r="AK25" s="3"/>
      <c r="AL25" s="2"/>
      <c r="AM25" s="3"/>
      <c r="AN25" s="3"/>
      <c r="AO25" s="2"/>
      <c r="AP25" s="3"/>
      <c r="AQ25" s="3"/>
      <c r="AR25" s="2"/>
      <c r="AS25" s="3"/>
      <c r="AT25" s="3"/>
      <c r="AU25" s="2"/>
      <c r="AV25" s="3"/>
      <c r="AW25" s="3"/>
      <c r="AX25" s="2"/>
      <c r="AY25" s="3"/>
      <c r="AZ25" s="3"/>
      <c r="BA25" s="2"/>
      <c r="BB25" s="3"/>
      <c r="BC25" s="3"/>
      <c r="BD25" s="2"/>
      <c r="BE25" s="3"/>
      <c r="BF25" s="3"/>
      <c r="BG25" s="2"/>
      <c r="BH25" s="3"/>
      <c r="BI25" s="3"/>
      <c r="BJ25" s="2"/>
      <c r="BK25" s="3"/>
      <c r="BL25" s="3"/>
      <c r="BM25" s="2"/>
      <c r="BN25" s="3"/>
      <c r="BO25" s="3"/>
      <c r="BP25" s="2"/>
      <c r="BQ25" s="3"/>
      <c r="BR25" s="3"/>
      <c r="BS25" s="2"/>
    </row>
    <row r="26" spans="3:71" x14ac:dyDescent="0.2">
      <c r="C26" s="3">
        <v>637.96</v>
      </c>
      <c r="D26" s="3">
        <v>24.27</v>
      </c>
      <c r="E26" s="2">
        <f t="shared" si="0"/>
        <v>0.2348621430525</v>
      </c>
      <c r="F26" s="3">
        <v>348.69</v>
      </c>
      <c r="G26" s="3">
        <v>21.92</v>
      </c>
      <c r="H26" s="2">
        <f t="shared" si="1"/>
        <v>0.10471300176000001</v>
      </c>
      <c r="I26" s="3"/>
      <c r="J26" s="3"/>
      <c r="K26" s="2"/>
      <c r="L26" s="3"/>
      <c r="M26" s="3"/>
      <c r="N26" s="2"/>
      <c r="O26" s="3"/>
      <c r="P26" s="3"/>
      <c r="Q26" s="2"/>
      <c r="R26" s="3"/>
      <c r="S26" s="3"/>
      <c r="T26" s="2"/>
      <c r="U26" s="3">
        <v>439.4</v>
      </c>
      <c r="V26" s="3">
        <v>22.42</v>
      </c>
      <c r="W26" s="2">
        <f t="shared" si="6"/>
        <v>0.13804201385000001</v>
      </c>
      <c r="X26" s="3"/>
      <c r="Y26" s="3"/>
      <c r="Z26" s="2"/>
      <c r="AA26" s="3"/>
      <c r="AB26" s="3"/>
      <c r="AC26" s="2"/>
      <c r="AD26" s="3"/>
      <c r="AE26" s="3"/>
      <c r="AF26" s="2"/>
      <c r="AG26" s="3"/>
      <c r="AH26" s="3"/>
      <c r="AI26" s="2"/>
      <c r="AJ26" s="3"/>
      <c r="AK26" s="3"/>
      <c r="AL26" s="2"/>
      <c r="AM26" s="3"/>
      <c r="AN26" s="3"/>
      <c r="AO26" s="2"/>
      <c r="AP26" s="3"/>
      <c r="AQ26" s="3"/>
      <c r="AR26" s="2"/>
      <c r="AS26" s="3"/>
      <c r="AT26" s="3"/>
      <c r="AU26" s="2"/>
      <c r="AV26" s="3"/>
      <c r="AW26" s="3"/>
      <c r="AX26" s="2"/>
      <c r="AY26" s="3"/>
      <c r="AZ26" s="3"/>
      <c r="BA26" s="2"/>
      <c r="BB26" s="3"/>
      <c r="BC26" s="3"/>
      <c r="BD26" s="2"/>
      <c r="BE26" s="3"/>
      <c r="BF26" s="3"/>
      <c r="BG26" s="2"/>
      <c r="BH26" s="3"/>
      <c r="BI26" s="3"/>
      <c r="BJ26" s="2"/>
      <c r="BK26" s="3"/>
      <c r="BL26" s="3"/>
      <c r="BM26" s="2"/>
      <c r="BN26" s="3"/>
      <c r="BO26" s="3"/>
      <c r="BP26" s="2"/>
      <c r="BQ26" s="3"/>
      <c r="BR26" s="3"/>
      <c r="BS26" s="2"/>
    </row>
    <row r="27" spans="3:71" x14ac:dyDescent="0.2">
      <c r="C27" s="3">
        <v>576.92999999999995</v>
      </c>
      <c r="D27" s="3">
        <v>21.89</v>
      </c>
      <c r="E27" s="2">
        <f t="shared" si="0"/>
        <v>0.172780474783125</v>
      </c>
      <c r="F27" s="3">
        <v>383.99</v>
      </c>
      <c r="G27" s="3">
        <v>19.78</v>
      </c>
      <c r="H27" s="2">
        <f t="shared" si="1"/>
        <v>9.3897170697500004E-2</v>
      </c>
      <c r="I27" s="3"/>
      <c r="J27" s="3"/>
      <c r="K27" s="2"/>
      <c r="L27" s="3"/>
      <c r="M27" s="3"/>
      <c r="N27" s="2"/>
      <c r="O27" s="3"/>
      <c r="P27" s="3"/>
      <c r="Q27" s="2"/>
      <c r="R27" s="3"/>
      <c r="S27" s="3"/>
      <c r="T27" s="2"/>
      <c r="U27" s="3">
        <v>435.94</v>
      </c>
      <c r="V27" s="3">
        <v>16.809999999999999</v>
      </c>
      <c r="W27" s="2">
        <f t="shared" si="6"/>
        <v>7.6991390646249991E-2</v>
      </c>
      <c r="X27" s="3"/>
      <c r="Y27" s="3"/>
      <c r="Z27" s="2"/>
      <c r="AA27" s="3"/>
      <c r="AB27" s="3"/>
      <c r="AC27" s="2"/>
      <c r="AD27" s="3"/>
      <c r="AE27" s="3"/>
      <c r="AF27" s="2"/>
      <c r="AG27" s="3"/>
      <c r="AH27" s="3"/>
      <c r="AI27" s="2"/>
      <c r="AJ27" s="3"/>
      <c r="AK27" s="3"/>
      <c r="AL27" s="2"/>
      <c r="AM27" s="3"/>
      <c r="AN27" s="3"/>
      <c r="AO27" s="2"/>
      <c r="AP27" s="3"/>
      <c r="AQ27" s="3"/>
      <c r="AR27" s="2"/>
      <c r="AS27" s="3"/>
      <c r="AT27" s="3"/>
      <c r="AU27" s="2"/>
      <c r="AV27" s="3"/>
      <c r="AW27" s="3"/>
      <c r="AX27" s="2"/>
      <c r="AY27" s="3"/>
      <c r="AZ27" s="3"/>
      <c r="BA27" s="2"/>
      <c r="BB27" s="3"/>
      <c r="BC27" s="3"/>
      <c r="BD27" s="2"/>
      <c r="BE27" s="3"/>
      <c r="BF27" s="3"/>
      <c r="BG27" s="2"/>
      <c r="BH27" s="3"/>
      <c r="BI27" s="3"/>
      <c r="BJ27" s="2"/>
      <c r="BK27" s="3"/>
      <c r="BL27" s="3"/>
      <c r="BM27" s="2"/>
      <c r="BN27" s="3"/>
      <c r="BO27" s="3"/>
      <c r="BP27" s="2"/>
      <c r="BQ27" s="3"/>
      <c r="BR27" s="3"/>
      <c r="BS27" s="2"/>
    </row>
    <row r="28" spans="3:71" x14ac:dyDescent="0.2">
      <c r="C28" s="3">
        <v>782.48</v>
      </c>
      <c r="D28" s="3">
        <v>28.34</v>
      </c>
      <c r="E28" s="2">
        <f t="shared" si="0"/>
        <v>0.39278324617999999</v>
      </c>
      <c r="F28" s="3">
        <v>425.09</v>
      </c>
      <c r="G28" s="3">
        <v>20.91</v>
      </c>
      <c r="H28" s="2">
        <f t="shared" si="1"/>
        <v>0.11616330814312502</v>
      </c>
      <c r="I28" s="3"/>
      <c r="J28" s="3"/>
      <c r="K28" s="2"/>
      <c r="L28" s="3"/>
      <c r="M28" s="3"/>
      <c r="N28" s="2"/>
      <c r="O28" s="3"/>
      <c r="P28" s="3"/>
      <c r="Q28" s="2"/>
      <c r="R28" s="3"/>
      <c r="S28" s="3"/>
      <c r="T28" s="2"/>
      <c r="U28" s="3">
        <v>211.53</v>
      </c>
      <c r="V28" s="3">
        <v>12.63</v>
      </c>
      <c r="W28" s="2">
        <f t="shared" si="6"/>
        <v>2.1089131160625003E-2</v>
      </c>
      <c r="X28" s="3"/>
      <c r="Y28" s="3"/>
      <c r="Z28" s="2"/>
      <c r="AA28" s="3"/>
      <c r="AB28" s="3"/>
      <c r="AC28" s="2"/>
      <c r="AD28" s="3"/>
      <c r="AE28" s="3"/>
      <c r="AF28" s="2"/>
      <c r="AG28" s="3"/>
      <c r="AH28" s="3"/>
      <c r="AI28" s="2"/>
      <c r="AJ28" s="3"/>
      <c r="AK28" s="3"/>
      <c r="AL28" s="2"/>
      <c r="AM28" s="3"/>
      <c r="AN28" s="3"/>
      <c r="AO28" s="2"/>
      <c r="AP28" s="3"/>
      <c r="AQ28" s="3"/>
      <c r="AR28" s="2"/>
      <c r="AS28" s="3"/>
      <c r="AT28" s="3"/>
      <c r="AU28" s="2"/>
      <c r="AV28" s="3"/>
      <c r="AW28" s="3"/>
      <c r="AX28" s="2"/>
      <c r="AY28" s="3"/>
      <c r="AZ28" s="3"/>
      <c r="BA28" s="2"/>
      <c r="BB28" s="3"/>
      <c r="BC28" s="3"/>
      <c r="BD28" s="2"/>
      <c r="BE28" s="3"/>
      <c r="BF28" s="3"/>
      <c r="BG28" s="2"/>
      <c r="BH28" s="3"/>
      <c r="BI28" s="3"/>
      <c r="BJ28" s="2"/>
      <c r="BK28" s="3"/>
      <c r="BL28" s="3"/>
      <c r="BM28" s="2"/>
      <c r="BN28" s="3"/>
      <c r="BO28" s="3"/>
      <c r="BP28" s="2"/>
      <c r="BQ28" s="3"/>
      <c r="BR28" s="3"/>
      <c r="BS28" s="2"/>
    </row>
    <row r="29" spans="3:71" x14ac:dyDescent="0.2">
      <c r="C29" s="3">
        <v>354.07</v>
      </c>
      <c r="D29" s="3">
        <v>10.06</v>
      </c>
      <c r="E29" s="2">
        <f t="shared" si="0"/>
        <v>2.2395724157499998E-2</v>
      </c>
      <c r="F29" s="3">
        <v>190.73</v>
      </c>
      <c r="G29" s="3">
        <v>13.9</v>
      </c>
      <c r="H29" s="2">
        <f t="shared" si="1"/>
        <v>2.30318395625E-2</v>
      </c>
      <c r="I29" s="3"/>
      <c r="J29" s="3"/>
      <c r="K29" s="2"/>
      <c r="L29" s="3"/>
      <c r="M29" s="3"/>
      <c r="N29" s="2"/>
      <c r="O29" s="3"/>
      <c r="P29" s="3"/>
      <c r="Q29" s="2"/>
      <c r="R29" s="3"/>
      <c r="S29" s="3"/>
      <c r="T29" s="2"/>
      <c r="U29" s="3">
        <v>390.88</v>
      </c>
      <c r="V29" s="3">
        <v>19.079999999999998</v>
      </c>
      <c r="W29" s="2">
        <f t="shared" si="6"/>
        <v>8.8936535519999985E-2</v>
      </c>
      <c r="X29" s="3"/>
      <c r="Y29" s="3"/>
      <c r="Z29" s="2"/>
      <c r="AA29" s="3"/>
      <c r="AB29" s="3"/>
      <c r="AC29" s="2"/>
      <c r="AD29" s="3"/>
      <c r="AE29" s="3"/>
      <c r="AF29" s="2"/>
      <c r="AG29" s="3"/>
      <c r="AH29" s="3"/>
      <c r="AI29" s="2"/>
      <c r="AJ29" s="3"/>
      <c r="AK29" s="3"/>
      <c r="AL29" s="2"/>
      <c r="AM29" s="3"/>
      <c r="AN29" s="3"/>
      <c r="AO29" s="2"/>
      <c r="AP29" s="3"/>
      <c r="AQ29" s="3"/>
      <c r="AR29" s="2"/>
      <c r="AS29" s="3"/>
      <c r="AT29" s="3"/>
      <c r="AU29" s="2"/>
      <c r="AV29" s="3"/>
      <c r="AW29" s="3"/>
      <c r="AX29" s="2"/>
      <c r="AY29" s="3"/>
      <c r="AZ29" s="3"/>
      <c r="BA29" s="2"/>
      <c r="BB29" s="3"/>
      <c r="BC29" s="3"/>
      <c r="BD29" s="2"/>
      <c r="BE29" s="3"/>
      <c r="BF29" s="3"/>
      <c r="BG29" s="2"/>
      <c r="BH29" s="3"/>
      <c r="BI29" s="3"/>
      <c r="BJ29" s="2"/>
      <c r="BK29" s="3"/>
      <c r="BL29" s="3"/>
      <c r="BM29" s="2"/>
      <c r="BN29" s="3"/>
      <c r="BO29" s="3"/>
      <c r="BP29" s="2"/>
      <c r="BQ29" s="3"/>
      <c r="BR29" s="3"/>
      <c r="BS29" s="2"/>
    </row>
    <row r="30" spans="3:71" x14ac:dyDescent="0.2">
      <c r="C30" s="3">
        <v>561.27</v>
      </c>
      <c r="D30" s="3">
        <v>18.53</v>
      </c>
      <c r="E30" s="2">
        <f t="shared" si="0"/>
        <v>0.12044885771437501</v>
      </c>
      <c r="F30" s="3">
        <v>356.95</v>
      </c>
      <c r="G30" s="3">
        <v>20.65</v>
      </c>
      <c r="H30" s="2">
        <f t="shared" si="1"/>
        <v>9.5132194609374984E-2</v>
      </c>
      <c r="I30" s="3"/>
      <c r="J30" s="3"/>
      <c r="K30" s="2"/>
      <c r="L30" s="3"/>
      <c r="M30" s="3"/>
      <c r="N30" s="2"/>
      <c r="O30" s="3"/>
      <c r="P30" s="3"/>
      <c r="Q30" s="2"/>
      <c r="R30" s="3"/>
      <c r="S30" s="3"/>
      <c r="T30" s="2"/>
      <c r="U30" s="3">
        <v>524.04999999999995</v>
      </c>
      <c r="V30" s="3">
        <v>15.99</v>
      </c>
      <c r="W30" s="2">
        <f t="shared" si="6"/>
        <v>8.3743222753124985E-2</v>
      </c>
      <c r="X30" s="3"/>
      <c r="Y30" s="3"/>
      <c r="Z30" s="2"/>
      <c r="AA30" s="3"/>
      <c r="AB30" s="3"/>
      <c r="AC30" s="2"/>
      <c r="AD30" s="3"/>
      <c r="AE30" s="3"/>
      <c r="AF30" s="2"/>
      <c r="AG30" s="3"/>
      <c r="AH30" s="3"/>
      <c r="AI30" s="2"/>
      <c r="AJ30" s="3"/>
      <c r="AK30" s="3"/>
      <c r="AL30" s="2"/>
      <c r="AM30" s="3"/>
      <c r="AN30" s="3"/>
      <c r="AO30" s="2"/>
      <c r="AP30" s="3"/>
      <c r="AQ30" s="3"/>
      <c r="AR30" s="2"/>
      <c r="AS30" s="3"/>
      <c r="AT30" s="3"/>
      <c r="AU30" s="2"/>
      <c r="AV30" s="3"/>
      <c r="AW30" s="3"/>
      <c r="AX30" s="2"/>
      <c r="AY30" s="3"/>
      <c r="AZ30" s="3"/>
      <c r="BA30" s="2"/>
      <c r="BB30" s="3"/>
      <c r="BC30" s="3"/>
      <c r="BD30" s="2"/>
      <c r="BE30" s="3"/>
      <c r="BF30" s="3"/>
      <c r="BG30" s="2"/>
      <c r="BH30" s="3"/>
      <c r="BI30" s="3"/>
      <c r="BJ30" s="2"/>
      <c r="BK30" s="3"/>
      <c r="BL30" s="3"/>
      <c r="BM30" s="2"/>
      <c r="BN30" s="3"/>
      <c r="BO30" s="3"/>
      <c r="BP30" s="2"/>
      <c r="BQ30" s="3"/>
      <c r="BR30" s="3"/>
      <c r="BS30" s="2"/>
    </row>
    <row r="31" spans="3:71" x14ac:dyDescent="0.2">
      <c r="C31" s="3">
        <v>533.33000000000004</v>
      </c>
      <c r="D31" s="3">
        <v>18.2</v>
      </c>
      <c r="E31" s="2">
        <f t="shared" si="0"/>
        <v>0.11041264325</v>
      </c>
      <c r="F31" s="3">
        <v>263.76</v>
      </c>
      <c r="G31" s="3">
        <v>16.14</v>
      </c>
      <c r="H31" s="2">
        <f t="shared" si="1"/>
        <v>4.2943359060000005E-2</v>
      </c>
      <c r="I31" s="3"/>
      <c r="J31" s="3"/>
      <c r="K31" s="2"/>
      <c r="L31" s="3"/>
      <c r="M31" s="3"/>
      <c r="N31" s="2"/>
      <c r="O31" s="3"/>
      <c r="P31" s="3"/>
      <c r="Q31" s="2"/>
      <c r="R31" s="3"/>
      <c r="S31" s="3"/>
      <c r="T31" s="2"/>
      <c r="U31" s="3">
        <v>334.97</v>
      </c>
      <c r="V31" s="3">
        <v>13.64</v>
      </c>
      <c r="W31" s="2">
        <f t="shared" si="6"/>
        <v>3.8950646570000011E-2</v>
      </c>
      <c r="X31" s="3"/>
      <c r="Y31" s="3"/>
      <c r="Z31" s="2"/>
      <c r="AA31" s="3"/>
      <c r="AB31" s="3"/>
      <c r="AC31" s="2"/>
      <c r="AD31" s="3"/>
      <c r="AE31" s="3"/>
      <c r="AF31" s="2"/>
      <c r="AG31" s="3"/>
      <c r="AH31" s="3"/>
      <c r="AI31" s="2"/>
      <c r="AJ31" s="3"/>
      <c r="AK31" s="3"/>
      <c r="AL31" s="2"/>
      <c r="AM31" s="3"/>
      <c r="AN31" s="3"/>
      <c r="AO31" s="2"/>
      <c r="AP31" s="3"/>
      <c r="AQ31" s="3"/>
      <c r="AR31" s="2"/>
      <c r="AS31" s="3"/>
      <c r="AT31" s="3"/>
      <c r="AU31" s="2"/>
      <c r="AV31" s="3"/>
      <c r="AW31" s="3"/>
      <c r="AX31" s="2"/>
      <c r="AY31" s="3"/>
      <c r="AZ31" s="3"/>
      <c r="BA31" s="2"/>
      <c r="BB31" s="3"/>
      <c r="BC31" s="3"/>
      <c r="BD31" s="2"/>
      <c r="BE31" s="3"/>
      <c r="BF31" s="3"/>
      <c r="BG31" s="2"/>
      <c r="BH31" s="3"/>
      <c r="BI31" s="3"/>
      <c r="BJ31" s="2"/>
      <c r="BK31" s="3"/>
      <c r="BL31" s="3"/>
      <c r="BM31" s="2"/>
      <c r="BN31" s="3"/>
      <c r="BO31" s="3"/>
      <c r="BP31" s="2"/>
      <c r="BQ31" s="3"/>
      <c r="BR31" s="3"/>
      <c r="BS31" s="2"/>
    </row>
    <row r="32" spans="3:71" x14ac:dyDescent="0.2">
      <c r="C32" s="3">
        <v>431.75</v>
      </c>
      <c r="D32" s="3">
        <v>17.829999999999998</v>
      </c>
      <c r="E32" s="2">
        <f t="shared" si="0"/>
        <v>8.5785729734374983E-2</v>
      </c>
      <c r="F32" s="3">
        <v>308.77999999999997</v>
      </c>
      <c r="G32" s="3">
        <v>17.170000000000002</v>
      </c>
      <c r="H32" s="2">
        <f t="shared" si="1"/>
        <v>5.6894432588750009E-2</v>
      </c>
      <c r="I32" s="3"/>
      <c r="J32" s="3"/>
      <c r="K32" s="2"/>
      <c r="L32" s="3"/>
      <c r="M32" s="3"/>
      <c r="N32" s="2"/>
      <c r="O32" s="3"/>
      <c r="P32" s="3"/>
      <c r="Q32" s="2"/>
      <c r="R32" s="3"/>
      <c r="S32" s="3"/>
      <c r="T32" s="2"/>
      <c r="U32" s="3">
        <v>240.97</v>
      </c>
      <c r="V32" s="3">
        <v>11.83</v>
      </c>
      <c r="W32" s="2">
        <f t="shared" si="6"/>
        <v>2.1077179020625E-2</v>
      </c>
      <c r="X32" s="3"/>
      <c r="Y32" s="3"/>
      <c r="Z32" s="2"/>
      <c r="AA32" s="3"/>
      <c r="AB32" s="3"/>
      <c r="AC32" s="2"/>
      <c r="AD32" s="3"/>
      <c r="AE32" s="3"/>
      <c r="AF32" s="2"/>
      <c r="AG32" s="3"/>
      <c r="AH32" s="3"/>
      <c r="AI32" s="2"/>
      <c r="AJ32" s="3"/>
      <c r="AK32" s="3"/>
      <c r="AL32" s="2"/>
      <c r="AM32" s="3"/>
      <c r="AN32" s="3"/>
      <c r="AO32" s="2"/>
      <c r="AP32" s="3"/>
      <c r="AQ32" s="3"/>
      <c r="AR32" s="2"/>
      <c r="AS32" s="3"/>
      <c r="AT32" s="3"/>
      <c r="AU32" s="2"/>
      <c r="AV32" s="3"/>
      <c r="AW32" s="3"/>
      <c r="AX32" s="2"/>
      <c r="AY32" s="3"/>
      <c r="AZ32" s="3"/>
      <c r="BA32" s="2"/>
      <c r="BB32" s="3"/>
      <c r="BC32" s="3"/>
      <c r="BD32" s="2"/>
      <c r="BE32" s="3"/>
      <c r="BF32" s="3"/>
      <c r="BG32" s="2"/>
      <c r="BH32" s="3"/>
      <c r="BI32" s="3"/>
      <c r="BJ32" s="2"/>
      <c r="BK32" s="3"/>
      <c r="BL32" s="3"/>
      <c r="BM32" s="2"/>
      <c r="BN32" s="3"/>
      <c r="BO32" s="3"/>
      <c r="BP32" s="2"/>
      <c r="BQ32" s="3"/>
      <c r="BR32" s="3"/>
      <c r="BS32" s="2"/>
    </row>
    <row r="33" spans="3:71" x14ac:dyDescent="0.2">
      <c r="C33" s="3">
        <v>545.98</v>
      </c>
      <c r="D33" s="3">
        <v>18.25</v>
      </c>
      <c r="E33" s="2">
        <f t="shared" si="0"/>
        <v>0.11365341484374999</v>
      </c>
      <c r="F33" s="3">
        <v>259.79000000000002</v>
      </c>
      <c r="G33" s="3">
        <v>16.91</v>
      </c>
      <c r="H33" s="2">
        <f t="shared" si="1"/>
        <v>4.6429035561875005E-2</v>
      </c>
      <c r="I33" s="3"/>
      <c r="J33" s="3"/>
      <c r="K33" s="2"/>
      <c r="L33" s="3"/>
      <c r="M33" s="3"/>
      <c r="N33" s="2"/>
      <c r="O33" s="3"/>
      <c r="P33" s="3"/>
      <c r="Q33" s="2"/>
      <c r="R33" s="3"/>
      <c r="S33" s="3"/>
      <c r="T33" s="2"/>
      <c r="U33" s="3">
        <v>517.79999999999995</v>
      </c>
      <c r="V33" s="3">
        <v>24.54</v>
      </c>
      <c r="W33" s="2">
        <f t="shared" si="6"/>
        <v>0.19489072904999996</v>
      </c>
      <c r="X33" s="3"/>
      <c r="Y33" s="3"/>
      <c r="Z33" s="2"/>
      <c r="AA33" s="3"/>
      <c r="AB33" s="3"/>
      <c r="AC33" s="2"/>
      <c r="AD33" s="3"/>
      <c r="AE33" s="3"/>
      <c r="AF33" s="2"/>
      <c r="AG33" s="3"/>
      <c r="AH33" s="3"/>
      <c r="AI33" s="2"/>
      <c r="AJ33" s="3"/>
      <c r="AK33" s="3"/>
      <c r="AL33" s="2"/>
      <c r="AM33" s="3"/>
      <c r="AN33" s="3"/>
      <c r="AO33" s="2"/>
      <c r="AP33" s="3"/>
      <c r="AQ33" s="3"/>
      <c r="AR33" s="2"/>
      <c r="AS33" s="3"/>
      <c r="AT33" s="3"/>
      <c r="AU33" s="2"/>
      <c r="AV33" s="3"/>
      <c r="AW33" s="3"/>
      <c r="AX33" s="2"/>
      <c r="AY33" s="3"/>
      <c r="AZ33" s="3"/>
      <c r="BA33" s="2"/>
      <c r="BB33" s="3"/>
      <c r="BC33" s="3"/>
      <c r="BD33" s="2"/>
      <c r="BE33" s="3"/>
      <c r="BF33" s="3"/>
      <c r="BG33" s="2"/>
      <c r="BH33" s="3"/>
      <c r="BI33" s="3"/>
      <c r="BJ33" s="2"/>
      <c r="BK33" s="3"/>
      <c r="BL33" s="3"/>
      <c r="BM33" s="2"/>
      <c r="BN33" s="3"/>
      <c r="BO33" s="3"/>
      <c r="BP33" s="2"/>
      <c r="BQ33" s="3"/>
      <c r="BR33" s="3"/>
      <c r="BS33" s="2"/>
    </row>
    <row r="34" spans="3:71" x14ac:dyDescent="0.2">
      <c r="C34" s="3">
        <v>585.79999999999995</v>
      </c>
      <c r="D34" s="3">
        <v>22.22</v>
      </c>
      <c r="E34" s="2">
        <f t="shared" si="0"/>
        <v>0.18076631045</v>
      </c>
      <c r="F34" s="3">
        <v>330.1</v>
      </c>
      <c r="G34" s="3">
        <v>18.77</v>
      </c>
      <c r="H34" s="2">
        <f t="shared" si="1"/>
        <v>7.2686555181250001E-2</v>
      </c>
      <c r="I34" s="3"/>
      <c r="J34" s="3"/>
      <c r="K34" s="2"/>
      <c r="L34" s="3"/>
      <c r="M34" s="3"/>
      <c r="N34" s="2"/>
      <c r="O34" s="3"/>
      <c r="P34" s="3"/>
      <c r="Q34" s="2"/>
      <c r="R34" s="3"/>
      <c r="S34" s="3"/>
      <c r="T34" s="2"/>
      <c r="U34" s="3">
        <v>474.39</v>
      </c>
      <c r="V34" s="3">
        <v>23.44</v>
      </c>
      <c r="W34" s="2">
        <f t="shared" si="6"/>
        <v>0.16290362844</v>
      </c>
      <c r="X34" s="3"/>
      <c r="Y34" s="3"/>
      <c r="Z34" s="2"/>
      <c r="AA34" s="3"/>
      <c r="AB34" s="3"/>
      <c r="AC34" s="2"/>
      <c r="AD34" s="3"/>
      <c r="AE34" s="3"/>
      <c r="AF34" s="2"/>
      <c r="AG34" s="3"/>
      <c r="AH34" s="3"/>
      <c r="AI34" s="2"/>
      <c r="AJ34" s="3"/>
      <c r="AK34" s="3"/>
      <c r="AL34" s="2"/>
      <c r="AM34" s="3"/>
      <c r="AN34" s="3"/>
      <c r="AO34" s="2"/>
      <c r="AP34" s="3"/>
      <c r="AQ34" s="3"/>
      <c r="AR34" s="2"/>
      <c r="AS34" s="3"/>
      <c r="AT34" s="3"/>
      <c r="AU34" s="2"/>
      <c r="AV34" s="3"/>
      <c r="AW34" s="3"/>
      <c r="AX34" s="2"/>
      <c r="AY34" s="3"/>
      <c r="AZ34" s="3"/>
      <c r="BA34" s="2"/>
      <c r="BB34" s="3"/>
      <c r="BC34" s="3"/>
      <c r="BD34" s="2"/>
      <c r="BE34" s="3"/>
      <c r="BF34" s="3"/>
      <c r="BG34" s="2"/>
      <c r="BH34" s="3"/>
      <c r="BI34" s="3"/>
      <c r="BJ34" s="2"/>
      <c r="BK34" s="3"/>
      <c r="BL34" s="3"/>
      <c r="BM34" s="2"/>
      <c r="BN34" s="3"/>
      <c r="BO34" s="3"/>
      <c r="BP34" s="2"/>
      <c r="BQ34" s="3"/>
      <c r="BR34" s="3"/>
      <c r="BS34" s="2"/>
    </row>
    <row r="35" spans="3:71" x14ac:dyDescent="0.2">
      <c r="C35" s="3">
        <v>582.03</v>
      </c>
      <c r="D35" s="3">
        <v>20.41</v>
      </c>
      <c r="E35" s="2">
        <f t="shared" si="0"/>
        <v>0.15153445702687499</v>
      </c>
      <c r="F35" s="3">
        <v>359.06</v>
      </c>
      <c r="G35" s="3">
        <v>16.57</v>
      </c>
      <c r="H35" s="2">
        <f t="shared" si="1"/>
        <v>6.1615795621249997E-2</v>
      </c>
      <c r="I35" s="3"/>
      <c r="J35" s="3"/>
      <c r="K35" s="2"/>
      <c r="L35" s="3"/>
      <c r="M35" s="3"/>
      <c r="N35" s="2"/>
      <c r="O35" s="3"/>
      <c r="P35" s="3"/>
      <c r="Q35" s="2"/>
      <c r="R35" s="3"/>
      <c r="S35" s="3"/>
      <c r="T35" s="2"/>
      <c r="U35" s="3">
        <v>302.83999999999997</v>
      </c>
      <c r="V35" s="3">
        <v>14.77</v>
      </c>
      <c r="W35" s="2">
        <f t="shared" si="6"/>
        <v>4.1290890147499995E-2</v>
      </c>
      <c r="X35" s="3"/>
      <c r="Y35" s="3"/>
      <c r="Z35" s="2"/>
      <c r="AA35" s="3"/>
      <c r="AB35" s="3"/>
      <c r="AC35" s="2"/>
      <c r="AD35" s="3"/>
      <c r="AE35" s="3"/>
      <c r="AF35" s="2"/>
      <c r="AG35" s="3"/>
      <c r="AH35" s="3"/>
      <c r="AI35" s="2"/>
      <c r="AJ35" s="3"/>
      <c r="AK35" s="3"/>
      <c r="AL35" s="2"/>
      <c r="AM35" s="3"/>
      <c r="AN35" s="3"/>
      <c r="AO35" s="2"/>
      <c r="AP35" s="3"/>
      <c r="AQ35" s="3"/>
      <c r="AR35" s="2"/>
      <c r="AS35" s="3"/>
      <c r="AT35" s="3"/>
      <c r="AU35" s="2"/>
      <c r="AV35" s="3"/>
      <c r="AW35" s="3"/>
      <c r="AX35" s="2"/>
      <c r="AY35" s="3"/>
      <c r="AZ35" s="3"/>
      <c r="BA35" s="2"/>
      <c r="BB35" s="3"/>
      <c r="BC35" s="3"/>
      <c r="BD35" s="2"/>
      <c r="BE35" s="3"/>
      <c r="BF35" s="3"/>
      <c r="BG35" s="2"/>
      <c r="BH35" s="3"/>
      <c r="BI35" s="3"/>
      <c r="BJ35" s="2"/>
      <c r="BK35" s="3"/>
      <c r="BL35" s="3"/>
      <c r="BM35" s="2"/>
      <c r="BN35" s="3"/>
      <c r="BO35" s="3"/>
      <c r="BP35" s="2"/>
      <c r="BQ35" s="3"/>
      <c r="BR35" s="3"/>
      <c r="BS35" s="2"/>
    </row>
    <row r="36" spans="3:71" x14ac:dyDescent="0.2">
      <c r="C36" s="3">
        <v>371.68</v>
      </c>
      <c r="D36" s="3">
        <v>14.12</v>
      </c>
      <c r="E36" s="2">
        <f t="shared" si="0"/>
        <v>4.631467311999999E-2</v>
      </c>
      <c r="F36" s="3">
        <v>308.68</v>
      </c>
      <c r="G36" s="3">
        <v>16.64</v>
      </c>
      <c r="H36" s="2">
        <f t="shared" si="1"/>
        <v>5.3418926079999998E-2</v>
      </c>
      <c r="I36" s="3"/>
      <c r="J36" s="3"/>
      <c r="K36" s="2"/>
      <c r="L36" s="3"/>
      <c r="M36" s="3"/>
      <c r="N36" s="2"/>
      <c r="O36" s="3"/>
      <c r="P36" s="3"/>
      <c r="Q36" s="2"/>
      <c r="R36" s="3"/>
      <c r="S36" s="3"/>
      <c r="T36" s="2"/>
      <c r="U36" s="3"/>
      <c r="V36" s="3"/>
      <c r="W36" s="2"/>
      <c r="X36" s="3"/>
      <c r="Y36" s="3"/>
      <c r="Z36" s="2"/>
      <c r="AA36" s="3"/>
      <c r="AB36" s="3"/>
      <c r="AC36" s="2"/>
      <c r="AD36" s="3"/>
      <c r="AE36" s="3"/>
      <c r="AF36" s="2"/>
      <c r="AG36" s="3"/>
      <c r="AH36" s="3"/>
      <c r="AI36" s="2"/>
      <c r="AJ36" s="3"/>
      <c r="AK36" s="3"/>
      <c r="AL36" s="2"/>
      <c r="AM36" s="3"/>
      <c r="AN36" s="3"/>
      <c r="AO36" s="2"/>
      <c r="AP36" s="3"/>
      <c r="AQ36" s="3"/>
      <c r="AR36" s="2"/>
      <c r="AS36" s="3"/>
      <c r="AT36" s="3"/>
      <c r="AU36" s="2"/>
      <c r="AV36" s="3"/>
      <c r="AW36" s="3"/>
      <c r="AX36" s="2"/>
      <c r="AY36" s="3"/>
      <c r="AZ36" s="3"/>
      <c r="BA36" s="2"/>
      <c r="BB36" s="3"/>
      <c r="BC36" s="3"/>
      <c r="BD36" s="2"/>
      <c r="BE36" s="3"/>
      <c r="BF36" s="3"/>
      <c r="BG36" s="2"/>
      <c r="BH36" s="3"/>
      <c r="BI36" s="3"/>
      <c r="BJ36" s="2"/>
      <c r="BK36" s="3"/>
      <c r="BL36" s="3"/>
      <c r="BM36" s="2"/>
      <c r="BN36" s="3"/>
      <c r="BO36" s="3"/>
      <c r="BP36" s="2"/>
      <c r="BQ36" s="3"/>
      <c r="BR36" s="3"/>
      <c r="BS36" s="2"/>
    </row>
    <row r="37" spans="3:71" x14ac:dyDescent="0.2">
      <c r="C37" s="3">
        <v>379.23</v>
      </c>
      <c r="D37" s="3">
        <v>12.92</v>
      </c>
      <c r="E37" s="2">
        <f t="shared" si="0"/>
        <v>3.9564686670000002E-2</v>
      </c>
      <c r="F37" s="3">
        <v>264.7</v>
      </c>
      <c r="G37" s="3">
        <v>16.39</v>
      </c>
      <c r="H37" s="2">
        <f t="shared" si="1"/>
        <v>4.4441823043750002E-2</v>
      </c>
      <c r="I37" s="3"/>
      <c r="J37" s="3"/>
      <c r="K37" s="2"/>
      <c r="L37" s="3"/>
      <c r="M37" s="3"/>
      <c r="N37" s="2"/>
      <c r="O37" s="3"/>
      <c r="P37" s="3"/>
      <c r="Q37" s="2"/>
      <c r="R37" s="3"/>
      <c r="S37" s="3"/>
      <c r="T37" s="2"/>
      <c r="U37" s="3"/>
      <c r="V37" s="3"/>
      <c r="W37" s="2"/>
      <c r="X37" s="3"/>
      <c r="Y37" s="3"/>
      <c r="Z37" s="2"/>
      <c r="AA37" s="3"/>
      <c r="AB37" s="3"/>
      <c r="AC37" s="2"/>
      <c r="AD37" s="3"/>
      <c r="AE37" s="3"/>
      <c r="AF37" s="2"/>
      <c r="AG37" s="3"/>
      <c r="AH37" s="3"/>
      <c r="AI37" s="2"/>
      <c r="AJ37" s="3"/>
      <c r="AK37" s="3"/>
      <c r="AL37" s="2"/>
      <c r="AM37" s="3"/>
      <c r="AN37" s="3"/>
      <c r="AO37" s="2"/>
      <c r="AP37" s="3"/>
      <c r="AQ37" s="3"/>
      <c r="AR37" s="2"/>
      <c r="AS37" s="3"/>
      <c r="AT37" s="3"/>
      <c r="AU37" s="2"/>
      <c r="AV37" s="3"/>
      <c r="AW37" s="3"/>
      <c r="AX37" s="2"/>
      <c r="AY37" s="3"/>
      <c r="AZ37" s="3"/>
      <c r="BA37" s="2"/>
      <c r="BB37" s="3"/>
      <c r="BC37" s="3"/>
      <c r="BD37" s="2"/>
      <c r="BE37" s="3"/>
      <c r="BF37" s="3"/>
      <c r="BG37" s="2"/>
      <c r="BH37" s="3"/>
      <c r="BI37" s="3"/>
      <c r="BJ37" s="2"/>
      <c r="BK37" s="3"/>
      <c r="BL37" s="3"/>
      <c r="BM37" s="2"/>
      <c r="BN37" s="3"/>
      <c r="BO37" s="3"/>
      <c r="BP37" s="2"/>
      <c r="BQ37" s="3"/>
      <c r="BR37" s="3"/>
      <c r="BS37" s="2"/>
    </row>
    <row r="38" spans="3:71" x14ac:dyDescent="0.2">
      <c r="C38" s="3">
        <v>433.7</v>
      </c>
      <c r="D38" s="3">
        <v>17</v>
      </c>
      <c r="E38" s="2">
        <f t="shared" ref="E38:E50" si="23">(C38*D38*D38)/1600000</f>
        <v>7.8337062499999999E-2</v>
      </c>
      <c r="F38" s="3">
        <v>268.35000000000002</v>
      </c>
      <c r="G38" s="3">
        <v>15.37</v>
      </c>
      <c r="H38" s="2">
        <f t="shared" ref="H38:H69" si="24">(F38*G38*G38)/1600000</f>
        <v>3.9621357571874995E-2</v>
      </c>
      <c r="I38" s="3"/>
      <c r="J38" s="3"/>
      <c r="K38" s="2"/>
      <c r="L38" s="3"/>
      <c r="M38" s="3"/>
      <c r="N38" s="2"/>
      <c r="O38" s="3"/>
      <c r="P38" s="3"/>
      <c r="Q38" s="2"/>
      <c r="R38" s="3"/>
      <c r="S38" s="3"/>
      <c r="T38" s="2"/>
      <c r="U38" s="3"/>
      <c r="V38" s="3"/>
      <c r="W38" s="2"/>
      <c r="X38" s="3"/>
      <c r="Y38" s="3"/>
      <c r="Z38" s="2"/>
      <c r="AA38" s="3"/>
      <c r="AB38" s="3"/>
      <c r="AC38" s="2"/>
      <c r="AD38" s="3"/>
      <c r="AE38" s="3"/>
      <c r="AF38" s="2"/>
      <c r="AG38" s="3"/>
      <c r="AH38" s="3"/>
      <c r="AI38" s="2"/>
      <c r="AJ38" s="3"/>
      <c r="AK38" s="3"/>
      <c r="AL38" s="2"/>
      <c r="AM38" s="3"/>
      <c r="AN38" s="3"/>
      <c r="AO38" s="2"/>
      <c r="AP38" s="3"/>
      <c r="AQ38" s="3"/>
      <c r="AR38" s="2"/>
      <c r="AS38" s="3"/>
      <c r="AT38" s="3"/>
      <c r="AU38" s="2"/>
      <c r="AV38" s="3"/>
      <c r="AW38" s="3"/>
      <c r="AX38" s="2"/>
      <c r="AY38" s="3"/>
      <c r="AZ38" s="3"/>
      <c r="BA38" s="2"/>
      <c r="BB38" s="3"/>
      <c r="BC38" s="3"/>
      <c r="BD38" s="2"/>
      <c r="BE38" s="3"/>
      <c r="BF38" s="3"/>
      <c r="BG38" s="2"/>
      <c r="BH38" s="3"/>
      <c r="BI38" s="3"/>
      <c r="BJ38" s="2"/>
      <c r="BK38" s="3"/>
      <c r="BL38" s="3"/>
      <c r="BM38" s="2"/>
      <c r="BN38" s="3"/>
      <c r="BO38" s="3"/>
      <c r="BP38" s="2"/>
      <c r="BQ38" s="3"/>
      <c r="BR38" s="3"/>
      <c r="BS38" s="2"/>
    </row>
    <row r="39" spans="3:71" x14ac:dyDescent="0.2">
      <c r="C39" s="3">
        <v>613.4</v>
      </c>
      <c r="D39" s="3">
        <v>17.96</v>
      </c>
      <c r="E39" s="2">
        <f t="shared" si="23"/>
        <v>0.1236620534</v>
      </c>
      <c r="F39" s="3">
        <v>306.08999999999997</v>
      </c>
      <c r="G39" s="3">
        <v>16.059999999999999</v>
      </c>
      <c r="H39" s="2">
        <f t="shared" si="24"/>
        <v>4.9342396702499992E-2</v>
      </c>
      <c r="I39" s="3"/>
      <c r="J39" s="3"/>
      <c r="K39" s="2"/>
      <c r="L39" s="3"/>
      <c r="M39" s="3"/>
      <c r="N39" s="2"/>
      <c r="O39" s="3"/>
      <c r="P39" s="3"/>
      <c r="Q39" s="2"/>
      <c r="R39" s="3"/>
      <c r="S39" s="3"/>
      <c r="T39" s="2"/>
      <c r="U39" s="3"/>
      <c r="V39" s="3"/>
      <c r="W39" s="2"/>
      <c r="X39" s="3"/>
      <c r="Y39" s="3"/>
      <c r="Z39" s="2"/>
      <c r="AA39" s="3"/>
      <c r="AB39" s="3"/>
      <c r="AC39" s="2"/>
      <c r="AD39" s="3"/>
      <c r="AE39" s="3"/>
      <c r="AF39" s="2"/>
      <c r="AG39" s="3"/>
      <c r="AH39" s="3"/>
      <c r="AI39" s="2"/>
      <c r="AJ39" s="3"/>
      <c r="AK39" s="3"/>
      <c r="AL39" s="2"/>
      <c r="AM39" s="3"/>
      <c r="AN39" s="3"/>
      <c r="AO39" s="2"/>
      <c r="AP39" s="3"/>
      <c r="AQ39" s="3"/>
      <c r="AR39" s="2"/>
      <c r="AS39" s="3"/>
      <c r="AT39" s="3"/>
      <c r="AU39" s="2"/>
      <c r="AV39" s="3"/>
      <c r="AW39" s="3"/>
      <c r="AX39" s="2"/>
      <c r="AY39" s="3"/>
      <c r="AZ39" s="3"/>
      <c r="BA39" s="2"/>
      <c r="BB39" s="3"/>
      <c r="BC39" s="3"/>
      <c r="BD39" s="2"/>
      <c r="BE39" s="3"/>
      <c r="BF39" s="3"/>
      <c r="BG39" s="2"/>
      <c r="BH39" s="3"/>
      <c r="BI39" s="3"/>
      <c r="BJ39" s="2"/>
      <c r="BK39" s="3"/>
      <c r="BL39" s="3"/>
      <c r="BM39" s="2"/>
      <c r="BN39" s="3"/>
      <c r="BO39" s="3"/>
      <c r="BP39" s="2"/>
      <c r="BQ39" s="3"/>
      <c r="BR39" s="3"/>
      <c r="BS39" s="2"/>
    </row>
    <row r="40" spans="3:71" x14ac:dyDescent="0.2">
      <c r="C40" s="3">
        <v>416.11</v>
      </c>
      <c r="D40" s="3">
        <v>16.100000000000001</v>
      </c>
      <c r="E40" s="2">
        <f t="shared" si="23"/>
        <v>6.7412420687500016E-2</v>
      </c>
      <c r="F40" s="3">
        <v>328.55</v>
      </c>
      <c r="G40" s="3">
        <v>17</v>
      </c>
      <c r="H40" s="2">
        <f t="shared" si="24"/>
        <v>5.9344343750000007E-2</v>
      </c>
      <c r="I40" s="3"/>
      <c r="J40" s="3"/>
      <c r="K40" s="2"/>
      <c r="L40" s="3"/>
      <c r="M40" s="3"/>
      <c r="N40" s="2"/>
      <c r="O40" s="3"/>
      <c r="P40" s="3"/>
      <c r="Q40" s="2"/>
      <c r="R40" s="3"/>
      <c r="S40" s="3"/>
      <c r="T40" s="2"/>
      <c r="U40" s="3"/>
      <c r="V40" s="3"/>
      <c r="W40" s="2"/>
      <c r="X40" s="3"/>
      <c r="Y40" s="3"/>
      <c r="Z40" s="2"/>
      <c r="AA40" s="3"/>
      <c r="AB40" s="3"/>
      <c r="AC40" s="2"/>
      <c r="AD40" s="3"/>
      <c r="AE40" s="3"/>
      <c r="AF40" s="2"/>
      <c r="AG40" s="3"/>
      <c r="AH40" s="3"/>
      <c r="AI40" s="2"/>
      <c r="AJ40" s="3"/>
      <c r="AK40" s="3"/>
      <c r="AL40" s="2"/>
      <c r="AM40" s="3"/>
      <c r="AN40" s="3"/>
      <c r="AO40" s="2"/>
      <c r="AP40" s="3"/>
      <c r="AQ40" s="3"/>
      <c r="AR40" s="2"/>
      <c r="AS40" s="3"/>
      <c r="AT40" s="3"/>
      <c r="AU40" s="2"/>
      <c r="AV40" s="3"/>
      <c r="AW40" s="3"/>
      <c r="AX40" s="2"/>
      <c r="AY40" s="3"/>
      <c r="AZ40" s="3"/>
      <c r="BA40" s="2"/>
      <c r="BB40" s="3"/>
      <c r="BC40" s="3"/>
      <c r="BD40" s="2"/>
      <c r="BE40" s="3"/>
      <c r="BF40" s="3"/>
      <c r="BG40" s="2"/>
      <c r="BH40" s="3"/>
      <c r="BI40" s="3"/>
      <c r="BJ40" s="2"/>
      <c r="BK40" s="3"/>
      <c r="BL40" s="3"/>
      <c r="BM40" s="2"/>
      <c r="BN40" s="3"/>
      <c r="BO40" s="3"/>
      <c r="BP40" s="2"/>
      <c r="BQ40" s="3"/>
      <c r="BR40" s="3"/>
      <c r="BS40" s="2"/>
    </row>
    <row r="41" spans="3:71" x14ac:dyDescent="0.2">
      <c r="C41" s="3">
        <v>339.06</v>
      </c>
      <c r="D41" s="3">
        <v>8.7200000000000006</v>
      </c>
      <c r="E41" s="2">
        <f t="shared" si="23"/>
        <v>1.6113487440000001E-2</v>
      </c>
      <c r="F41" s="3">
        <v>232.73</v>
      </c>
      <c r="G41" s="3">
        <v>13.53</v>
      </c>
      <c r="H41" s="2">
        <f t="shared" si="24"/>
        <v>2.6627352035624999E-2</v>
      </c>
      <c r="I41" s="3"/>
      <c r="J41" s="3"/>
      <c r="K41" s="2"/>
      <c r="L41" s="3"/>
      <c r="M41" s="3"/>
      <c r="N41" s="2"/>
      <c r="O41" s="3"/>
      <c r="P41" s="3"/>
      <c r="Q41" s="2"/>
      <c r="R41" s="3"/>
      <c r="S41" s="3"/>
      <c r="T41" s="2"/>
      <c r="U41" s="3"/>
      <c r="V41" s="3"/>
      <c r="W41" s="2"/>
      <c r="X41" s="3"/>
      <c r="Y41" s="3"/>
      <c r="Z41" s="2"/>
      <c r="AA41" s="3"/>
      <c r="AB41" s="3"/>
      <c r="AC41" s="2"/>
      <c r="AD41" s="3"/>
      <c r="AE41" s="3"/>
      <c r="AF41" s="2"/>
      <c r="AG41" s="3"/>
      <c r="AH41" s="3"/>
      <c r="AI41" s="2"/>
      <c r="AJ41" s="3"/>
      <c r="AK41" s="3"/>
      <c r="AL41" s="2"/>
      <c r="AM41" s="3"/>
      <c r="AN41" s="3"/>
      <c r="AO41" s="2"/>
      <c r="AP41" s="3"/>
      <c r="AQ41" s="3"/>
      <c r="AR41" s="2"/>
      <c r="AS41" s="3"/>
      <c r="AT41" s="3"/>
      <c r="AU41" s="2"/>
      <c r="AV41" s="3"/>
      <c r="AW41" s="3"/>
      <c r="AX41" s="2"/>
      <c r="AY41" s="3"/>
      <c r="AZ41" s="3"/>
      <c r="BA41" s="2"/>
      <c r="BB41" s="3"/>
      <c r="BC41" s="3"/>
      <c r="BD41" s="2"/>
      <c r="BE41" s="3"/>
      <c r="BF41" s="3"/>
      <c r="BG41" s="2"/>
      <c r="BH41" s="3"/>
      <c r="BI41" s="3"/>
      <c r="BJ41" s="2"/>
      <c r="BK41" s="3"/>
      <c r="BL41" s="3"/>
      <c r="BM41" s="2"/>
      <c r="BN41" s="3"/>
      <c r="BO41" s="3"/>
      <c r="BP41" s="2"/>
      <c r="BQ41" s="3"/>
      <c r="BR41" s="3"/>
      <c r="BS41" s="2"/>
    </row>
    <row r="42" spans="3:71" x14ac:dyDescent="0.2">
      <c r="C42" s="3">
        <v>564.09</v>
      </c>
      <c r="D42" s="3">
        <v>18.579999999999998</v>
      </c>
      <c r="E42" s="2">
        <f t="shared" si="23"/>
        <v>0.12170819942249998</v>
      </c>
      <c r="F42" s="3">
        <v>371.33</v>
      </c>
      <c r="G42" s="3">
        <v>19.350000000000001</v>
      </c>
      <c r="H42" s="2">
        <f t="shared" si="24"/>
        <v>8.6896441828125004E-2</v>
      </c>
      <c r="I42" s="3"/>
      <c r="J42" s="3"/>
      <c r="K42" s="2"/>
      <c r="L42" s="3"/>
      <c r="M42" s="3"/>
      <c r="N42" s="2"/>
      <c r="O42" s="3"/>
      <c r="P42" s="3"/>
      <c r="Q42" s="2"/>
      <c r="R42" s="3"/>
      <c r="S42" s="3"/>
      <c r="T42" s="2"/>
      <c r="U42" s="3"/>
      <c r="V42" s="3"/>
      <c r="W42" s="2"/>
      <c r="X42" s="3"/>
      <c r="Y42" s="3"/>
      <c r="Z42" s="2"/>
      <c r="AA42" s="3"/>
      <c r="AB42" s="3"/>
      <c r="AC42" s="2"/>
      <c r="AD42" s="3"/>
      <c r="AE42" s="3"/>
      <c r="AF42" s="2"/>
      <c r="AG42" s="3"/>
      <c r="AH42" s="3"/>
      <c r="AI42" s="2"/>
      <c r="AJ42" s="3"/>
      <c r="AK42" s="3"/>
      <c r="AL42" s="2"/>
      <c r="AM42" s="3"/>
      <c r="AN42" s="3"/>
      <c r="AO42" s="2"/>
      <c r="AP42" s="3"/>
      <c r="AQ42" s="3"/>
      <c r="AR42" s="2"/>
      <c r="AS42" s="3"/>
      <c r="AT42" s="3"/>
      <c r="AU42" s="2"/>
      <c r="AV42" s="3"/>
      <c r="AW42" s="3"/>
      <c r="AX42" s="2"/>
      <c r="AY42" s="3"/>
      <c r="AZ42" s="3"/>
      <c r="BA42" s="2"/>
      <c r="BB42" s="3"/>
      <c r="BC42" s="3"/>
      <c r="BD42" s="2"/>
      <c r="BE42" s="3"/>
      <c r="BF42" s="3"/>
      <c r="BG42" s="2"/>
      <c r="BH42" s="3"/>
      <c r="BI42" s="3"/>
      <c r="BJ42" s="2"/>
      <c r="BK42" s="3"/>
      <c r="BL42" s="3"/>
      <c r="BM42" s="2"/>
      <c r="BN42" s="3"/>
      <c r="BO42" s="3"/>
      <c r="BP42" s="2"/>
      <c r="BQ42" s="3"/>
      <c r="BR42" s="3"/>
      <c r="BS42" s="2"/>
    </row>
    <row r="43" spans="3:71" x14ac:dyDescent="0.2">
      <c r="C43" s="3">
        <v>305.25</v>
      </c>
      <c r="D43" s="3">
        <v>14.16</v>
      </c>
      <c r="E43" s="2">
        <f t="shared" si="23"/>
        <v>3.8252709000000003E-2</v>
      </c>
      <c r="F43" s="3">
        <v>313.98</v>
      </c>
      <c r="G43" s="3">
        <v>16.670000000000002</v>
      </c>
      <c r="H43" s="2">
        <f t="shared" si="24"/>
        <v>5.4532223013750006E-2</v>
      </c>
      <c r="I43" s="3"/>
      <c r="J43" s="3"/>
      <c r="K43" s="2"/>
      <c r="L43" s="3"/>
      <c r="M43" s="3"/>
      <c r="N43" s="2"/>
      <c r="O43" s="3"/>
      <c r="P43" s="3"/>
      <c r="Q43" s="2"/>
      <c r="R43" s="3"/>
      <c r="S43" s="3"/>
      <c r="T43" s="2"/>
      <c r="U43" s="3"/>
      <c r="V43" s="3"/>
      <c r="W43" s="2"/>
      <c r="X43" s="3"/>
      <c r="Y43" s="3"/>
      <c r="Z43" s="2"/>
      <c r="AA43" s="3"/>
      <c r="AB43" s="3"/>
      <c r="AC43" s="2"/>
      <c r="AD43" s="3"/>
      <c r="AE43" s="3"/>
      <c r="AF43" s="2"/>
      <c r="AG43" s="3"/>
      <c r="AH43" s="3"/>
      <c r="AI43" s="2"/>
      <c r="AJ43" s="3"/>
      <c r="AK43" s="3"/>
      <c r="AL43" s="2"/>
      <c r="AM43" s="3"/>
      <c r="AN43" s="3"/>
      <c r="AO43" s="2"/>
      <c r="AP43" s="3"/>
      <c r="AQ43" s="3"/>
      <c r="AR43" s="2"/>
      <c r="AS43" s="3"/>
      <c r="AT43" s="3"/>
      <c r="AU43" s="2"/>
      <c r="AV43" s="3"/>
      <c r="AW43" s="3"/>
      <c r="AX43" s="2"/>
      <c r="AY43" s="3"/>
      <c r="AZ43" s="3"/>
      <c r="BA43" s="2"/>
      <c r="BB43" s="3"/>
      <c r="BC43" s="3"/>
      <c r="BD43" s="2"/>
      <c r="BE43" s="3"/>
      <c r="BF43" s="3"/>
      <c r="BG43" s="2"/>
      <c r="BH43" s="3"/>
      <c r="BI43" s="3"/>
      <c r="BJ43" s="2"/>
      <c r="BK43" s="3"/>
      <c r="BL43" s="3"/>
      <c r="BM43" s="2"/>
      <c r="BN43" s="3"/>
      <c r="BO43" s="3"/>
      <c r="BP43" s="2"/>
      <c r="BQ43" s="3"/>
      <c r="BR43" s="3"/>
      <c r="BS43" s="2"/>
    </row>
    <row r="44" spans="3:71" x14ac:dyDescent="0.2">
      <c r="C44" s="3">
        <v>589.52</v>
      </c>
      <c r="D44" s="3">
        <v>18.14</v>
      </c>
      <c r="E44" s="2">
        <f t="shared" si="23"/>
        <v>0.12124200962000001</v>
      </c>
      <c r="F44" s="3">
        <v>340.05</v>
      </c>
      <c r="G44" s="3">
        <v>18.899999999999999</v>
      </c>
      <c r="H44" s="2">
        <f t="shared" si="24"/>
        <v>7.5918287812499999E-2</v>
      </c>
      <c r="I44" s="3"/>
      <c r="J44" s="3"/>
      <c r="K44" s="2"/>
      <c r="L44" s="3"/>
      <c r="M44" s="3"/>
      <c r="N44" s="2"/>
      <c r="O44" s="3"/>
      <c r="P44" s="3"/>
      <c r="Q44" s="2"/>
      <c r="R44" s="3"/>
      <c r="S44" s="3"/>
      <c r="T44" s="2"/>
      <c r="U44" s="3"/>
      <c r="V44" s="3"/>
      <c r="W44" s="2"/>
      <c r="X44" s="3"/>
      <c r="Y44" s="3"/>
      <c r="Z44" s="2"/>
      <c r="AA44" s="3"/>
      <c r="AB44" s="3"/>
      <c r="AC44" s="2"/>
      <c r="AD44" s="3"/>
      <c r="AE44" s="3"/>
      <c r="AF44" s="2"/>
      <c r="AG44" s="3"/>
      <c r="AH44" s="3"/>
      <c r="AI44" s="2"/>
      <c r="AJ44" s="3"/>
      <c r="AK44" s="3"/>
      <c r="AL44" s="2"/>
      <c r="AM44" s="3"/>
      <c r="AN44" s="3"/>
      <c r="AO44" s="2"/>
      <c r="AP44" s="3"/>
      <c r="AQ44" s="3"/>
      <c r="AR44" s="2"/>
      <c r="AS44" s="3"/>
      <c r="AT44" s="3"/>
      <c r="AU44" s="2"/>
      <c r="AV44" s="3"/>
      <c r="AW44" s="3"/>
      <c r="AX44" s="2"/>
      <c r="AY44" s="3"/>
      <c r="AZ44" s="3"/>
      <c r="BA44" s="2"/>
      <c r="BB44" s="3"/>
      <c r="BC44" s="3"/>
      <c r="BD44" s="2"/>
      <c r="BE44" s="3"/>
      <c r="BF44" s="3"/>
      <c r="BG44" s="2"/>
      <c r="BH44" s="3"/>
      <c r="BI44" s="3"/>
      <c r="BJ44" s="2"/>
      <c r="BK44" s="3"/>
      <c r="BL44" s="3"/>
      <c r="BM44" s="2"/>
      <c r="BN44" s="3"/>
      <c r="BO44" s="3"/>
      <c r="BP44" s="2"/>
      <c r="BQ44" s="3"/>
      <c r="BR44" s="3"/>
      <c r="BS44" s="2"/>
    </row>
    <row r="45" spans="3:71" x14ac:dyDescent="0.2">
      <c r="C45" s="3">
        <v>628.72</v>
      </c>
      <c r="D45" s="3">
        <v>20.54</v>
      </c>
      <c r="E45" s="2">
        <f t="shared" si="23"/>
        <v>0.16578230421999998</v>
      </c>
      <c r="F45" s="3">
        <v>338.9</v>
      </c>
      <c r="G45" s="3">
        <v>17.07</v>
      </c>
      <c r="H45" s="2">
        <f t="shared" si="24"/>
        <v>6.1718964131250005E-2</v>
      </c>
      <c r="I45" s="3"/>
      <c r="J45" s="3"/>
      <c r="K45" s="2"/>
      <c r="L45" s="3"/>
      <c r="M45" s="3"/>
      <c r="N45" s="2"/>
      <c r="O45" s="3"/>
      <c r="P45" s="3"/>
      <c r="Q45" s="2"/>
      <c r="R45" s="3"/>
      <c r="S45" s="3"/>
      <c r="T45" s="2"/>
      <c r="U45" s="3"/>
      <c r="V45" s="3"/>
      <c r="W45" s="2"/>
      <c r="X45" s="3"/>
      <c r="Y45" s="3"/>
      <c r="Z45" s="2"/>
      <c r="AA45" s="3"/>
      <c r="AB45" s="3"/>
      <c r="AC45" s="2"/>
      <c r="AD45" s="3"/>
      <c r="AE45" s="3"/>
      <c r="AF45" s="2"/>
      <c r="AG45" s="3"/>
      <c r="AH45" s="3"/>
      <c r="AI45" s="2"/>
      <c r="AJ45" s="3"/>
      <c r="AK45" s="3"/>
      <c r="AL45" s="2"/>
      <c r="AM45" s="3"/>
      <c r="AN45" s="3"/>
      <c r="AO45" s="2"/>
      <c r="AP45" s="3"/>
      <c r="AQ45" s="3"/>
      <c r="AR45" s="2"/>
      <c r="AS45" s="3"/>
      <c r="AT45" s="3"/>
      <c r="AU45" s="2"/>
      <c r="AV45" s="3"/>
      <c r="AW45" s="3"/>
      <c r="AX45" s="2"/>
      <c r="AY45" s="3"/>
      <c r="AZ45" s="3"/>
      <c r="BA45" s="2"/>
      <c r="BB45" s="3"/>
      <c r="BC45" s="3"/>
      <c r="BD45" s="2"/>
      <c r="BE45" s="3"/>
      <c r="BF45" s="3"/>
      <c r="BG45" s="2"/>
      <c r="BH45" s="3"/>
      <c r="BI45" s="3"/>
      <c r="BJ45" s="2"/>
      <c r="BK45" s="3"/>
      <c r="BL45" s="3"/>
      <c r="BM45" s="2"/>
      <c r="BN45" s="3"/>
      <c r="BO45" s="3"/>
      <c r="BP45" s="2"/>
      <c r="BQ45" s="3"/>
      <c r="BR45" s="3"/>
      <c r="BS45" s="2"/>
    </row>
    <row r="46" spans="3:71" x14ac:dyDescent="0.2">
      <c r="C46" s="3">
        <v>649.9</v>
      </c>
      <c r="D46" s="3">
        <v>24.99</v>
      </c>
      <c r="E46" s="2">
        <f t="shared" si="23"/>
        <v>0.25366413436874996</v>
      </c>
      <c r="F46" s="3">
        <v>368.9</v>
      </c>
      <c r="G46" s="3">
        <v>22.98</v>
      </c>
      <c r="H46" s="2">
        <f t="shared" si="24"/>
        <v>0.121755537225</v>
      </c>
      <c r="I46" s="3"/>
      <c r="J46" s="3"/>
      <c r="K46" s="2"/>
      <c r="L46" s="3"/>
      <c r="M46" s="3"/>
      <c r="N46" s="2"/>
      <c r="O46" s="3"/>
      <c r="P46" s="3"/>
      <c r="Q46" s="2"/>
      <c r="R46" s="3"/>
      <c r="S46" s="3"/>
      <c r="T46" s="2"/>
      <c r="U46" s="3"/>
      <c r="V46" s="3"/>
      <c r="W46" s="2"/>
      <c r="X46" s="3"/>
      <c r="Y46" s="3"/>
      <c r="Z46" s="2"/>
      <c r="AA46" s="3"/>
      <c r="AB46" s="3"/>
      <c r="AC46" s="2"/>
      <c r="AD46" s="3"/>
      <c r="AE46" s="3"/>
      <c r="AF46" s="2"/>
      <c r="AG46" s="3"/>
      <c r="AH46" s="3"/>
      <c r="AI46" s="2"/>
      <c r="AJ46" s="3"/>
      <c r="AK46" s="3"/>
      <c r="AL46" s="2"/>
      <c r="AM46" s="3"/>
      <c r="AN46" s="3"/>
      <c r="AO46" s="2"/>
      <c r="AP46" s="3"/>
      <c r="AQ46" s="3"/>
      <c r="AR46" s="2"/>
      <c r="AS46" s="3"/>
      <c r="AT46" s="3"/>
      <c r="AU46" s="2"/>
      <c r="AV46" s="3"/>
      <c r="AW46" s="3"/>
      <c r="AX46" s="2"/>
      <c r="AY46" s="3"/>
      <c r="AZ46" s="3"/>
      <c r="BA46" s="2"/>
      <c r="BB46" s="3"/>
      <c r="BC46" s="3"/>
      <c r="BD46" s="2"/>
      <c r="BE46" s="3"/>
      <c r="BF46" s="3"/>
      <c r="BG46" s="2"/>
      <c r="BH46" s="3"/>
      <c r="BI46" s="3"/>
      <c r="BJ46" s="2"/>
      <c r="BK46" s="3"/>
      <c r="BL46" s="3"/>
      <c r="BM46" s="2"/>
      <c r="BN46" s="3"/>
      <c r="BO46" s="3"/>
      <c r="BP46" s="2"/>
      <c r="BQ46" s="3"/>
      <c r="BR46" s="3"/>
      <c r="BS46" s="2"/>
    </row>
    <row r="47" spans="3:71" x14ac:dyDescent="0.2">
      <c r="C47" s="3">
        <v>578.57000000000005</v>
      </c>
      <c r="D47" s="3">
        <v>22.54</v>
      </c>
      <c r="E47" s="2">
        <f t="shared" si="23"/>
        <v>0.18371463388249998</v>
      </c>
      <c r="F47" s="3">
        <v>314.64</v>
      </c>
      <c r="G47" s="3">
        <v>15.16</v>
      </c>
      <c r="H47" s="2">
        <f t="shared" si="24"/>
        <v>4.5195204240000002E-2</v>
      </c>
      <c r="I47" s="3"/>
      <c r="J47" s="3"/>
      <c r="K47" s="2"/>
      <c r="L47" s="3"/>
      <c r="M47" s="3"/>
      <c r="N47" s="2"/>
      <c r="O47" s="3"/>
      <c r="P47" s="3"/>
      <c r="Q47" s="2"/>
      <c r="R47" s="3"/>
      <c r="S47" s="3"/>
      <c r="T47" s="2"/>
      <c r="U47" s="3"/>
      <c r="V47" s="3"/>
      <c r="W47" s="2"/>
      <c r="X47" s="3"/>
      <c r="Y47" s="3"/>
      <c r="Z47" s="2"/>
      <c r="AA47" s="3"/>
      <c r="AB47" s="3"/>
      <c r="AC47" s="2"/>
      <c r="AD47" s="3"/>
      <c r="AE47" s="3"/>
      <c r="AF47" s="2"/>
      <c r="AG47" s="3"/>
      <c r="AH47" s="3"/>
      <c r="AI47" s="2"/>
      <c r="AJ47" s="3"/>
      <c r="AK47" s="3"/>
      <c r="AL47" s="2"/>
      <c r="AM47" s="3"/>
      <c r="AN47" s="3"/>
      <c r="AO47" s="2"/>
      <c r="AP47" s="3"/>
      <c r="AQ47" s="3"/>
      <c r="AR47" s="2"/>
      <c r="AS47" s="3"/>
      <c r="AT47" s="3"/>
      <c r="AU47" s="2"/>
      <c r="AV47" s="3"/>
      <c r="AW47" s="3"/>
      <c r="AX47" s="2"/>
      <c r="AY47" s="3"/>
      <c r="AZ47" s="3"/>
      <c r="BA47" s="2"/>
      <c r="BB47" s="3"/>
      <c r="BC47" s="3"/>
      <c r="BD47" s="2"/>
      <c r="BE47" s="3"/>
      <c r="BF47" s="3"/>
      <c r="BG47" s="2"/>
      <c r="BH47" s="3"/>
      <c r="BI47" s="3"/>
      <c r="BJ47" s="2"/>
      <c r="BK47" s="3"/>
      <c r="BL47" s="3"/>
      <c r="BM47" s="2"/>
      <c r="BN47" s="3"/>
      <c r="BO47" s="3"/>
      <c r="BP47" s="2"/>
      <c r="BQ47" s="3"/>
      <c r="BR47" s="3"/>
      <c r="BS47" s="2"/>
    </row>
    <row r="48" spans="3:71" x14ac:dyDescent="0.2">
      <c r="C48" s="3">
        <v>640.4</v>
      </c>
      <c r="D48" s="3">
        <v>19.84</v>
      </c>
      <c r="E48" s="2">
        <f t="shared" si="23"/>
        <v>0.15754864639999999</v>
      </c>
      <c r="F48" s="3">
        <v>362.78</v>
      </c>
      <c r="G48" s="3">
        <v>22</v>
      </c>
      <c r="H48" s="2">
        <f t="shared" si="24"/>
        <v>0.10974094999999999</v>
      </c>
      <c r="I48" s="3"/>
      <c r="J48" s="3"/>
      <c r="K48" s="2"/>
      <c r="L48" s="3"/>
      <c r="M48" s="3"/>
      <c r="N48" s="2"/>
      <c r="O48" s="3"/>
      <c r="P48" s="3"/>
      <c r="Q48" s="2"/>
      <c r="R48" s="3"/>
      <c r="S48" s="3"/>
      <c r="T48" s="2"/>
      <c r="U48" s="3"/>
      <c r="V48" s="3"/>
      <c r="W48" s="2"/>
      <c r="X48" s="3"/>
      <c r="Y48" s="3"/>
      <c r="Z48" s="2"/>
      <c r="AA48" s="3"/>
      <c r="AB48" s="3"/>
      <c r="AC48" s="2"/>
      <c r="AD48" s="3"/>
      <c r="AE48" s="3"/>
      <c r="AF48" s="2"/>
      <c r="AG48" s="3"/>
      <c r="AH48" s="3"/>
      <c r="AI48" s="2"/>
      <c r="AJ48" s="3"/>
      <c r="AK48" s="3"/>
      <c r="AL48" s="2"/>
      <c r="AM48" s="3"/>
      <c r="AN48" s="3"/>
      <c r="AO48" s="2"/>
      <c r="AP48" s="3"/>
      <c r="AQ48" s="3"/>
      <c r="AR48" s="2"/>
      <c r="AS48" s="3"/>
      <c r="AT48" s="3"/>
      <c r="AU48" s="2"/>
      <c r="AV48" s="3"/>
      <c r="AW48" s="3"/>
      <c r="AX48" s="2"/>
      <c r="AY48" s="3"/>
      <c r="AZ48" s="3"/>
      <c r="BA48" s="2"/>
      <c r="BB48" s="3"/>
      <c r="BC48" s="3"/>
      <c r="BD48" s="2"/>
      <c r="BE48" s="3"/>
      <c r="BF48" s="3"/>
      <c r="BG48" s="2"/>
      <c r="BH48" s="3"/>
      <c r="BI48" s="3"/>
      <c r="BJ48" s="2"/>
      <c r="BK48" s="3"/>
      <c r="BL48" s="3"/>
      <c r="BM48" s="2"/>
      <c r="BN48" s="3"/>
      <c r="BO48" s="3"/>
      <c r="BP48" s="2"/>
      <c r="BQ48" s="3"/>
      <c r="BR48" s="3"/>
      <c r="BS48" s="2"/>
    </row>
    <row r="49" spans="3:71" x14ac:dyDescent="0.2">
      <c r="C49" s="3">
        <v>427.46</v>
      </c>
      <c r="D49" s="3">
        <v>18.16</v>
      </c>
      <c r="E49" s="2">
        <f t="shared" si="23"/>
        <v>8.8106345359999991E-2</v>
      </c>
      <c r="F49" s="3">
        <v>245.19</v>
      </c>
      <c r="G49" s="3">
        <v>14.38</v>
      </c>
      <c r="H49" s="2">
        <f t="shared" si="24"/>
        <v>3.1688416897500009E-2</v>
      </c>
      <c r="I49" s="3"/>
      <c r="J49" s="3"/>
      <c r="K49" s="2"/>
      <c r="L49" s="3"/>
      <c r="M49" s="3"/>
      <c r="N49" s="2"/>
      <c r="O49" s="3"/>
      <c r="P49" s="3"/>
      <c r="Q49" s="2"/>
      <c r="R49" s="3"/>
      <c r="S49" s="3"/>
      <c r="T49" s="2"/>
      <c r="U49" s="3"/>
      <c r="V49" s="3"/>
      <c r="W49" s="2"/>
      <c r="X49" s="3"/>
      <c r="Y49" s="3"/>
      <c r="Z49" s="2"/>
      <c r="AA49" s="3"/>
      <c r="AB49" s="3"/>
      <c r="AC49" s="2"/>
      <c r="AD49" s="3"/>
      <c r="AE49" s="3"/>
      <c r="AF49" s="2"/>
      <c r="AG49" s="3"/>
      <c r="AH49" s="3"/>
      <c r="AI49" s="2"/>
      <c r="AJ49" s="3"/>
      <c r="AK49" s="3"/>
      <c r="AL49" s="2"/>
      <c r="AM49" s="3"/>
      <c r="AN49" s="3"/>
      <c r="AO49" s="2"/>
      <c r="AP49" s="3"/>
      <c r="AQ49" s="3"/>
      <c r="AR49" s="2"/>
      <c r="AS49" s="3"/>
      <c r="AT49" s="3"/>
      <c r="AU49" s="2"/>
      <c r="AV49" s="3"/>
      <c r="AW49" s="3"/>
      <c r="AX49" s="2"/>
      <c r="AY49" s="3"/>
      <c r="AZ49" s="3"/>
      <c r="BA49" s="2"/>
      <c r="BB49" s="3"/>
      <c r="BC49" s="3"/>
      <c r="BD49" s="2"/>
      <c r="BE49" s="3"/>
      <c r="BF49" s="3"/>
      <c r="BG49" s="2"/>
      <c r="BH49" s="3"/>
      <c r="BI49" s="3"/>
      <c r="BJ49" s="2"/>
      <c r="BK49" s="3"/>
      <c r="BL49" s="3"/>
      <c r="BM49" s="2"/>
      <c r="BN49" s="3"/>
      <c r="BO49" s="3"/>
      <c r="BP49" s="2"/>
      <c r="BQ49" s="3"/>
      <c r="BR49" s="3"/>
      <c r="BS49" s="2"/>
    </row>
    <row r="50" spans="3:71" x14ac:dyDescent="0.2">
      <c r="C50" s="3">
        <v>527.49</v>
      </c>
      <c r="D50" s="3">
        <v>16.46</v>
      </c>
      <c r="E50" s="2">
        <f t="shared" si="23"/>
        <v>8.9321068552500021E-2</v>
      </c>
      <c r="F50" s="3">
        <v>288.04000000000002</v>
      </c>
      <c r="G50" s="3">
        <v>14.22</v>
      </c>
      <c r="H50" s="2">
        <f t="shared" si="24"/>
        <v>3.6402567210000007E-2</v>
      </c>
      <c r="I50" s="3"/>
      <c r="J50" s="3"/>
      <c r="K50" s="2"/>
      <c r="L50" s="3"/>
      <c r="M50" s="3"/>
      <c r="N50" s="2"/>
      <c r="O50" s="3"/>
      <c r="P50" s="3"/>
      <c r="Q50" s="2"/>
      <c r="R50" s="3"/>
      <c r="S50" s="3"/>
      <c r="T50" s="2"/>
      <c r="U50" s="3"/>
      <c r="V50" s="3"/>
      <c r="W50" s="2"/>
      <c r="X50" s="3"/>
      <c r="Y50" s="3"/>
      <c r="Z50" s="2"/>
      <c r="AA50" s="3"/>
      <c r="AB50" s="3"/>
      <c r="AC50" s="2"/>
      <c r="AD50" s="3"/>
      <c r="AE50" s="3"/>
      <c r="AF50" s="2"/>
      <c r="AG50" s="3"/>
      <c r="AH50" s="3"/>
      <c r="AI50" s="2"/>
      <c r="AJ50" s="3"/>
      <c r="AK50" s="3"/>
      <c r="AL50" s="2"/>
      <c r="AM50" s="3"/>
      <c r="AN50" s="3"/>
      <c r="AO50" s="2"/>
      <c r="AP50" s="3"/>
      <c r="AQ50" s="3"/>
      <c r="AR50" s="2"/>
      <c r="AS50" s="3"/>
      <c r="AT50" s="3"/>
      <c r="AU50" s="2"/>
      <c r="AV50" s="3"/>
      <c r="AW50" s="3"/>
      <c r="AX50" s="2"/>
      <c r="AY50" s="3"/>
      <c r="AZ50" s="3"/>
      <c r="BA50" s="2"/>
      <c r="BB50" s="3"/>
      <c r="BC50" s="3"/>
      <c r="BD50" s="2"/>
      <c r="BE50" s="3"/>
      <c r="BF50" s="3"/>
      <c r="BG50" s="2"/>
      <c r="BH50" s="3"/>
      <c r="BI50" s="3"/>
      <c r="BJ50" s="2"/>
      <c r="BK50" s="3"/>
      <c r="BL50" s="3"/>
      <c r="BM50" s="2"/>
      <c r="BN50" s="3"/>
      <c r="BO50" s="3"/>
      <c r="BP50" s="2"/>
      <c r="BQ50" s="3"/>
      <c r="BR50" s="3"/>
      <c r="BS50" s="2"/>
    </row>
    <row r="51" spans="3:71" x14ac:dyDescent="0.2">
      <c r="C51" s="3"/>
      <c r="D51" s="3"/>
      <c r="E51" s="2"/>
      <c r="F51" s="3">
        <v>334.77</v>
      </c>
      <c r="G51" s="3">
        <v>16.239999999999998</v>
      </c>
      <c r="H51" s="2">
        <f t="shared" si="24"/>
        <v>5.5182147719999991E-2</v>
      </c>
      <c r="I51" s="3"/>
      <c r="J51" s="3"/>
      <c r="K51" s="2"/>
      <c r="L51" s="3"/>
      <c r="M51" s="3"/>
      <c r="N51" s="2"/>
      <c r="O51" s="3"/>
      <c r="P51" s="3"/>
      <c r="Q51" s="2"/>
      <c r="R51" s="3"/>
      <c r="S51" s="3"/>
      <c r="T51" s="2"/>
      <c r="U51" s="3"/>
      <c r="V51" s="3"/>
      <c r="W51" s="2"/>
      <c r="X51" s="3"/>
      <c r="Y51" s="3"/>
      <c r="Z51" s="2"/>
      <c r="AA51" s="3"/>
      <c r="AB51" s="3"/>
      <c r="AC51" s="2"/>
      <c r="AD51" s="3"/>
      <c r="AE51" s="3"/>
      <c r="AF51" s="2"/>
      <c r="AG51" s="3"/>
      <c r="AH51" s="3"/>
      <c r="AI51" s="2"/>
      <c r="AJ51" s="3"/>
      <c r="AK51" s="3"/>
      <c r="AL51" s="2"/>
      <c r="AM51" s="3"/>
      <c r="AN51" s="3"/>
      <c r="AO51" s="2"/>
      <c r="AP51" s="3"/>
      <c r="AQ51" s="3"/>
      <c r="AR51" s="2"/>
      <c r="AS51" s="3"/>
      <c r="AT51" s="3"/>
      <c r="AU51" s="2"/>
      <c r="AV51" s="3"/>
      <c r="AW51" s="3"/>
      <c r="AX51" s="2"/>
      <c r="AY51" s="3"/>
      <c r="AZ51" s="3"/>
      <c r="BA51" s="2"/>
      <c r="BB51" s="3"/>
      <c r="BC51" s="3"/>
      <c r="BD51" s="2"/>
      <c r="BE51" s="3"/>
      <c r="BF51" s="3"/>
      <c r="BG51" s="2"/>
      <c r="BH51" s="3"/>
      <c r="BI51" s="3"/>
      <c r="BJ51" s="2"/>
      <c r="BK51" s="3"/>
      <c r="BL51" s="3"/>
      <c r="BM51" s="2"/>
      <c r="BN51" s="3"/>
      <c r="BO51" s="3"/>
      <c r="BP51" s="2"/>
      <c r="BQ51" s="3"/>
      <c r="BR51" s="3"/>
      <c r="BS51" s="2"/>
    </row>
    <row r="52" spans="3:71" x14ac:dyDescent="0.2">
      <c r="C52" s="3"/>
      <c r="D52" s="3"/>
      <c r="E52" s="2"/>
      <c r="F52" s="3">
        <v>332.03</v>
      </c>
      <c r="G52" s="3">
        <v>16.149999999999999</v>
      </c>
      <c r="H52" s="2">
        <f t="shared" si="24"/>
        <v>5.4125559171874983E-2</v>
      </c>
      <c r="I52" s="3"/>
      <c r="J52" s="3"/>
      <c r="K52" s="2"/>
      <c r="L52" s="3"/>
      <c r="M52" s="3"/>
      <c r="N52" s="2"/>
      <c r="O52" s="3"/>
      <c r="P52" s="3"/>
      <c r="Q52" s="2"/>
      <c r="R52" s="3"/>
      <c r="S52" s="3"/>
      <c r="T52" s="2"/>
      <c r="U52" s="3"/>
      <c r="V52" s="3"/>
      <c r="W52" s="2"/>
      <c r="X52" s="3"/>
      <c r="Y52" s="3"/>
      <c r="Z52" s="2"/>
      <c r="AA52" s="3"/>
      <c r="AB52" s="3"/>
      <c r="AC52" s="2"/>
      <c r="AD52" s="3"/>
      <c r="AE52" s="3"/>
      <c r="AF52" s="2"/>
      <c r="AG52" s="3"/>
      <c r="AH52" s="3"/>
      <c r="AI52" s="2"/>
      <c r="AJ52" s="3"/>
      <c r="AK52" s="3"/>
      <c r="AL52" s="2"/>
      <c r="AM52" s="3"/>
      <c r="AN52" s="3"/>
      <c r="AO52" s="2"/>
      <c r="AP52" s="3"/>
      <c r="AQ52" s="3"/>
      <c r="AR52" s="2"/>
      <c r="AS52" s="3"/>
      <c r="AT52" s="3"/>
      <c r="AU52" s="2"/>
      <c r="AV52" s="3"/>
      <c r="AW52" s="3"/>
      <c r="AX52" s="2"/>
      <c r="AY52" s="3"/>
      <c r="AZ52" s="3"/>
      <c r="BA52" s="2"/>
      <c r="BB52" s="3"/>
      <c r="BC52" s="3"/>
      <c r="BD52" s="2"/>
      <c r="BE52" s="3"/>
      <c r="BF52" s="3"/>
      <c r="BG52" s="2"/>
      <c r="BH52" s="3"/>
      <c r="BI52" s="3"/>
      <c r="BJ52" s="2"/>
      <c r="BK52" s="3"/>
      <c r="BL52" s="3"/>
      <c r="BM52" s="2"/>
      <c r="BN52" s="3"/>
      <c r="BO52" s="3"/>
      <c r="BP52" s="2"/>
      <c r="BQ52" s="3"/>
      <c r="BR52" s="3"/>
      <c r="BS52" s="2"/>
    </row>
    <row r="53" spans="3:71" x14ac:dyDescent="0.2">
      <c r="C53" s="3"/>
      <c r="D53" s="3"/>
      <c r="E53" s="2"/>
      <c r="F53" s="3">
        <v>302.60000000000002</v>
      </c>
      <c r="G53" s="3">
        <v>13.97</v>
      </c>
      <c r="H53" s="2">
        <f t="shared" si="24"/>
        <v>3.6909805212500008E-2</v>
      </c>
      <c r="I53" s="3"/>
      <c r="J53" s="3"/>
      <c r="K53" s="2"/>
      <c r="L53" s="3"/>
      <c r="M53" s="3"/>
      <c r="N53" s="2"/>
      <c r="O53" s="3"/>
      <c r="P53" s="3"/>
      <c r="Q53" s="2"/>
      <c r="R53" s="3"/>
      <c r="S53" s="3"/>
      <c r="T53" s="2"/>
      <c r="U53" s="3"/>
      <c r="V53" s="3"/>
      <c r="W53" s="2"/>
      <c r="X53" s="3"/>
      <c r="Y53" s="3"/>
      <c r="Z53" s="2"/>
      <c r="AA53" s="3"/>
      <c r="AB53" s="3"/>
      <c r="AC53" s="2"/>
      <c r="AD53" s="3"/>
      <c r="AE53" s="3"/>
      <c r="AF53" s="2"/>
      <c r="AG53" s="3"/>
      <c r="AH53" s="3"/>
      <c r="AI53" s="2"/>
      <c r="AJ53" s="3"/>
      <c r="AK53" s="3"/>
      <c r="AL53" s="2"/>
      <c r="AM53" s="3"/>
      <c r="AN53" s="3"/>
      <c r="AO53" s="2"/>
      <c r="AP53" s="3"/>
      <c r="AQ53" s="3"/>
      <c r="AR53" s="2"/>
      <c r="AS53" s="3"/>
      <c r="AT53" s="3"/>
      <c r="AU53" s="2"/>
      <c r="AV53" s="3"/>
      <c r="AW53" s="3"/>
      <c r="AX53" s="2"/>
      <c r="AY53" s="3"/>
      <c r="AZ53" s="3"/>
      <c r="BA53" s="2"/>
      <c r="BB53" s="3"/>
      <c r="BC53" s="3"/>
      <c r="BD53" s="2"/>
      <c r="BE53" s="3"/>
      <c r="BF53" s="3"/>
      <c r="BG53" s="2"/>
      <c r="BH53" s="3"/>
      <c r="BI53" s="3"/>
      <c r="BJ53" s="2"/>
      <c r="BK53" s="3"/>
      <c r="BL53" s="3"/>
      <c r="BM53" s="2"/>
      <c r="BN53" s="3"/>
      <c r="BO53" s="3"/>
      <c r="BP53" s="2"/>
      <c r="BQ53" s="3"/>
      <c r="BR53" s="3"/>
      <c r="BS53" s="2"/>
    </row>
    <row r="54" spans="3:71" x14ac:dyDescent="0.2">
      <c r="C54" s="3"/>
      <c r="D54" s="3"/>
      <c r="E54" s="2"/>
      <c r="F54" s="3">
        <v>267.99</v>
      </c>
      <c r="G54" s="3">
        <v>16</v>
      </c>
      <c r="H54" s="2">
        <f t="shared" si="24"/>
        <v>4.2878400000000004E-2</v>
      </c>
      <c r="I54" s="3"/>
      <c r="J54" s="3"/>
      <c r="K54" s="2"/>
      <c r="L54" s="3"/>
      <c r="M54" s="3"/>
      <c r="N54" s="2"/>
      <c r="O54" s="3"/>
      <c r="P54" s="3"/>
      <c r="Q54" s="2"/>
      <c r="R54" s="3"/>
      <c r="S54" s="3"/>
      <c r="T54" s="2"/>
      <c r="U54" s="3"/>
      <c r="V54" s="3"/>
      <c r="W54" s="2"/>
      <c r="X54" s="3"/>
      <c r="Y54" s="3"/>
      <c r="Z54" s="2"/>
      <c r="AA54" s="3"/>
      <c r="AB54" s="3"/>
      <c r="AC54" s="2"/>
      <c r="AD54" s="3"/>
      <c r="AE54" s="3"/>
      <c r="AF54" s="2"/>
      <c r="AG54" s="3"/>
      <c r="AH54" s="3"/>
      <c r="AI54" s="2"/>
      <c r="AJ54" s="3"/>
      <c r="AK54" s="3"/>
      <c r="AL54" s="2"/>
      <c r="AM54" s="3"/>
      <c r="AN54" s="3"/>
      <c r="AO54" s="2"/>
      <c r="AP54" s="3"/>
      <c r="AQ54" s="3"/>
      <c r="AR54" s="2"/>
      <c r="AS54" s="3"/>
      <c r="AT54" s="3"/>
      <c r="AU54" s="2"/>
      <c r="AV54" s="3"/>
      <c r="AW54" s="3"/>
      <c r="AX54" s="2"/>
      <c r="AY54" s="3"/>
      <c r="AZ54" s="3"/>
      <c r="BA54" s="2"/>
      <c r="BB54" s="3"/>
      <c r="BC54" s="3"/>
      <c r="BD54" s="2"/>
      <c r="BE54" s="3"/>
      <c r="BF54" s="3"/>
      <c r="BG54" s="2"/>
      <c r="BH54" s="3"/>
      <c r="BI54" s="3"/>
      <c r="BJ54" s="2"/>
      <c r="BK54" s="3"/>
      <c r="BL54" s="3"/>
      <c r="BM54" s="2"/>
      <c r="BN54" s="3"/>
      <c r="BO54" s="3"/>
      <c r="BP54" s="2"/>
      <c r="BQ54" s="3"/>
      <c r="BR54" s="3"/>
      <c r="BS54" s="2"/>
    </row>
    <row r="55" spans="3:71" x14ac:dyDescent="0.2">
      <c r="C55" s="3"/>
      <c r="D55" s="3"/>
      <c r="E55" s="2"/>
      <c r="F55" s="3">
        <v>306.37</v>
      </c>
      <c r="G55" s="3">
        <v>15.57</v>
      </c>
      <c r="H55" s="2">
        <f t="shared" si="24"/>
        <v>4.641982288312501E-2</v>
      </c>
      <c r="I55" s="3"/>
      <c r="J55" s="3"/>
      <c r="K55" s="2"/>
      <c r="L55" s="3"/>
      <c r="M55" s="3"/>
      <c r="N55" s="2"/>
      <c r="O55" s="3"/>
      <c r="P55" s="3"/>
      <c r="Q55" s="2"/>
      <c r="R55" s="3"/>
      <c r="S55" s="3"/>
      <c r="T55" s="2"/>
      <c r="U55" s="3"/>
      <c r="V55" s="3"/>
      <c r="W55" s="2"/>
      <c r="X55" s="3"/>
      <c r="Y55" s="3"/>
      <c r="Z55" s="2"/>
      <c r="AA55" s="3"/>
      <c r="AB55" s="3"/>
      <c r="AC55" s="2"/>
      <c r="AD55" s="3"/>
      <c r="AE55" s="3"/>
      <c r="AF55" s="2"/>
      <c r="AG55" s="3"/>
      <c r="AH55" s="3"/>
      <c r="AI55" s="2"/>
      <c r="AJ55" s="3"/>
      <c r="AK55" s="3"/>
      <c r="AL55" s="2"/>
      <c r="AM55" s="3"/>
      <c r="AN55" s="3"/>
      <c r="AO55" s="2"/>
      <c r="AP55" s="3"/>
      <c r="AQ55" s="3"/>
      <c r="AR55" s="2"/>
      <c r="AS55" s="3"/>
      <c r="AT55" s="3"/>
      <c r="AU55" s="2"/>
      <c r="AV55" s="3"/>
      <c r="AW55" s="3"/>
      <c r="AX55" s="2"/>
      <c r="AY55" s="3"/>
      <c r="AZ55" s="3"/>
      <c r="BA55" s="2"/>
      <c r="BB55" s="3"/>
      <c r="BC55" s="3"/>
      <c r="BD55" s="2"/>
      <c r="BE55" s="3"/>
      <c r="BF55" s="3"/>
      <c r="BG55" s="2"/>
      <c r="BH55" s="3"/>
      <c r="BI55" s="3"/>
      <c r="BJ55" s="2"/>
      <c r="BK55" s="3"/>
      <c r="BL55" s="3"/>
      <c r="BM55" s="2"/>
      <c r="BN55" s="3"/>
      <c r="BO55" s="3"/>
      <c r="BP55" s="2"/>
      <c r="BQ55" s="3"/>
      <c r="BR55" s="3"/>
      <c r="BS55" s="2"/>
    </row>
    <row r="56" spans="3:71" x14ac:dyDescent="0.2">
      <c r="C56" s="3"/>
      <c r="D56" s="3"/>
      <c r="E56" s="2"/>
      <c r="F56" s="3">
        <v>426.15</v>
      </c>
      <c r="G56" s="3">
        <v>20.95</v>
      </c>
      <c r="H56" s="2">
        <f t="shared" si="24"/>
        <v>0.11689893773437497</v>
      </c>
      <c r="I56" s="3"/>
      <c r="J56" s="3"/>
      <c r="K56" s="2"/>
      <c r="L56" s="3"/>
      <c r="M56" s="3"/>
      <c r="N56" s="2"/>
      <c r="O56" s="3"/>
      <c r="P56" s="3"/>
      <c r="Q56" s="2"/>
      <c r="R56" s="3"/>
      <c r="S56" s="3"/>
      <c r="T56" s="2"/>
      <c r="U56" s="3"/>
      <c r="V56" s="3"/>
      <c r="W56" s="2"/>
      <c r="X56" s="3"/>
      <c r="Y56" s="3"/>
      <c r="Z56" s="2"/>
      <c r="AA56" s="3"/>
      <c r="AB56" s="3"/>
      <c r="AC56" s="2"/>
      <c r="AD56" s="3"/>
      <c r="AE56" s="3"/>
      <c r="AF56" s="2"/>
      <c r="AG56" s="3"/>
      <c r="AH56" s="3"/>
      <c r="AI56" s="2"/>
      <c r="AJ56" s="3"/>
      <c r="AK56" s="3"/>
      <c r="AL56" s="2"/>
      <c r="AM56" s="3"/>
      <c r="AN56" s="3"/>
      <c r="AO56" s="2"/>
      <c r="AP56" s="3"/>
      <c r="AQ56" s="3"/>
      <c r="AR56" s="2"/>
      <c r="AS56" s="3"/>
      <c r="AT56" s="3"/>
      <c r="AU56" s="2"/>
      <c r="AV56" s="3"/>
      <c r="AW56" s="3"/>
      <c r="AX56" s="2"/>
      <c r="AY56" s="3"/>
      <c r="AZ56" s="3"/>
      <c r="BA56" s="2"/>
      <c r="BB56" s="3"/>
      <c r="BC56" s="3"/>
      <c r="BD56" s="2"/>
      <c r="BE56" s="3"/>
      <c r="BF56" s="3"/>
      <c r="BG56" s="2"/>
      <c r="BH56" s="3"/>
      <c r="BI56" s="3"/>
      <c r="BJ56" s="2"/>
      <c r="BK56" s="3"/>
      <c r="BL56" s="3"/>
      <c r="BM56" s="2"/>
      <c r="BN56" s="3"/>
      <c r="BO56" s="3"/>
      <c r="BP56" s="2"/>
      <c r="BQ56" s="3"/>
      <c r="BR56" s="3"/>
      <c r="BS56" s="2"/>
    </row>
    <row r="57" spans="3:71" x14ac:dyDescent="0.2">
      <c r="C57" s="3"/>
      <c r="D57" s="3"/>
      <c r="E57" s="2"/>
      <c r="F57" s="3">
        <v>422.38</v>
      </c>
      <c r="G57" s="3">
        <v>21.66</v>
      </c>
      <c r="H57" s="2">
        <f t="shared" si="24"/>
        <v>0.123851213955</v>
      </c>
      <c r="I57" s="3"/>
      <c r="J57" s="3"/>
      <c r="K57" s="2"/>
      <c r="L57" s="3"/>
      <c r="M57" s="3"/>
      <c r="N57" s="2"/>
      <c r="O57" s="3"/>
      <c r="P57" s="3"/>
      <c r="Q57" s="2"/>
      <c r="R57" s="3"/>
      <c r="S57" s="3"/>
      <c r="T57" s="2"/>
      <c r="U57" s="3"/>
      <c r="V57" s="3"/>
      <c r="W57" s="2"/>
      <c r="X57" s="3"/>
      <c r="Y57" s="3"/>
      <c r="Z57" s="2"/>
      <c r="AA57" s="3"/>
      <c r="AB57" s="3"/>
      <c r="AC57" s="2"/>
      <c r="AD57" s="3"/>
      <c r="AE57" s="3"/>
      <c r="AF57" s="2"/>
      <c r="AG57" s="3"/>
      <c r="AH57" s="3"/>
      <c r="AI57" s="2"/>
      <c r="AJ57" s="3"/>
      <c r="AK57" s="3"/>
      <c r="AL57" s="2"/>
      <c r="AM57" s="3"/>
      <c r="AN57" s="3"/>
      <c r="AO57" s="2"/>
      <c r="AP57" s="3"/>
      <c r="AQ57" s="3"/>
      <c r="AR57" s="2"/>
      <c r="AS57" s="3"/>
      <c r="AT57" s="3"/>
      <c r="AU57" s="2"/>
      <c r="AV57" s="3"/>
      <c r="AW57" s="3"/>
      <c r="AX57" s="2"/>
      <c r="AY57" s="3"/>
      <c r="AZ57" s="3"/>
      <c r="BA57" s="2"/>
      <c r="BB57" s="3"/>
      <c r="BC57" s="3"/>
      <c r="BD57" s="2"/>
      <c r="BE57" s="3"/>
      <c r="BF57" s="3"/>
      <c r="BG57" s="2"/>
      <c r="BH57" s="3"/>
      <c r="BI57" s="3"/>
      <c r="BJ57" s="2"/>
      <c r="BK57" s="3"/>
      <c r="BL57" s="3"/>
      <c r="BM57" s="2"/>
      <c r="BN57" s="3"/>
      <c r="BO57" s="3"/>
      <c r="BP57" s="2"/>
      <c r="BQ57" s="3"/>
      <c r="BR57" s="3"/>
      <c r="BS57" s="2"/>
    </row>
    <row r="58" spans="3:71" x14ac:dyDescent="0.2">
      <c r="C58" s="3"/>
      <c r="D58" s="3"/>
      <c r="E58" s="2"/>
      <c r="F58" s="3">
        <v>298.85000000000002</v>
      </c>
      <c r="G58" s="3">
        <v>14.88</v>
      </c>
      <c r="H58" s="2">
        <f t="shared" si="24"/>
        <v>4.1356058400000013E-2</v>
      </c>
      <c r="I58" s="3"/>
      <c r="J58" s="3"/>
      <c r="K58" s="2"/>
      <c r="L58" s="3"/>
      <c r="M58" s="3"/>
      <c r="N58" s="2"/>
      <c r="O58" s="3"/>
      <c r="P58" s="3"/>
      <c r="Q58" s="2"/>
      <c r="R58" s="3"/>
      <c r="S58" s="3"/>
      <c r="T58" s="2"/>
      <c r="U58" s="3"/>
      <c r="V58" s="3"/>
      <c r="W58" s="2"/>
      <c r="X58" s="3"/>
      <c r="Y58" s="3"/>
      <c r="Z58" s="2"/>
      <c r="AA58" s="3"/>
      <c r="AB58" s="3"/>
      <c r="AC58" s="2"/>
      <c r="AD58" s="3"/>
      <c r="AE58" s="3"/>
      <c r="AF58" s="2"/>
      <c r="AG58" s="3"/>
      <c r="AH58" s="3"/>
      <c r="AI58" s="2"/>
      <c r="AJ58" s="3"/>
      <c r="AK58" s="3"/>
      <c r="AL58" s="2"/>
      <c r="AM58" s="3"/>
      <c r="AN58" s="3"/>
      <c r="AO58" s="2"/>
      <c r="AP58" s="3"/>
      <c r="AQ58" s="3"/>
      <c r="AR58" s="2"/>
      <c r="AS58" s="3"/>
      <c r="AT58" s="3"/>
      <c r="AU58" s="2"/>
      <c r="AV58" s="3"/>
      <c r="AW58" s="3"/>
      <c r="AX58" s="2"/>
      <c r="AY58" s="3"/>
      <c r="AZ58" s="3"/>
      <c r="BA58" s="2"/>
      <c r="BB58" s="3"/>
      <c r="BC58" s="3"/>
      <c r="BD58" s="2"/>
      <c r="BE58" s="3"/>
      <c r="BF58" s="3"/>
      <c r="BG58" s="2"/>
      <c r="BH58" s="3"/>
      <c r="BI58" s="3"/>
      <c r="BJ58" s="2"/>
      <c r="BK58" s="3"/>
      <c r="BL58" s="3"/>
      <c r="BM58" s="2"/>
      <c r="BN58" s="3"/>
      <c r="BO58" s="3"/>
      <c r="BP58" s="2"/>
      <c r="BQ58" s="3"/>
      <c r="BR58" s="3"/>
      <c r="BS58" s="2"/>
    </row>
    <row r="59" spans="3:71" x14ac:dyDescent="0.2">
      <c r="C59" s="3"/>
      <c r="D59" s="3"/>
      <c r="E59" s="2"/>
      <c r="F59" s="3">
        <v>395.31</v>
      </c>
      <c r="G59" s="3">
        <v>22.76</v>
      </c>
      <c r="H59" s="2">
        <f t="shared" si="24"/>
        <v>0.12798596091</v>
      </c>
      <c r="I59" s="3"/>
      <c r="J59" s="3"/>
      <c r="K59" s="2"/>
      <c r="L59" s="3"/>
      <c r="M59" s="3"/>
      <c r="N59" s="2"/>
      <c r="O59" s="3"/>
      <c r="P59" s="3"/>
      <c r="Q59" s="2"/>
      <c r="R59" s="3"/>
      <c r="S59" s="3"/>
      <c r="T59" s="2"/>
      <c r="U59" s="3"/>
      <c r="V59" s="3"/>
      <c r="W59" s="2"/>
      <c r="X59" s="3"/>
      <c r="Y59" s="3"/>
      <c r="Z59" s="2"/>
      <c r="AA59" s="3"/>
      <c r="AB59" s="3"/>
      <c r="AC59" s="2"/>
      <c r="AD59" s="3"/>
      <c r="AE59" s="3"/>
      <c r="AF59" s="2"/>
      <c r="AG59" s="3"/>
      <c r="AH59" s="3"/>
      <c r="AI59" s="2"/>
      <c r="AJ59" s="3"/>
      <c r="AK59" s="3"/>
      <c r="AL59" s="2"/>
      <c r="AM59" s="3"/>
      <c r="AN59" s="3"/>
      <c r="AO59" s="2"/>
      <c r="AP59" s="3"/>
      <c r="AQ59" s="3"/>
      <c r="AR59" s="2"/>
      <c r="AS59" s="3"/>
      <c r="AT59" s="3"/>
      <c r="AU59" s="2"/>
      <c r="AV59" s="3"/>
      <c r="AW59" s="3"/>
      <c r="AX59" s="2"/>
      <c r="AY59" s="3"/>
      <c r="AZ59" s="3"/>
      <c r="BA59" s="2"/>
      <c r="BB59" s="3"/>
      <c r="BC59" s="3"/>
      <c r="BD59" s="2"/>
      <c r="BE59" s="3"/>
      <c r="BF59" s="3"/>
      <c r="BG59" s="2"/>
      <c r="BH59" s="3"/>
      <c r="BI59" s="3"/>
      <c r="BJ59" s="2"/>
      <c r="BK59" s="3"/>
      <c r="BL59" s="3"/>
      <c r="BM59" s="2"/>
      <c r="BN59" s="3"/>
      <c r="BO59" s="3"/>
      <c r="BP59" s="2"/>
      <c r="BQ59" s="3"/>
      <c r="BR59" s="3"/>
      <c r="BS59" s="2"/>
    </row>
    <row r="60" spans="3:71" x14ac:dyDescent="0.2">
      <c r="C60" s="3"/>
      <c r="D60" s="3"/>
      <c r="E60" s="2"/>
      <c r="F60" s="3">
        <v>367.02</v>
      </c>
      <c r="G60" s="3">
        <v>19.16</v>
      </c>
      <c r="H60" s="2">
        <f t="shared" si="24"/>
        <v>8.4209435819999998E-2</v>
      </c>
      <c r="I60" s="3"/>
      <c r="J60" s="3"/>
      <c r="K60" s="2"/>
      <c r="L60" s="3"/>
      <c r="M60" s="3"/>
      <c r="N60" s="2"/>
      <c r="O60" s="3"/>
      <c r="P60" s="3"/>
      <c r="Q60" s="2"/>
      <c r="R60" s="3"/>
      <c r="S60" s="3"/>
      <c r="T60" s="2"/>
      <c r="U60" s="3"/>
      <c r="V60" s="3"/>
      <c r="W60" s="2"/>
      <c r="X60" s="3"/>
      <c r="Y60" s="3"/>
      <c r="Z60" s="2"/>
      <c r="AA60" s="3"/>
      <c r="AB60" s="3"/>
      <c r="AC60" s="2"/>
      <c r="AD60" s="3"/>
      <c r="AE60" s="3"/>
      <c r="AF60" s="2"/>
      <c r="AG60" s="3"/>
      <c r="AH60" s="3"/>
      <c r="AI60" s="2"/>
      <c r="AJ60" s="3"/>
      <c r="AK60" s="3"/>
      <c r="AL60" s="2"/>
      <c r="AM60" s="3"/>
      <c r="AN60" s="3"/>
      <c r="AO60" s="2"/>
      <c r="AP60" s="3"/>
      <c r="AQ60" s="3"/>
      <c r="AR60" s="2"/>
      <c r="AS60" s="3"/>
      <c r="AT60" s="3"/>
      <c r="AU60" s="2"/>
      <c r="AV60" s="3"/>
      <c r="AW60" s="3"/>
      <c r="AX60" s="2"/>
      <c r="AY60" s="3"/>
      <c r="AZ60" s="3"/>
      <c r="BA60" s="2"/>
      <c r="BB60" s="3"/>
      <c r="BC60" s="3"/>
      <c r="BD60" s="2"/>
      <c r="BE60" s="3"/>
      <c r="BF60" s="3"/>
      <c r="BG60" s="2"/>
      <c r="BH60" s="3"/>
      <c r="BI60" s="3"/>
      <c r="BJ60" s="2"/>
      <c r="BK60" s="3"/>
      <c r="BL60" s="3"/>
      <c r="BM60" s="2"/>
      <c r="BN60" s="3"/>
      <c r="BO60" s="3"/>
      <c r="BP60" s="2"/>
      <c r="BQ60" s="3"/>
      <c r="BR60" s="3"/>
      <c r="BS60" s="2"/>
    </row>
    <row r="61" spans="3:71" x14ac:dyDescent="0.2">
      <c r="C61" s="3"/>
      <c r="D61" s="3"/>
      <c r="E61" s="2"/>
      <c r="F61" s="3">
        <v>344.77</v>
      </c>
      <c r="G61" s="3">
        <v>19.690000000000001</v>
      </c>
      <c r="H61" s="2">
        <f t="shared" si="24"/>
        <v>8.3541240248125009E-2</v>
      </c>
      <c r="I61" s="3"/>
      <c r="J61" s="3"/>
      <c r="K61" s="2"/>
      <c r="L61" s="3"/>
      <c r="M61" s="3"/>
      <c r="N61" s="2"/>
      <c r="O61" s="3"/>
      <c r="P61" s="3"/>
      <c r="Q61" s="2"/>
      <c r="R61" s="3"/>
      <c r="S61" s="3"/>
      <c r="T61" s="2"/>
      <c r="U61" s="3"/>
      <c r="V61" s="3"/>
      <c r="W61" s="2"/>
      <c r="X61" s="3"/>
      <c r="Y61" s="3"/>
      <c r="Z61" s="2"/>
      <c r="AA61" s="3"/>
      <c r="AB61" s="3"/>
      <c r="AC61" s="2"/>
      <c r="AD61" s="3"/>
      <c r="AE61" s="3"/>
      <c r="AF61" s="2"/>
      <c r="AG61" s="3"/>
      <c r="AH61" s="3"/>
      <c r="AI61" s="2"/>
      <c r="AJ61" s="3"/>
      <c r="AK61" s="3"/>
      <c r="AL61" s="2"/>
      <c r="AM61" s="3"/>
      <c r="AN61" s="3"/>
      <c r="AO61" s="2"/>
      <c r="AP61" s="3"/>
      <c r="AQ61" s="3"/>
      <c r="AR61" s="2"/>
      <c r="AS61" s="3"/>
      <c r="AT61" s="3"/>
      <c r="AU61" s="2"/>
      <c r="AV61" s="3"/>
      <c r="AW61" s="3"/>
      <c r="AX61" s="2"/>
      <c r="AY61" s="3"/>
      <c r="AZ61" s="3"/>
      <c r="BA61" s="2"/>
      <c r="BB61" s="3"/>
      <c r="BC61" s="3"/>
      <c r="BD61" s="2"/>
      <c r="BE61" s="3"/>
      <c r="BF61" s="3"/>
      <c r="BG61" s="2"/>
      <c r="BH61" s="3"/>
      <c r="BI61" s="3"/>
      <c r="BJ61" s="2"/>
      <c r="BK61" s="3"/>
      <c r="BL61" s="3"/>
      <c r="BM61" s="2"/>
      <c r="BN61" s="3"/>
      <c r="BO61" s="3"/>
      <c r="BP61" s="2"/>
      <c r="BQ61" s="3"/>
      <c r="BR61" s="3"/>
      <c r="BS61" s="2"/>
    </row>
    <row r="62" spans="3:71" x14ac:dyDescent="0.2">
      <c r="C62" s="3"/>
      <c r="D62" s="3"/>
      <c r="E62" s="2"/>
      <c r="F62" s="3">
        <v>366.99</v>
      </c>
      <c r="G62" s="3">
        <v>16.8</v>
      </c>
      <c r="H62" s="2">
        <f t="shared" si="24"/>
        <v>6.4737036000000012E-2</v>
      </c>
      <c r="I62" s="3"/>
      <c r="J62" s="3"/>
      <c r="K62" s="2"/>
      <c r="L62" s="3"/>
      <c r="M62" s="3"/>
      <c r="N62" s="2"/>
      <c r="O62" s="3"/>
      <c r="P62" s="3"/>
      <c r="Q62" s="2"/>
      <c r="R62" s="3"/>
      <c r="S62" s="3"/>
      <c r="T62" s="2"/>
      <c r="U62" s="3"/>
      <c r="V62" s="3"/>
      <c r="W62" s="2"/>
      <c r="X62" s="3"/>
      <c r="Y62" s="3"/>
      <c r="Z62" s="2"/>
      <c r="AA62" s="3"/>
      <c r="AB62" s="3"/>
      <c r="AC62" s="2"/>
      <c r="AD62" s="3"/>
      <c r="AE62" s="3"/>
      <c r="AF62" s="2"/>
      <c r="AG62" s="3"/>
      <c r="AH62" s="3"/>
      <c r="AI62" s="2"/>
      <c r="AJ62" s="3"/>
      <c r="AK62" s="3"/>
      <c r="AL62" s="2"/>
      <c r="AM62" s="3"/>
      <c r="AN62" s="3"/>
      <c r="AO62" s="2"/>
      <c r="AP62" s="3"/>
      <c r="AQ62" s="3"/>
      <c r="AR62" s="2"/>
      <c r="AS62" s="3"/>
      <c r="AT62" s="3"/>
      <c r="AU62" s="2"/>
      <c r="AV62" s="3"/>
      <c r="AW62" s="3"/>
      <c r="AX62" s="2"/>
      <c r="AY62" s="3"/>
      <c r="AZ62" s="3"/>
      <c r="BA62" s="2"/>
      <c r="BB62" s="3"/>
      <c r="BC62" s="3"/>
      <c r="BD62" s="2"/>
      <c r="BE62" s="3"/>
      <c r="BF62" s="3"/>
      <c r="BG62" s="2"/>
      <c r="BH62" s="3"/>
      <c r="BI62" s="3"/>
      <c r="BJ62" s="2"/>
      <c r="BK62" s="3"/>
      <c r="BL62" s="3"/>
      <c r="BM62" s="2"/>
      <c r="BN62" s="3"/>
      <c r="BO62" s="3"/>
      <c r="BP62" s="2"/>
      <c r="BQ62" s="3"/>
      <c r="BR62" s="3"/>
      <c r="BS62" s="2"/>
    </row>
    <row r="63" spans="3:71" x14ac:dyDescent="0.2">
      <c r="C63" s="3"/>
      <c r="D63" s="3"/>
      <c r="E63" s="2"/>
      <c r="F63" s="3">
        <v>295.66000000000003</v>
      </c>
      <c r="G63" s="3">
        <v>15.83</v>
      </c>
      <c r="H63" s="2">
        <f t="shared" si="24"/>
        <v>4.6305696358750002E-2</v>
      </c>
      <c r="I63" s="3"/>
      <c r="J63" s="3"/>
      <c r="K63" s="2"/>
      <c r="L63" s="3"/>
      <c r="M63" s="3"/>
      <c r="N63" s="2"/>
      <c r="O63" s="3"/>
      <c r="P63" s="3"/>
      <c r="Q63" s="2"/>
      <c r="R63" s="3"/>
      <c r="S63" s="3"/>
      <c r="T63" s="2"/>
      <c r="U63" s="3"/>
      <c r="V63" s="3"/>
      <c r="W63" s="2"/>
      <c r="X63" s="3"/>
      <c r="Y63" s="3"/>
      <c r="Z63" s="2"/>
      <c r="AA63" s="3"/>
      <c r="AB63" s="3"/>
      <c r="AC63" s="2"/>
      <c r="AD63" s="3"/>
      <c r="AE63" s="3"/>
      <c r="AF63" s="2"/>
      <c r="AG63" s="3"/>
      <c r="AH63" s="3"/>
      <c r="AI63" s="2"/>
      <c r="AJ63" s="3"/>
      <c r="AK63" s="3"/>
      <c r="AL63" s="2"/>
      <c r="AM63" s="3"/>
      <c r="AN63" s="3"/>
      <c r="AO63" s="2"/>
      <c r="AP63" s="3"/>
      <c r="AQ63" s="3"/>
      <c r="AR63" s="2"/>
      <c r="AS63" s="3"/>
      <c r="AT63" s="3"/>
      <c r="AU63" s="2"/>
      <c r="AV63" s="3"/>
      <c r="AW63" s="3"/>
      <c r="AX63" s="2"/>
      <c r="AY63" s="3"/>
      <c r="AZ63" s="3"/>
      <c r="BA63" s="2"/>
      <c r="BB63" s="3"/>
      <c r="BC63" s="3"/>
      <c r="BD63" s="2"/>
      <c r="BE63" s="3"/>
      <c r="BF63" s="3"/>
      <c r="BG63" s="2"/>
      <c r="BH63" s="3"/>
      <c r="BI63" s="3"/>
      <c r="BJ63" s="2"/>
      <c r="BK63" s="3"/>
      <c r="BL63" s="3"/>
      <c r="BM63" s="2"/>
      <c r="BN63" s="3"/>
      <c r="BO63" s="3"/>
      <c r="BP63" s="2"/>
      <c r="BQ63" s="3"/>
      <c r="BR63" s="3"/>
      <c r="BS63" s="2"/>
    </row>
    <row r="64" spans="3:71" x14ac:dyDescent="0.2">
      <c r="C64" s="3"/>
      <c r="D64" s="3"/>
      <c r="E64" s="2"/>
      <c r="F64" s="3">
        <v>368.18</v>
      </c>
      <c r="G64" s="3">
        <v>15.39</v>
      </c>
      <c r="H64" s="2">
        <f t="shared" si="24"/>
        <v>5.4502628861250006E-2</v>
      </c>
      <c r="I64" s="3"/>
      <c r="J64" s="3"/>
      <c r="K64" s="2"/>
      <c r="L64" s="3"/>
      <c r="M64" s="3"/>
      <c r="N64" s="2"/>
      <c r="O64" s="3"/>
      <c r="P64" s="3"/>
      <c r="Q64" s="2"/>
      <c r="R64" s="3"/>
      <c r="S64" s="3"/>
      <c r="T64" s="2"/>
      <c r="U64" s="3"/>
      <c r="V64" s="3"/>
      <c r="W64" s="2"/>
      <c r="X64" s="3"/>
      <c r="Y64" s="3"/>
      <c r="Z64" s="2"/>
      <c r="AA64" s="3"/>
      <c r="AB64" s="3"/>
      <c r="AC64" s="2"/>
      <c r="AD64" s="3"/>
      <c r="AE64" s="3"/>
      <c r="AF64" s="2"/>
      <c r="AG64" s="3"/>
      <c r="AH64" s="3"/>
      <c r="AI64" s="2"/>
      <c r="AJ64" s="3"/>
      <c r="AK64" s="3"/>
      <c r="AL64" s="2"/>
      <c r="AM64" s="3"/>
      <c r="AN64" s="3"/>
      <c r="AO64" s="2"/>
      <c r="AP64" s="3"/>
      <c r="AQ64" s="3"/>
      <c r="AR64" s="2"/>
      <c r="AS64" s="3"/>
      <c r="AT64" s="3"/>
      <c r="AU64" s="2"/>
      <c r="AV64" s="3"/>
      <c r="AW64" s="3"/>
      <c r="AX64" s="2"/>
      <c r="AY64" s="3"/>
      <c r="AZ64" s="3"/>
      <c r="BA64" s="2"/>
      <c r="BB64" s="3"/>
      <c r="BC64" s="3"/>
      <c r="BD64" s="2"/>
      <c r="BE64" s="3"/>
      <c r="BF64" s="3"/>
      <c r="BG64" s="2"/>
      <c r="BH64" s="3"/>
      <c r="BI64" s="3"/>
      <c r="BJ64" s="2"/>
      <c r="BK64" s="3"/>
      <c r="BL64" s="3"/>
      <c r="BM64" s="2"/>
      <c r="BN64" s="3"/>
      <c r="BO64" s="3"/>
      <c r="BP64" s="2"/>
      <c r="BQ64" s="3"/>
      <c r="BR64" s="3"/>
      <c r="BS64" s="2"/>
    </row>
    <row r="65" spans="3:71" x14ac:dyDescent="0.2">
      <c r="C65" s="3"/>
      <c r="D65" s="3"/>
      <c r="E65" s="2"/>
      <c r="F65" s="3">
        <v>220.36</v>
      </c>
      <c r="G65" s="3">
        <v>24.17</v>
      </c>
      <c r="H65" s="2">
        <f t="shared" si="24"/>
        <v>8.0457416252500025E-2</v>
      </c>
      <c r="I65" s="3"/>
      <c r="J65" s="3"/>
      <c r="K65" s="2"/>
      <c r="L65" s="3"/>
      <c r="M65" s="3"/>
      <c r="N65" s="2"/>
      <c r="O65" s="3"/>
      <c r="P65" s="3"/>
      <c r="Q65" s="2"/>
      <c r="R65" s="3"/>
      <c r="S65" s="3"/>
      <c r="T65" s="2"/>
      <c r="U65" s="3"/>
      <c r="V65" s="3"/>
      <c r="W65" s="2"/>
      <c r="X65" s="3"/>
      <c r="Y65" s="3"/>
      <c r="Z65" s="2"/>
      <c r="AA65" s="3"/>
      <c r="AB65" s="3"/>
      <c r="AC65" s="2"/>
      <c r="AD65" s="3"/>
      <c r="AE65" s="3"/>
      <c r="AF65" s="2"/>
      <c r="AG65" s="3"/>
      <c r="AH65" s="3"/>
      <c r="AI65" s="2"/>
      <c r="AJ65" s="3"/>
      <c r="AK65" s="3"/>
      <c r="AL65" s="2"/>
      <c r="AM65" s="3"/>
      <c r="AN65" s="3"/>
      <c r="AO65" s="2"/>
      <c r="AP65" s="3"/>
      <c r="AQ65" s="3"/>
      <c r="AR65" s="2"/>
      <c r="AS65" s="3"/>
      <c r="AT65" s="3"/>
      <c r="AU65" s="2"/>
      <c r="AV65" s="3"/>
      <c r="AW65" s="3"/>
      <c r="AX65" s="2"/>
      <c r="AY65" s="3"/>
      <c r="AZ65" s="3"/>
      <c r="BA65" s="2"/>
      <c r="BB65" s="3"/>
      <c r="BC65" s="3"/>
      <c r="BD65" s="2"/>
      <c r="BE65" s="3"/>
      <c r="BF65" s="3"/>
      <c r="BG65" s="2"/>
      <c r="BH65" s="3"/>
      <c r="BI65" s="3"/>
      <c r="BJ65" s="2"/>
      <c r="BK65" s="3"/>
      <c r="BL65" s="3"/>
      <c r="BM65" s="2"/>
      <c r="BN65" s="3"/>
      <c r="BO65" s="3"/>
      <c r="BP65" s="2"/>
      <c r="BQ65" s="3"/>
      <c r="BR65" s="3"/>
      <c r="BS65" s="2"/>
    </row>
    <row r="66" spans="3:71" x14ac:dyDescent="0.2">
      <c r="C66" s="3"/>
      <c r="D66" s="3"/>
      <c r="E66" s="2"/>
      <c r="F66" s="3">
        <v>262.48</v>
      </c>
      <c r="G66" s="3">
        <v>16.8</v>
      </c>
      <c r="H66" s="2">
        <f t="shared" si="24"/>
        <v>4.630147200000001E-2</v>
      </c>
      <c r="I66" s="3"/>
      <c r="J66" s="3"/>
      <c r="K66" s="2"/>
      <c r="L66" s="3"/>
      <c r="M66" s="3"/>
      <c r="N66" s="2"/>
      <c r="O66" s="3"/>
      <c r="P66" s="3"/>
      <c r="Q66" s="2"/>
      <c r="R66" s="3"/>
      <c r="S66" s="3"/>
      <c r="T66" s="2"/>
      <c r="U66" s="3"/>
      <c r="V66" s="3"/>
      <c r="W66" s="2"/>
      <c r="X66" s="3"/>
      <c r="Y66" s="3"/>
      <c r="Z66" s="2"/>
      <c r="AA66" s="3"/>
      <c r="AB66" s="3"/>
      <c r="AC66" s="2"/>
      <c r="AD66" s="3"/>
      <c r="AE66" s="3"/>
      <c r="AF66" s="2"/>
      <c r="AG66" s="3"/>
      <c r="AH66" s="3"/>
      <c r="AI66" s="2"/>
      <c r="AJ66" s="3"/>
      <c r="AK66" s="3"/>
      <c r="AL66" s="2"/>
      <c r="AM66" s="3"/>
      <c r="AN66" s="3"/>
      <c r="AO66" s="2"/>
      <c r="AP66" s="3"/>
      <c r="AQ66" s="3"/>
      <c r="AR66" s="2"/>
      <c r="AS66" s="3"/>
      <c r="AT66" s="3"/>
      <c r="AU66" s="2"/>
      <c r="AV66" s="3"/>
      <c r="AW66" s="3"/>
      <c r="AX66" s="2"/>
      <c r="AY66" s="3"/>
      <c r="AZ66" s="3"/>
      <c r="BA66" s="2"/>
      <c r="BB66" s="3"/>
      <c r="BC66" s="3"/>
      <c r="BD66" s="2"/>
      <c r="BE66" s="3"/>
      <c r="BF66" s="3"/>
      <c r="BG66" s="2"/>
      <c r="BH66" s="3"/>
      <c r="BI66" s="3"/>
      <c r="BJ66" s="2"/>
      <c r="BK66" s="3"/>
      <c r="BL66" s="3"/>
      <c r="BM66" s="2"/>
      <c r="BN66" s="3"/>
      <c r="BO66" s="3"/>
      <c r="BP66" s="2"/>
      <c r="BQ66" s="3"/>
      <c r="BR66" s="3"/>
      <c r="BS66" s="2"/>
    </row>
    <row r="67" spans="3:71" x14ac:dyDescent="0.2">
      <c r="C67" s="3"/>
      <c r="D67" s="3"/>
      <c r="E67" s="2"/>
      <c r="F67" s="3">
        <v>233.58</v>
      </c>
      <c r="G67" s="3">
        <v>12.67</v>
      </c>
      <c r="H67" s="2">
        <f t="shared" si="24"/>
        <v>2.343521278875E-2</v>
      </c>
      <c r="I67" s="3"/>
      <c r="J67" s="3"/>
      <c r="K67" s="2"/>
      <c r="L67" s="3"/>
      <c r="M67" s="3"/>
      <c r="N67" s="2"/>
      <c r="O67" s="3"/>
      <c r="P67" s="3"/>
      <c r="Q67" s="2"/>
      <c r="R67" s="3"/>
      <c r="S67" s="3"/>
      <c r="T67" s="2"/>
      <c r="U67" s="3"/>
      <c r="V67" s="3"/>
      <c r="W67" s="2"/>
      <c r="X67" s="3"/>
      <c r="Y67" s="3"/>
      <c r="Z67" s="2"/>
      <c r="AA67" s="3"/>
      <c r="AB67" s="3"/>
      <c r="AC67" s="2"/>
      <c r="AD67" s="3"/>
      <c r="AE67" s="3"/>
      <c r="AF67" s="2"/>
      <c r="AG67" s="3"/>
      <c r="AH67" s="3"/>
      <c r="AI67" s="2"/>
      <c r="AJ67" s="3"/>
      <c r="AK67" s="3"/>
      <c r="AL67" s="2"/>
      <c r="AM67" s="3"/>
      <c r="AN67" s="3"/>
      <c r="AO67" s="2"/>
      <c r="AP67" s="3"/>
      <c r="AQ67" s="3"/>
      <c r="AR67" s="2"/>
      <c r="AS67" s="3"/>
      <c r="AT67" s="3"/>
      <c r="AU67" s="2"/>
      <c r="AV67" s="3"/>
      <c r="AW67" s="3"/>
      <c r="AX67" s="2"/>
      <c r="AY67" s="3"/>
      <c r="AZ67" s="3"/>
      <c r="BA67" s="2"/>
      <c r="BB67" s="3"/>
      <c r="BC67" s="3"/>
      <c r="BD67" s="2"/>
      <c r="BE67" s="3"/>
      <c r="BF67" s="3"/>
      <c r="BG67" s="2"/>
      <c r="BH67" s="3"/>
      <c r="BI67" s="3"/>
      <c r="BJ67" s="2"/>
      <c r="BK67" s="3"/>
      <c r="BL67" s="3"/>
      <c r="BM67" s="2"/>
      <c r="BN67" s="3"/>
      <c r="BO67" s="3"/>
      <c r="BP67" s="2"/>
      <c r="BQ67" s="3"/>
      <c r="BR67" s="3"/>
      <c r="BS67" s="2"/>
    </row>
    <row r="68" spans="3:71" x14ac:dyDescent="0.2">
      <c r="C68" s="3"/>
      <c r="D68" s="3"/>
      <c r="E68" s="2"/>
      <c r="F68" s="3">
        <v>377.51</v>
      </c>
      <c r="G68" s="3">
        <v>22.54</v>
      </c>
      <c r="H68" s="2">
        <f t="shared" si="24"/>
        <v>0.11987159969749998</v>
      </c>
      <c r="I68" s="3"/>
      <c r="J68" s="3"/>
      <c r="K68" s="2"/>
      <c r="L68" s="3"/>
      <c r="M68" s="3"/>
      <c r="N68" s="2"/>
      <c r="O68" s="3"/>
      <c r="P68" s="3"/>
      <c r="Q68" s="2"/>
      <c r="R68" s="3"/>
      <c r="S68" s="3"/>
      <c r="T68" s="2"/>
      <c r="U68" s="3"/>
      <c r="V68" s="3"/>
      <c r="W68" s="2"/>
      <c r="X68" s="3"/>
      <c r="Y68" s="3"/>
      <c r="Z68" s="2"/>
      <c r="AA68" s="3"/>
      <c r="AB68" s="3"/>
      <c r="AC68" s="2"/>
      <c r="AD68" s="3"/>
      <c r="AE68" s="3"/>
      <c r="AF68" s="2"/>
      <c r="AG68" s="3"/>
      <c r="AH68" s="3"/>
      <c r="AI68" s="2"/>
      <c r="AJ68" s="3"/>
      <c r="AK68" s="3"/>
      <c r="AL68" s="2"/>
      <c r="AM68" s="3"/>
      <c r="AN68" s="3"/>
      <c r="AO68" s="2"/>
      <c r="AP68" s="3"/>
      <c r="AQ68" s="3"/>
      <c r="AR68" s="2"/>
      <c r="AS68" s="3"/>
      <c r="AT68" s="3"/>
      <c r="AU68" s="2"/>
      <c r="AV68" s="3"/>
      <c r="AW68" s="3"/>
      <c r="AX68" s="2"/>
      <c r="AY68" s="3"/>
      <c r="AZ68" s="3"/>
      <c r="BA68" s="2"/>
      <c r="BB68" s="3"/>
      <c r="BC68" s="3"/>
      <c r="BD68" s="2"/>
      <c r="BE68" s="3"/>
      <c r="BF68" s="3"/>
      <c r="BG68" s="2"/>
      <c r="BH68" s="3"/>
      <c r="BI68" s="3"/>
      <c r="BJ68" s="2"/>
      <c r="BK68" s="3"/>
      <c r="BL68" s="3"/>
      <c r="BM68" s="2"/>
      <c r="BN68" s="3"/>
      <c r="BO68" s="3"/>
      <c r="BP68" s="2"/>
      <c r="BQ68" s="3"/>
      <c r="BR68" s="3"/>
      <c r="BS68" s="2"/>
    </row>
    <row r="69" spans="3:71" x14ac:dyDescent="0.2">
      <c r="C69" s="3"/>
      <c r="D69" s="3"/>
      <c r="E69" s="2"/>
      <c r="F69" s="3">
        <v>290.92</v>
      </c>
      <c r="G69" s="3">
        <v>17.100000000000001</v>
      </c>
      <c r="H69" s="2">
        <f t="shared" si="24"/>
        <v>5.3167448250000013E-2</v>
      </c>
      <c r="I69" s="3"/>
      <c r="J69" s="3"/>
      <c r="K69" s="2"/>
      <c r="L69" s="3"/>
      <c r="M69" s="3"/>
      <c r="N69" s="2"/>
      <c r="O69" s="3"/>
      <c r="P69" s="3"/>
      <c r="Q69" s="2"/>
      <c r="R69" s="3"/>
      <c r="S69" s="3"/>
      <c r="T69" s="2"/>
      <c r="U69" s="3"/>
      <c r="V69" s="3"/>
      <c r="W69" s="2"/>
      <c r="X69" s="3"/>
      <c r="Y69" s="3"/>
      <c r="Z69" s="2"/>
      <c r="AA69" s="3"/>
      <c r="AB69" s="3"/>
      <c r="AC69" s="2"/>
      <c r="AD69" s="3"/>
      <c r="AE69" s="3"/>
      <c r="AF69" s="2"/>
      <c r="AG69" s="3"/>
      <c r="AH69" s="3"/>
      <c r="AI69" s="2"/>
      <c r="AJ69" s="3"/>
      <c r="AK69" s="3"/>
      <c r="AL69" s="2"/>
      <c r="AM69" s="3"/>
      <c r="AN69" s="3"/>
      <c r="AO69" s="2"/>
      <c r="AP69" s="3"/>
      <c r="AQ69" s="3"/>
      <c r="AR69" s="2"/>
      <c r="AS69" s="3"/>
      <c r="AT69" s="3"/>
      <c r="AU69" s="2"/>
      <c r="AV69" s="3"/>
      <c r="AW69" s="3"/>
      <c r="AX69" s="2"/>
      <c r="AY69" s="3"/>
      <c r="AZ69" s="3"/>
      <c r="BA69" s="2"/>
      <c r="BB69" s="3"/>
      <c r="BC69" s="3"/>
      <c r="BD69" s="2"/>
      <c r="BE69" s="3"/>
      <c r="BF69" s="3"/>
      <c r="BG69" s="2"/>
      <c r="BH69" s="3"/>
      <c r="BI69" s="3"/>
      <c r="BJ69" s="2"/>
      <c r="BK69" s="3"/>
      <c r="BL69" s="3"/>
      <c r="BM69" s="2"/>
      <c r="BN69" s="3"/>
      <c r="BO69" s="3"/>
      <c r="BP69" s="2"/>
      <c r="BQ69" s="3"/>
      <c r="BR69" s="3"/>
      <c r="BS69" s="2"/>
    </row>
    <row r="70" spans="3:71" x14ac:dyDescent="0.2">
      <c r="C70" s="3"/>
      <c r="D70" s="3"/>
      <c r="E70" s="2"/>
      <c r="F70" s="3">
        <v>271.31</v>
      </c>
      <c r="G70" s="3">
        <v>14.91</v>
      </c>
      <c r="H70" s="2">
        <f t="shared" ref="H70:H72" si="25">(F70*G70*G70)/1600000</f>
        <v>3.7696506631875001E-2</v>
      </c>
      <c r="I70" s="3"/>
      <c r="J70" s="3"/>
      <c r="K70" s="2"/>
      <c r="L70" s="3"/>
      <c r="M70" s="3"/>
      <c r="N70" s="2"/>
      <c r="O70" s="3"/>
      <c r="P70" s="3"/>
      <c r="Q70" s="2"/>
      <c r="R70" s="3"/>
      <c r="S70" s="3"/>
      <c r="T70" s="2"/>
      <c r="U70" s="3"/>
      <c r="V70" s="3"/>
      <c r="W70" s="2"/>
      <c r="X70" s="3"/>
      <c r="Y70" s="3"/>
      <c r="Z70" s="2"/>
      <c r="AA70" s="3"/>
      <c r="AB70" s="3"/>
      <c r="AC70" s="2"/>
      <c r="AD70" s="3"/>
      <c r="AE70" s="3"/>
      <c r="AF70" s="2"/>
      <c r="AG70" s="3"/>
      <c r="AH70" s="3"/>
      <c r="AI70" s="2"/>
      <c r="AJ70" s="3"/>
      <c r="AK70" s="3"/>
      <c r="AL70" s="2"/>
      <c r="AM70" s="3"/>
      <c r="AN70" s="3"/>
      <c r="AO70" s="2"/>
      <c r="AP70" s="3"/>
      <c r="AQ70" s="3"/>
      <c r="AR70" s="2"/>
      <c r="AS70" s="3"/>
      <c r="AT70" s="3"/>
      <c r="AU70" s="2"/>
      <c r="AV70" s="3"/>
      <c r="AW70" s="3"/>
      <c r="AX70" s="2"/>
      <c r="AY70" s="3"/>
      <c r="AZ70" s="3"/>
      <c r="BA70" s="2"/>
      <c r="BB70" s="3"/>
      <c r="BC70" s="3"/>
      <c r="BD70" s="2"/>
      <c r="BE70" s="3"/>
      <c r="BF70" s="3"/>
      <c r="BG70" s="2"/>
      <c r="BH70" s="3"/>
      <c r="BI70" s="3"/>
      <c r="BJ70" s="2"/>
      <c r="BK70" s="3"/>
      <c r="BL70" s="3"/>
      <c r="BM70" s="2"/>
      <c r="BN70" s="3"/>
      <c r="BO70" s="3"/>
      <c r="BP70" s="2"/>
      <c r="BQ70" s="3"/>
      <c r="BR70" s="3"/>
      <c r="BS70" s="2"/>
    </row>
    <row r="71" spans="3:71" x14ac:dyDescent="0.2">
      <c r="C71" s="3"/>
      <c r="D71" s="3"/>
      <c r="E71" s="2"/>
      <c r="F71" s="3">
        <v>355.72</v>
      </c>
      <c r="G71" s="3">
        <v>19.64</v>
      </c>
      <c r="H71" s="2">
        <f t="shared" si="25"/>
        <v>8.5757333320000018E-2</v>
      </c>
      <c r="I71" s="3"/>
      <c r="J71" s="3"/>
      <c r="K71" s="2"/>
      <c r="L71" s="3"/>
      <c r="M71" s="3"/>
      <c r="N71" s="2"/>
      <c r="O71" s="3"/>
      <c r="P71" s="3"/>
      <c r="Q71" s="2"/>
      <c r="R71" s="3"/>
      <c r="S71" s="3"/>
      <c r="T71" s="2"/>
      <c r="U71" s="3"/>
      <c r="V71" s="3"/>
      <c r="W71" s="2"/>
      <c r="X71" s="3"/>
      <c r="Y71" s="3"/>
      <c r="Z71" s="2"/>
      <c r="AA71" s="3"/>
      <c r="AB71" s="3"/>
      <c r="AC71" s="2"/>
      <c r="AD71" s="3"/>
      <c r="AE71" s="3"/>
      <c r="AF71" s="2"/>
      <c r="AG71" s="3"/>
      <c r="AH71" s="3"/>
      <c r="AI71" s="2"/>
      <c r="AJ71" s="3"/>
      <c r="AK71" s="3"/>
      <c r="AL71" s="2"/>
      <c r="AM71" s="3"/>
      <c r="AN71" s="3"/>
      <c r="AO71" s="2"/>
      <c r="AP71" s="3"/>
      <c r="AQ71" s="3"/>
      <c r="AR71" s="2"/>
      <c r="AS71" s="3"/>
      <c r="AT71" s="3"/>
      <c r="AU71" s="2"/>
      <c r="AV71" s="3"/>
      <c r="AW71" s="3"/>
      <c r="AX71" s="2"/>
      <c r="AY71" s="3"/>
      <c r="AZ71" s="3"/>
      <c r="BA71" s="2"/>
      <c r="BB71" s="3"/>
      <c r="BC71" s="3"/>
      <c r="BD71" s="2"/>
      <c r="BE71" s="3"/>
      <c r="BF71" s="3"/>
      <c r="BG71" s="2"/>
      <c r="BH71" s="3"/>
      <c r="BI71" s="3"/>
      <c r="BJ71" s="2"/>
      <c r="BK71" s="3"/>
      <c r="BL71" s="3"/>
      <c r="BM71" s="2"/>
      <c r="BN71" s="3"/>
      <c r="BO71" s="3"/>
      <c r="BP71" s="2"/>
      <c r="BQ71" s="3"/>
      <c r="BR71" s="3"/>
      <c r="BS71" s="2"/>
    </row>
    <row r="72" spans="3:71" x14ac:dyDescent="0.2">
      <c r="C72" s="3"/>
      <c r="D72" s="3"/>
      <c r="E72" s="2"/>
      <c r="F72" s="3">
        <v>236.01</v>
      </c>
      <c r="G72" s="3">
        <v>15.69</v>
      </c>
      <c r="H72" s="2">
        <f t="shared" si="25"/>
        <v>3.6312513350624992E-2</v>
      </c>
      <c r="I72" s="3"/>
      <c r="J72" s="3"/>
      <c r="K72" s="2"/>
      <c r="L72" s="3"/>
      <c r="M72" s="3"/>
      <c r="N72" s="2"/>
      <c r="O72" s="3"/>
      <c r="P72" s="3"/>
      <c r="Q72" s="2"/>
      <c r="R72" s="3"/>
      <c r="S72" s="3"/>
      <c r="T72" s="2"/>
      <c r="U72" s="3"/>
      <c r="V72" s="3"/>
      <c r="W72" s="2"/>
      <c r="X72" s="3"/>
      <c r="Y72" s="3"/>
      <c r="Z72" s="2"/>
      <c r="AA72" s="3"/>
      <c r="AB72" s="3"/>
      <c r="AC72" s="2"/>
      <c r="AD72" s="3"/>
      <c r="AE72" s="3"/>
      <c r="AF72" s="2"/>
      <c r="AG72" s="3"/>
      <c r="AH72" s="3"/>
      <c r="AI72" s="2"/>
      <c r="AJ72" s="3"/>
      <c r="AK72" s="3"/>
      <c r="AL72" s="2"/>
      <c r="AM72" s="3"/>
      <c r="AN72" s="3"/>
      <c r="AO72" s="2"/>
      <c r="AP72" s="3"/>
      <c r="AQ72" s="3"/>
      <c r="AR72" s="2"/>
      <c r="AS72" s="3"/>
      <c r="AT72" s="3"/>
      <c r="AU72" s="2"/>
      <c r="AV72" s="3"/>
      <c r="AW72" s="3"/>
      <c r="AX72" s="2"/>
      <c r="AY72" s="3"/>
      <c r="AZ72" s="3"/>
      <c r="BA72" s="2"/>
      <c r="BB72" s="3"/>
      <c r="BC72" s="3"/>
      <c r="BD72" s="2"/>
      <c r="BE72" s="3"/>
      <c r="BF72" s="3"/>
      <c r="BG72" s="2"/>
      <c r="BH72" s="3"/>
      <c r="BI72" s="3"/>
      <c r="BJ72" s="2"/>
      <c r="BK72" s="3"/>
      <c r="BL72" s="3"/>
      <c r="BM72" s="2"/>
      <c r="BN72" s="3"/>
      <c r="BO72" s="3"/>
      <c r="BP72" s="2"/>
      <c r="BQ72" s="3"/>
      <c r="BR72" s="3"/>
      <c r="BS72" s="2"/>
    </row>
    <row r="73" spans="3:71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  <c r="BP73" s="2"/>
      <c r="BS73" s="2"/>
    </row>
    <row r="74" spans="3:71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  <c r="BP74" s="2"/>
      <c r="BS74" s="2"/>
    </row>
    <row r="75" spans="3:71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  <c r="BP75" s="2"/>
      <c r="BS75" s="2"/>
    </row>
    <row r="76" spans="3:71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  <c r="BP76" s="2"/>
      <c r="BS76" s="2"/>
    </row>
    <row r="77" spans="3:71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  <c r="BP77" s="2"/>
      <c r="BS77" s="2"/>
    </row>
    <row r="78" spans="3:71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  <c r="BP78" s="2"/>
      <c r="BS78" s="2"/>
    </row>
    <row r="79" spans="3:71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  <c r="BP79" s="2"/>
      <c r="BS79" s="2"/>
    </row>
    <row r="80" spans="3:71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  <c r="BP80" s="2"/>
      <c r="BS80" s="2"/>
    </row>
    <row r="81" spans="5:71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  <c r="BP81" s="2"/>
      <c r="BS81" s="2"/>
    </row>
    <row r="82" spans="5:71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  <c r="BP82" s="2"/>
      <c r="BS82" s="2"/>
    </row>
    <row r="83" spans="5:71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  <c r="BP83" s="2"/>
      <c r="BS83" s="2"/>
    </row>
    <row r="84" spans="5:71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  <c r="BP84" s="2"/>
      <c r="BS84" s="2"/>
    </row>
    <row r="85" spans="5:71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  <c r="BP85" s="2"/>
      <c r="BS85" s="2"/>
    </row>
    <row r="86" spans="5:71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  <c r="BP86" s="2"/>
      <c r="BS86" s="2"/>
    </row>
    <row r="87" spans="5:71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  <c r="BP87" s="2"/>
      <c r="BS87" s="2"/>
    </row>
    <row r="88" spans="5:71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  <c r="BP88" s="2"/>
      <c r="BS88" s="2"/>
    </row>
    <row r="89" spans="5:71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  <c r="BP89" s="2"/>
      <c r="BS89" s="2"/>
    </row>
    <row r="90" spans="5:71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  <c r="BP90" s="2"/>
      <c r="BS90" s="2"/>
    </row>
    <row r="91" spans="5:71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  <c r="BP91" s="2"/>
      <c r="BS91" s="2"/>
    </row>
    <row r="92" spans="5:71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  <c r="BP92" s="2"/>
      <c r="BS92" s="2"/>
    </row>
    <row r="93" spans="5:71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  <c r="BP93" s="2"/>
      <c r="BS93" s="2"/>
    </row>
    <row r="94" spans="5:71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  <c r="BP94" s="2"/>
      <c r="BS94" s="2"/>
    </row>
    <row r="95" spans="5:71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  <c r="BP95" s="2"/>
      <c r="BS95" s="2"/>
    </row>
    <row r="96" spans="5:71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  <c r="BP96" s="2"/>
      <c r="BS96" s="2"/>
    </row>
    <row r="97" spans="5:71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  <c r="BP97" s="2"/>
      <c r="BS97" s="2"/>
    </row>
    <row r="98" spans="5:71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  <c r="BP98" s="2"/>
      <c r="BS98" s="2"/>
    </row>
    <row r="99" spans="5:71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  <c r="BP99" s="2"/>
      <c r="BS99" s="2"/>
    </row>
    <row r="100" spans="5:71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  <c r="BP100" s="2"/>
      <c r="BS100" s="2"/>
    </row>
    <row r="101" spans="5:71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  <c r="BP101" s="2"/>
      <c r="BS101" s="2"/>
    </row>
    <row r="102" spans="5:71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  <c r="BP102" s="2"/>
      <c r="BS102" s="2"/>
    </row>
    <row r="103" spans="5:71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  <c r="BP103" s="2"/>
      <c r="BS103" s="2"/>
    </row>
    <row r="104" spans="5:71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  <c r="BP104" s="2"/>
      <c r="BS104" s="2"/>
    </row>
    <row r="105" spans="5:71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  <c r="BP105" s="2"/>
      <c r="BS105" s="2"/>
    </row>
    <row r="106" spans="5:71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  <c r="BP106" s="2"/>
      <c r="BS106" s="2"/>
    </row>
    <row r="107" spans="5:71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  <c r="BP107" s="2"/>
      <c r="BS107" s="2"/>
    </row>
    <row r="108" spans="5:71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  <c r="BP108" s="2"/>
      <c r="BS108" s="2"/>
    </row>
    <row r="109" spans="5:71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  <c r="BP109" s="2"/>
      <c r="BS109" s="2"/>
    </row>
    <row r="110" spans="5:71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  <c r="BP110" s="2"/>
      <c r="BS110" s="2"/>
    </row>
    <row r="111" spans="5:71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  <c r="BP111" s="2"/>
      <c r="BS111" s="2"/>
    </row>
    <row r="112" spans="5:71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  <c r="BP112" s="2"/>
      <c r="BS112" s="2"/>
    </row>
    <row r="113" spans="5:71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  <c r="BP113" s="2"/>
      <c r="BS113" s="2"/>
    </row>
    <row r="114" spans="5:71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  <c r="BP114" s="2"/>
      <c r="BS114" s="2"/>
    </row>
    <row r="115" spans="5:71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  <c r="BP115" s="2"/>
      <c r="BS115" s="2"/>
    </row>
    <row r="116" spans="5:71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  <c r="BP116" s="2"/>
      <c r="BS116" s="2"/>
    </row>
    <row r="117" spans="5:71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  <c r="BP117" s="2"/>
      <c r="BS117" s="2"/>
    </row>
    <row r="118" spans="5:71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  <c r="BP118" s="2"/>
      <c r="BS118" s="2"/>
    </row>
    <row r="119" spans="5:71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  <c r="BP119" s="2"/>
      <c r="BS119" s="2"/>
    </row>
    <row r="120" spans="5:71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  <c r="BP120" s="2"/>
      <c r="BS120" s="2"/>
    </row>
    <row r="121" spans="5:71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  <c r="BP121" s="2"/>
      <c r="BS121" s="2"/>
    </row>
    <row r="122" spans="5:71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  <c r="BM122" s="2"/>
      <c r="BP122" s="2"/>
      <c r="BS122" s="2"/>
    </row>
    <row r="123" spans="5:71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  <c r="BM123" s="2"/>
      <c r="BP123" s="2"/>
      <c r="BS123" s="2"/>
    </row>
    <row r="124" spans="5:71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  <c r="BM124" s="2"/>
      <c r="BP124" s="2"/>
      <c r="BS124" s="2"/>
    </row>
    <row r="125" spans="5:71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  <c r="BM125" s="2"/>
      <c r="BP125" s="2"/>
      <c r="BS125" s="2"/>
    </row>
    <row r="126" spans="5:71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  <c r="BM126" s="2"/>
      <c r="BP126" s="2"/>
      <c r="BS126" s="2"/>
    </row>
    <row r="127" spans="5:71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  <c r="BM127" s="2"/>
      <c r="BP127" s="2"/>
      <c r="BS127" s="2"/>
    </row>
    <row r="128" spans="5:71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  <c r="BM128" s="2"/>
      <c r="BP128" s="2"/>
      <c r="BS128" s="2"/>
    </row>
    <row r="129" spans="5:71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  <c r="BM129" s="2"/>
      <c r="BP129" s="2"/>
      <c r="BS129" s="2"/>
    </row>
    <row r="130" spans="5:71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  <c r="BM130" s="2"/>
      <c r="BP130" s="2"/>
      <c r="BS130" s="2"/>
    </row>
    <row r="131" spans="5:71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  <c r="BM131" s="2"/>
      <c r="BP131" s="2"/>
      <c r="BS131" s="2"/>
    </row>
    <row r="132" spans="5:71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  <c r="BM132" s="2"/>
      <c r="BP132" s="2"/>
      <c r="BS132" s="2"/>
    </row>
    <row r="133" spans="5:71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  <c r="BM133" s="2"/>
      <c r="BP133" s="2"/>
      <c r="BS133" s="2"/>
    </row>
    <row r="134" spans="5:71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  <c r="BM134" s="2"/>
      <c r="BP134" s="2"/>
      <c r="BS134" s="2"/>
    </row>
    <row r="135" spans="5:71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  <c r="BM135" s="2"/>
      <c r="BP135" s="2"/>
      <c r="BS135" s="2"/>
    </row>
    <row r="136" spans="5:71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  <c r="BM136" s="2"/>
      <c r="BP136" s="2"/>
      <c r="BS136" s="2"/>
    </row>
    <row r="137" spans="5:71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  <c r="BM137" s="2"/>
      <c r="BP137" s="2"/>
      <c r="BS137" s="2"/>
    </row>
    <row r="138" spans="5:71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  <c r="BM138" s="2"/>
      <c r="BP138" s="2"/>
      <c r="BS138" s="2"/>
    </row>
    <row r="139" spans="5:71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  <c r="BM139" s="2"/>
      <c r="BP139" s="2"/>
      <c r="BS139" s="2"/>
    </row>
    <row r="140" spans="5:71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  <c r="BM140" s="2"/>
      <c r="BP140" s="2"/>
      <c r="BS140" s="2"/>
    </row>
    <row r="141" spans="5:71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  <c r="BM141" s="2"/>
      <c r="BP141" s="2"/>
      <c r="BS141" s="2"/>
    </row>
    <row r="142" spans="5:71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  <c r="BM142" s="2"/>
      <c r="BP142" s="2"/>
      <c r="BS142" s="2"/>
    </row>
    <row r="143" spans="5:71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  <c r="BJ143" s="2"/>
      <c r="BM143" s="2"/>
      <c r="BP143" s="2"/>
      <c r="BS143" s="2"/>
    </row>
    <row r="144" spans="5:71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  <c r="BJ144" s="2"/>
      <c r="BM144" s="2"/>
      <c r="BP144" s="2"/>
      <c r="BS144" s="2"/>
    </row>
    <row r="145" spans="5:71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  <c r="BJ145" s="2"/>
      <c r="BM145" s="2"/>
      <c r="BP145" s="2"/>
      <c r="BS145" s="2"/>
    </row>
    <row r="146" spans="5:71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D146" s="2"/>
      <c r="BG146" s="2"/>
      <c r="BJ146" s="2"/>
      <c r="BM146" s="2"/>
      <c r="BP146" s="2"/>
      <c r="BS146" s="2"/>
    </row>
    <row r="147" spans="5:71" x14ac:dyDescent="0.2"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  <c r="AU147" s="2"/>
      <c r="AX147" s="2"/>
      <c r="BA147" s="2"/>
      <c r="BD147" s="2"/>
      <c r="BG147" s="2"/>
      <c r="BJ147" s="2"/>
      <c r="BM147" s="2"/>
      <c r="BP147" s="2"/>
      <c r="BS147" s="2"/>
    </row>
    <row r="148" spans="5:71" x14ac:dyDescent="0.2"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  <c r="AU148" s="2"/>
      <c r="AX148" s="2"/>
      <c r="BA148" s="2"/>
      <c r="BD148" s="2"/>
      <c r="BG148" s="2"/>
      <c r="BJ148" s="2"/>
      <c r="BM148" s="2"/>
      <c r="BP148" s="2"/>
      <c r="BS148" s="2"/>
    </row>
    <row r="149" spans="5:71" x14ac:dyDescent="0.2"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  <c r="AU149" s="2"/>
      <c r="AX149" s="2"/>
      <c r="BA149" s="2"/>
      <c r="BD149" s="2"/>
      <c r="BG149" s="2"/>
      <c r="BJ149" s="2"/>
      <c r="BM149" s="2"/>
      <c r="BP149" s="2"/>
      <c r="BS149" s="2"/>
    </row>
    <row r="150" spans="5:71" x14ac:dyDescent="0.2">
      <c r="E150" s="2"/>
      <c r="H150" s="2"/>
      <c r="K150" s="2"/>
      <c r="N150" s="2"/>
      <c r="Q150" s="2"/>
      <c r="T150" s="2"/>
      <c r="W150" s="2"/>
      <c r="Z150" s="2"/>
      <c r="AC150" s="2"/>
      <c r="AF150" s="2"/>
      <c r="AI150" s="2"/>
      <c r="AL150" s="2"/>
      <c r="AO150" s="2"/>
      <c r="AR150" s="2"/>
      <c r="AU150" s="2"/>
      <c r="AX150" s="2"/>
      <c r="BA150" s="2"/>
      <c r="BD150" s="2"/>
      <c r="BG150" s="2"/>
      <c r="BJ150" s="2"/>
      <c r="BM150" s="2"/>
      <c r="BP150" s="2"/>
      <c r="BS150" s="2"/>
    </row>
    <row r="151" spans="5:71" x14ac:dyDescent="0.2">
      <c r="E151" s="2"/>
      <c r="H151" s="2"/>
      <c r="K151" s="2"/>
      <c r="N151" s="2"/>
      <c r="Q151" s="2"/>
      <c r="T151" s="2"/>
      <c r="W151" s="2"/>
      <c r="Z151" s="2"/>
      <c r="AC151" s="2"/>
      <c r="AF151" s="2"/>
      <c r="AI151" s="2"/>
      <c r="AL151" s="2"/>
      <c r="AO151" s="2"/>
      <c r="AR151" s="2"/>
      <c r="AU151" s="2"/>
      <c r="AX151" s="2"/>
      <c r="BA151" s="2"/>
      <c r="BD151" s="2"/>
      <c r="BG151" s="2"/>
      <c r="BJ151" s="2"/>
      <c r="BM151" s="2"/>
      <c r="BP151" s="2"/>
      <c r="BS151" s="2"/>
    </row>
  </sheetData>
  <mergeCells count="93">
    <mergeCell ref="O1:Q1"/>
    <mergeCell ref="AV1:AX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BE4:BF4"/>
    <mergeCell ref="BH2:BI2"/>
    <mergeCell ref="BH4:BI4"/>
    <mergeCell ref="AY1:BA1"/>
    <mergeCell ref="BB1:BD1"/>
    <mergeCell ref="BE1:BG1"/>
    <mergeCell ref="BH1:BJ1"/>
    <mergeCell ref="BH3:BI3"/>
    <mergeCell ref="BB4:BC4"/>
    <mergeCell ref="BE3:BF3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O2:P2"/>
    <mergeCell ref="R2:S2"/>
    <mergeCell ref="U2:V2"/>
    <mergeCell ref="X2:Y2"/>
    <mergeCell ref="AA2:AB2"/>
    <mergeCell ref="AD2:AE2"/>
    <mergeCell ref="AG2:AH2"/>
    <mergeCell ref="AJ2:AK2"/>
    <mergeCell ref="AM2:AN2"/>
    <mergeCell ref="AP2:AQ2"/>
    <mergeCell ref="AS2:AT2"/>
    <mergeCell ref="AV2:AW2"/>
    <mergeCell ref="AY2:AZ2"/>
    <mergeCell ref="BB2:BC2"/>
    <mergeCell ref="BE2:BF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V3:AW3"/>
    <mergeCell ref="AY3:AZ3"/>
    <mergeCell ref="BB3:BC3"/>
    <mergeCell ref="AP3:AQ3"/>
    <mergeCell ref="AS3:AT3"/>
    <mergeCell ref="AM4:AN4"/>
    <mergeCell ref="AP4:AQ4"/>
    <mergeCell ref="AS4:AT4"/>
    <mergeCell ref="AV4:AW4"/>
    <mergeCell ref="AY4:AZ4"/>
    <mergeCell ref="AG3:AH3"/>
    <mergeCell ref="AJ3:AK3"/>
    <mergeCell ref="AM3:AN3"/>
    <mergeCell ref="BK1:BM1"/>
    <mergeCell ref="BN1:BP1"/>
    <mergeCell ref="BQ1:BS1"/>
    <mergeCell ref="BK4:BL4"/>
    <mergeCell ref="BN4:BO4"/>
    <mergeCell ref="BQ4:BR4"/>
    <mergeCell ref="BK2:BL2"/>
    <mergeCell ref="BN2:BO2"/>
    <mergeCell ref="BQ2:BR2"/>
    <mergeCell ref="BK3:BL3"/>
    <mergeCell ref="BN3:BO3"/>
    <mergeCell ref="BQ3:BR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755E-FDCC-43C9-95E9-2A63D28711C4}">
  <dimension ref="A1:BJ151"/>
  <sheetViews>
    <sheetView zoomScale="130" zoomScaleNormal="130" workbookViewId="0">
      <selection activeCell="BJ4" sqref="BJ4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0" customWidth="1"/>
    <col min="5" max="5" width="9" style="12"/>
    <col min="6" max="7" width="9" style="10" customWidth="1"/>
    <col min="8" max="8" width="9" style="12"/>
    <col min="9" max="10" width="9" style="10" customWidth="1"/>
    <col min="11" max="11" width="9" style="12"/>
    <col min="12" max="13" width="9" style="10" customWidth="1"/>
    <col min="14" max="14" width="9" style="12"/>
    <col min="15" max="16" width="9" style="10" customWidth="1"/>
    <col min="17" max="17" width="9" style="12"/>
    <col min="18" max="19" width="9" style="10" customWidth="1"/>
    <col min="20" max="20" width="9" style="12"/>
    <col min="21" max="21" width="9.5" style="10" customWidth="1"/>
    <col min="22" max="22" width="9" style="10" customWidth="1"/>
    <col min="23" max="23" width="9" style="12"/>
    <col min="24" max="24" width="9.5" style="10" customWidth="1"/>
    <col min="25" max="25" width="10.5" style="10" customWidth="1"/>
    <col min="26" max="26" width="9" style="12"/>
    <col min="27" max="27" width="9.5" style="10" customWidth="1"/>
    <col min="28" max="28" width="9" style="10" customWidth="1"/>
    <col min="29" max="29" width="9" style="12"/>
    <col min="30" max="31" width="9" style="10" customWidth="1"/>
    <col min="32" max="32" width="9" style="12"/>
    <col min="33" max="34" width="9" style="10" customWidth="1"/>
    <col min="35" max="35" width="9" style="12"/>
    <col min="36" max="37" width="9" style="10" customWidth="1"/>
    <col min="38" max="38" width="9" style="12"/>
    <col min="39" max="40" width="9" style="10" customWidth="1"/>
    <col min="41" max="41" width="9" style="12"/>
    <col min="42" max="43" width="9" style="10" customWidth="1"/>
    <col min="44" max="44" width="9" style="12"/>
    <col min="45" max="46" width="9" style="10" customWidth="1"/>
    <col min="47" max="47" width="9" style="12"/>
    <col min="48" max="49" width="9" style="10" customWidth="1"/>
    <col min="50" max="50" width="9" style="12"/>
    <col min="51" max="52" width="9" style="10" customWidth="1"/>
    <col min="53" max="53" width="9" style="12"/>
    <col min="54" max="55" width="9" style="10" customWidth="1"/>
    <col min="56" max="56" width="9" style="12"/>
    <col min="57" max="57" width="9.5" style="10" customWidth="1"/>
    <col min="58" max="58" width="9" style="10" customWidth="1"/>
    <col min="59" max="59" width="9" style="12"/>
    <col min="60" max="61" width="9" style="10" customWidth="1"/>
    <col min="62" max="62" width="9" style="12"/>
    <col min="63" max="16384" width="9" style="10"/>
  </cols>
  <sheetData>
    <row r="1" spans="1:62" s="16" customFormat="1" x14ac:dyDescent="0.2">
      <c r="A1" s="22" t="s">
        <v>51</v>
      </c>
      <c r="B1" s="22"/>
      <c r="C1" s="21" t="s">
        <v>44</v>
      </c>
      <c r="D1" s="21"/>
      <c r="E1" s="21"/>
      <c r="F1" s="21" t="s">
        <v>12</v>
      </c>
      <c r="G1" s="21"/>
      <c r="H1" s="21"/>
      <c r="I1" s="21" t="s">
        <v>22</v>
      </c>
      <c r="J1" s="21"/>
      <c r="K1" s="21"/>
      <c r="L1" s="21" t="s">
        <v>46</v>
      </c>
      <c r="M1" s="21"/>
      <c r="N1" s="21"/>
      <c r="O1" s="21" t="s">
        <v>34</v>
      </c>
      <c r="P1" s="21"/>
      <c r="Q1" s="21"/>
      <c r="R1" s="21" t="s">
        <v>43</v>
      </c>
      <c r="S1" s="21"/>
      <c r="T1" s="21"/>
      <c r="U1" s="21" t="s">
        <v>18</v>
      </c>
      <c r="V1" s="21"/>
      <c r="W1" s="21"/>
      <c r="X1" s="21" t="s">
        <v>13</v>
      </c>
      <c r="Y1" s="21"/>
      <c r="Z1" s="21"/>
      <c r="AA1" s="21" t="s">
        <v>20</v>
      </c>
      <c r="AB1" s="21"/>
      <c r="AC1" s="21"/>
      <c r="AD1" s="21" t="s">
        <v>19</v>
      </c>
      <c r="AE1" s="21"/>
      <c r="AF1" s="21"/>
      <c r="AG1" s="21" t="s">
        <v>25</v>
      </c>
      <c r="AH1" s="21"/>
      <c r="AI1" s="21"/>
      <c r="AJ1" s="21" t="s">
        <v>16</v>
      </c>
      <c r="AK1" s="21"/>
      <c r="AL1" s="21"/>
      <c r="AM1" s="21" t="s">
        <v>6</v>
      </c>
      <c r="AN1" s="21"/>
      <c r="AO1" s="21"/>
      <c r="AP1" s="21" t="s">
        <v>21</v>
      </c>
      <c r="AQ1" s="21"/>
      <c r="AR1" s="21"/>
      <c r="AS1" s="21" t="s">
        <v>33</v>
      </c>
      <c r="AT1" s="21"/>
      <c r="AU1" s="21"/>
      <c r="AV1" s="21" t="s">
        <v>23</v>
      </c>
      <c r="AW1" s="21"/>
      <c r="AX1" s="21"/>
      <c r="AY1" s="21" t="s">
        <v>9</v>
      </c>
      <c r="AZ1" s="21"/>
      <c r="BA1" s="21"/>
      <c r="BB1" s="21" t="s">
        <v>10</v>
      </c>
      <c r="BC1" s="21"/>
      <c r="BD1" s="21"/>
      <c r="BE1" s="21" t="s">
        <v>27</v>
      </c>
      <c r="BF1" s="21"/>
      <c r="BG1" s="21"/>
      <c r="BH1" s="21" t="s">
        <v>11</v>
      </c>
      <c r="BI1" s="21"/>
      <c r="BJ1" s="21"/>
    </row>
    <row r="2" spans="1:62" x14ac:dyDescent="0.2">
      <c r="A2" s="1" t="s">
        <v>5</v>
      </c>
      <c r="B2" s="1">
        <f>SUM(C2:WT2)</f>
        <v>250</v>
      </c>
      <c r="C2" s="19" t="s">
        <v>5</v>
      </c>
      <c r="D2" s="19"/>
      <c r="E2" s="8">
        <f>COUNT(E6:E300)</f>
        <v>9</v>
      </c>
      <c r="F2" s="19" t="s">
        <v>5</v>
      </c>
      <c r="G2" s="19"/>
      <c r="H2" s="8">
        <f>COUNT(H6:H300)</f>
        <v>41</v>
      </c>
      <c r="I2" s="19" t="s">
        <v>5</v>
      </c>
      <c r="J2" s="19"/>
      <c r="K2" s="8">
        <f>COUNT(K6:K300)</f>
        <v>25</v>
      </c>
      <c r="L2" s="19" t="s">
        <v>5</v>
      </c>
      <c r="M2" s="19"/>
      <c r="N2" s="8">
        <f>COUNT(N6:N300)</f>
        <v>14</v>
      </c>
      <c r="O2" s="19" t="s">
        <v>5</v>
      </c>
      <c r="P2" s="19"/>
      <c r="Q2" s="8">
        <f>COUNT(Q6:Q300)</f>
        <v>4</v>
      </c>
      <c r="R2" s="19" t="s">
        <v>5</v>
      </c>
      <c r="S2" s="19"/>
      <c r="T2" s="8">
        <f>COUNT(T6:T300)</f>
        <v>2</v>
      </c>
      <c r="U2" s="19" t="s">
        <v>5</v>
      </c>
      <c r="V2" s="19"/>
      <c r="W2" s="8">
        <f>COUNT(W6:W300)</f>
        <v>26</v>
      </c>
      <c r="X2" s="19" t="s">
        <v>5</v>
      </c>
      <c r="Y2" s="19"/>
      <c r="Z2" s="8">
        <f>COUNT(Z6:Z300)</f>
        <v>11</v>
      </c>
      <c r="AA2" s="19" t="s">
        <v>5</v>
      </c>
      <c r="AB2" s="19"/>
      <c r="AC2" s="8">
        <f>COUNT(AC6:AC300)</f>
        <v>52</v>
      </c>
      <c r="AD2" s="19" t="s">
        <v>5</v>
      </c>
      <c r="AE2" s="19"/>
      <c r="AF2" s="8">
        <f>COUNT(AF6:AF300)</f>
        <v>16</v>
      </c>
      <c r="AG2" s="19" t="s">
        <v>5</v>
      </c>
      <c r="AH2" s="19"/>
      <c r="AI2" s="8">
        <f>COUNT(AI6:AI300)</f>
        <v>7</v>
      </c>
      <c r="AJ2" s="19" t="s">
        <v>5</v>
      </c>
      <c r="AK2" s="19"/>
      <c r="AL2" s="8">
        <f>COUNT(AL6:AL300)</f>
        <v>7</v>
      </c>
      <c r="AM2" s="19" t="s">
        <v>5</v>
      </c>
      <c r="AN2" s="19"/>
      <c r="AO2" s="8">
        <f>COUNT(AO6:AO300)</f>
        <v>4</v>
      </c>
      <c r="AP2" s="19" t="s">
        <v>5</v>
      </c>
      <c r="AQ2" s="19"/>
      <c r="AR2" s="8">
        <f>COUNT(AR6:AR300)</f>
        <v>19</v>
      </c>
      <c r="AS2" s="19" t="s">
        <v>5</v>
      </c>
      <c r="AT2" s="19"/>
      <c r="AU2" s="8">
        <f>COUNT(AU6:AU300)</f>
        <v>1</v>
      </c>
      <c r="AV2" s="19" t="s">
        <v>5</v>
      </c>
      <c r="AW2" s="19"/>
      <c r="AX2" s="8">
        <f>COUNT(AX6:AX300)</f>
        <v>6</v>
      </c>
      <c r="AY2" s="19" t="s">
        <v>5</v>
      </c>
      <c r="AZ2" s="19"/>
      <c r="BA2" s="8">
        <f>COUNT(BA6:BA300)</f>
        <v>2</v>
      </c>
      <c r="BB2" s="19" t="s">
        <v>5</v>
      </c>
      <c r="BC2" s="19"/>
      <c r="BD2" s="8">
        <f>COUNT(BD6:BD300)</f>
        <v>1</v>
      </c>
      <c r="BE2" s="19" t="s">
        <v>5</v>
      </c>
      <c r="BF2" s="19"/>
      <c r="BG2" s="8">
        <f>COUNT(BG6:BG300)</f>
        <v>1</v>
      </c>
      <c r="BH2" s="19" t="s">
        <v>5</v>
      </c>
      <c r="BI2" s="19"/>
      <c r="BJ2" s="8">
        <f>COUNT(BJ6:BJ300)</f>
        <v>2</v>
      </c>
    </row>
    <row r="3" spans="1:62" x14ac:dyDescent="0.2">
      <c r="A3" s="1" t="s">
        <v>4</v>
      </c>
      <c r="B3" s="1">
        <f>SUM(C3:WT3)</f>
        <v>71.784043178447448</v>
      </c>
      <c r="C3" s="19" t="s">
        <v>4</v>
      </c>
      <c r="D3" s="19"/>
      <c r="E3" s="8">
        <f>SUM(E6:E300)</f>
        <v>0.28270562731562504</v>
      </c>
      <c r="F3" s="19" t="s">
        <v>4</v>
      </c>
      <c r="G3" s="19"/>
      <c r="H3" s="8">
        <f>SUM(H6:H300)</f>
        <v>3.7961700803</v>
      </c>
      <c r="I3" s="19" t="s">
        <v>4</v>
      </c>
      <c r="J3" s="19"/>
      <c r="K3" s="8">
        <f>SUM(K6:K300)</f>
        <v>1.5474148962231249</v>
      </c>
      <c r="L3" s="19" t="s">
        <v>4</v>
      </c>
      <c r="M3" s="19"/>
      <c r="N3" s="8">
        <f>SUM(N6:N300)</f>
        <v>1.3794170602687503</v>
      </c>
      <c r="O3" s="19" t="s">
        <v>4</v>
      </c>
      <c r="P3" s="19"/>
      <c r="Q3" s="8">
        <f>SUM(Q6:Q300)</f>
        <v>0.60112822488947504</v>
      </c>
      <c r="R3" s="19" t="s">
        <v>4</v>
      </c>
      <c r="S3" s="19"/>
      <c r="T3" s="8">
        <f>SUM(T6:T300)</f>
        <v>0.19832270101625005</v>
      </c>
      <c r="U3" s="19" t="s">
        <v>4</v>
      </c>
      <c r="V3" s="19"/>
      <c r="W3" s="8">
        <f>SUM(W6:W300)</f>
        <v>25.513231513739999</v>
      </c>
      <c r="X3" s="19" t="s">
        <v>4</v>
      </c>
      <c r="Y3" s="19"/>
      <c r="Z3" s="8">
        <f>SUM(Z6:Z300)</f>
        <v>8.5064895018926681</v>
      </c>
      <c r="AA3" s="19" t="s">
        <v>4</v>
      </c>
      <c r="AB3" s="19"/>
      <c r="AC3" s="8">
        <f>SUM(AC6:AC300)</f>
        <v>19.747444642376248</v>
      </c>
      <c r="AD3" s="19" t="s">
        <v>4</v>
      </c>
      <c r="AE3" s="19"/>
      <c r="AF3" s="8">
        <f>SUM(AF6:AF300)</f>
        <v>2.3631910532893747</v>
      </c>
      <c r="AG3" s="19" t="s">
        <v>4</v>
      </c>
      <c r="AH3" s="19"/>
      <c r="AI3" s="8">
        <f>SUM(AI6:AI300)</f>
        <v>0.370633359745625</v>
      </c>
      <c r="AJ3" s="19" t="s">
        <v>4</v>
      </c>
      <c r="AK3" s="19"/>
      <c r="AL3" s="8">
        <f>SUM(AL6:AL300)</f>
        <v>2.6734781492756254</v>
      </c>
      <c r="AM3" s="19" t="s">
        <v>4</v>
      </c>
      <c r="AN3" s="19"/>
      <c r="AO3" s="8">
        <f>SUM(AO6:AO300)</f>
        <v>0.73675498491812497</v>
      </c>
      <c r="AP3" s="19" t="s">
        <v>4</v>
      </c>
      <c r="AQ3" s="19"/>
      <c r="AR3" s="8">
        <f>SUM(AR6:AR300)</f>
        <v>1.1573088989785623</v>
      </c>
      <c r="AS3" s="19" t="s">
        <v>4</v>
      </c>
      <c r="AT3" s="19"/>
      <c r="AU3" s="8">
        <f>SUM(AU6:AU300)</f>
        <v>2.5321588458124999E-2</v>
      </c>
      <c r="AV3" s="19" t="s">
        <v>4</v>
      </c>
      <c r="AW3" s="19"/>
      <c r="AX3" s="8">
        <f>SUM(AX6:AX300)</f>
        <v>0.60457105505124997</v>
      </c>
      <c r="AY3" s="19" t="s">
        <v>4</v>
      </c>
      <c r="AZ3" s="19"/>
      <c r="BA3" s="8">
        <f>SUM(BA6:BA300)</f>
        <v>0.86617828968187505</v>
      </c>
      <c r="BB3" s="19" t="s">
        <v>4</v>
      </c>
      <c r="BC3" s="19"/>
      <c r="BD3" s="8">
        <f>SUM(BD6:BD300)</f>
        <v>6.964706713499999E-2</v>
      </c>
      <c r="BE3" s="19" t="s">
        <v>4</v>
      </c>
      <c r="BF3" s="19"/>
      <c r="BG3" s="8">
        <f>SUM(BG6:BG300)</f>
        <v>1.2052658632893749</v>
      </c>
      <c r="BH3" s="19" t="s">
        <v>4</v>
      </c>
      <c r="BI3" s="19"/>
      <c r="BJ3" s="8">
        <f>SUM(BJ6:BJ300)</f>
        <v>0.13936862060240002</v>
      </c>
    </row>
    <row r="4" spans="1:62" x14ac:dyDescent="0.2">
      <c r="A4" s="1"/>
      <c r="B4" s="1"/>
      <c r="C4" s="19" t="s">
        <v>3</v>
      </c>
      <c r="D4" s="19"/>
      <c r="E4" s="8">
        <f>AVERAGE(E6:E300)</f>
        <v>3.1411736368402783E-2</v>
      </c>
      <c r="F4" s="19" t="s">
        <v>3</v>
      </c>
      <c r="G4" s="19"/>
      <c r="H4" s="8">
        <f>AVERAGE(H6:H300)</f>
        <v>9.2589514153658542E-2</v>
      </c>
      <c r="I4" s="19" t="s">
        <v>3</v>
      </c>
      <c r="J4" s="19"/>
      <c r="K4" s="8">
        <f>AVERAGE(K6:K300)</f>
        <v>6.1896595848924998E-2</v>
      </c>
      <c r="L4" s="19" t="s">
        <v>3</v>
      </c>
      <c r="M4" s="19"/>
      <c r="N4" s="8">
        <f>AVERAGE(N6:N300)</f>
        <v>9.8529790019196456E-2</v>
      </c>
      <c r="O4" s="19" t="s">
        <v>3</v>
      </c>
      <c r="P4" s="19"/>
      <c r="Q4" s="8">
        <f>AVERAGE(Q6:Q300)</f>
        <v>0.15028205622236876</v>
      </c>
      <c r="R4" s="19" t="s">
        <v>3</v>
      </c>
      <c r="S4" s="19"/>
      <c r="T4" s="8">
        <f>AVERAGE(T6:T300)</f>
        <v>9.9161350508125023E-2</v>
      </c>
      <c r="U4" s="19" t="s">
        <v>3</v>
      </c>
      <c r="V4" s="19"/>
      <c r="W4" s="8">
        <f>AVERAGE(W6:W300)</f>
        <v>0.9812781351438461</v>
      </c>
      <c r="X4" s="19" t="s">
        <v>3</v>
      </c>
      <c r="Y4" s="19"/>
      <c r="Z4" s="8">
        <f>AVERAGE(Z6:Z300)</f>
        <v>0.77331722744478804</v>
      </c>
      <c r="AA4" s="19" t="s">
        <v>3</v>
      </c>
      <c r="AB4" s="19"/>
      <c r="AC4" s="8">
        <f>AVERAGE(AC6:AC300)</f>
        <v>0.37975855081492782</v>
      </c>
      <c r="AD4" s="19" t="s">
        <v>3</v>
      </c>
      <c r="AE4" s="19"/>
      <c r="AF4" s="8">
        <f>AVERAGE(AF6:AF300)</f>
        <v>0.14769944083058592</v>
      </c>
      <c r="AG4" s="19" t="s">
        <v>3</v>
      </c>
      <c r="AH4" s="19"/>
      <c r="AI4" s="8">
        <f>AVERAGE(AI6:AI300)</f>
        <v>5.2947622820803571E-2</v>
      </c>
      <c r="AJ4" s="19" t="s">
        <v>3</v>
      </c>
      <c r="AK4" s="19"/>
      <c r="AL4" s="8">
        <f>AVERAGE(AL6:AL300)</f>
        <v>0.38192544989651794</v>
      </c>
      <c r="AM4" s="19" t="s">
        <v>3</v>
      </c>
      <c r="AN4" s="19"/>
      <c r="AO4" s="8">
        <f>AVERAGE(AO6:AO300)</f>
        <v>0.18418874622953124</v>
      </c>
      <c r="AP4" s="19" t="s">
        <v>3</v>
      </c>
      <c r="AQ4" s="19"/>
      <c r="AR4" s="8">
        <f>AVERAGE(AR6:AR300)</f>
        <v>6.0910994683082226E-2</v>
      </c>
      <c r="AS4" s="19" t="s">
        <v>3</v>
      </c>
      <c r="AT4" s="19"/>
      <c r="AU4" s="8">
        <f>AVERAGE(AU6:AU300)</f>
        <v>2.5321588458124999E-2</v>
      </c>
      <c r="AV4" s="19" t="s">
        <v>3</v>
      </c>
      <c r="AW4" s="19"/>
      <c r="AX4" s="8">
        <f>AVERAGE(AX6:AX300)</f>
        <v>0.10076184250854166</v>
      </c>
      <c r="AY4" s="19" t="s">
        <v>3</v>
      </c>
      <c r="AZ4" s="19"/>
      <c r="BA4" s="8">
        <f>AVERAGE(BA6:BA300)</f>
        <v>0.43308914484093752</v>
      </c>
      <c r="BB4" s="19" t="s">
        <v>3</v>
      </c>
      <c r="BC4" s="19"/>
      <c r="BD4" s="8">
        <f>AVERAGE(BD6:BD300)</f>
        <v>6.964706713499999E-2</v>
      </c>
      <c r="BE4" s="19" t="s">
        <v>3</v>
      </c>
      <c r="BF4" s="19"/>
      <c r="BG4" s="8">
        <f>AVERAGE(BG6:BG300)</f>
        <v>1.2052658632893749</v>
      </c>
      <c r="BH4" s="19" t="s">
        <v>3</v>
      </c>
      <c r="BI4" s="19"/>
      <c r="BJ4" s="8">
        <f>AVERAGE(BJ6:BJ300)</f>
        <v>6.9684310301200009E-2</v>
      </c>
    </row>
    <row r="5" spans="1:62" x14ac:dyDescent="0.2">
      <c r="A5" s="1"/>
      <c r="B5" s="1"/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</row>
    <row r="6" spans="1:62" x14ac:dyDescent="0.2">
      <c r="C6" s="11">
        <v>470.8</v>
      </c>
      <c r="D6" s="11">
        <v>16.02</v>
      </c>
      <c r="E6" s="9">
        <f t="shared" ref="E6:E14" si="0">(C6*D6*D6)/1600000</f>
        <v>7.5516437700000008E-2</v>
      </c>
      <c r="F6" s="11">
        <v>343.85</v>
      </c>
      <c r="G6" s="11">
        <v>22.2</v>
      </c>
      <c r="H6" s="9">
        <f t="shared" ref="H6:H37" si="1">(F6*G6*G6)/1600000</f>
        <v>0.10591439625000001</v>
      </c>
      <c r="I6" s="11">
        <v>329.32</v>
      </c>
      <c r="J6" s="11">
        <v>14.23</v>
      </c>
      <c r="K6" s="9">
        <f t="shared" ref="K6:K30" si="2">(I6*J6*J6)/1600000</f>
        <v>4.16781011425E-2</v>
      </c>
      <c r="L6" s="11">
        <v>214.63</v>
      </c>
      <c r="M6" s="11">
        <v>13.51</v>
      </c>
      <c r="N6" s="9">
        <f t="shared" ref="N6:N19" si="3">(L6*M6*M6)/1600000</f>
        <v>2.4483930664374997E-2</v>
      </c>
      <c r="O6" s="11">
        <v>601.33000000000004</v>
      </c>
      <c r="P6" s="11">
        <v>20.14</v>
      </c>
      <c r="Q6" s="9">
        <f t="shared" ref="Q6:Q9" si="4">(O6*P6*P6)/1600000</f>
        <v>0.15244452129250002</v>
      </c>
      <c r="R6" s="11">
        <v>254.96</v>
      </c>
      <c r="S6" s="11">
        <v>11.51</v>
      </c>
      <c r="T6" s="9">
        <f t="shared" ref="T6:T7" si="5">(R6*S6*S6)/1600000</f>
        <v>2.1110703935000003E-2</v>
      </c>
      <c r="U6" s="11">
        <v>911.77</v>
      </c>
      <c r="V6" s="11">
        <v>38</v>
      </c>
      <c r="W6" s="9">
        <f t="shared" ref="W6:W31" si="6">(U6*V6*V6)/1600000</f>
        <v>0.82287242500000013</v>
      </c>
      <c r="X6" s="11">
        <v>1052.18</v>
      </c>
      <c r="Y6" s="11">
        <v>40.090000000000003</v>
      </c>
      <c r="Z6" s="9">
        <f t="shared" ref="Z6:Z16" si="7">(X6*Y6*Y6)/1600000</f>
        <v>1.0569201366612502</v>
      </c>
      <c r="AA6" s="11">
        <v>897.48</v>
      </c>
      <c r="AB6" s="11">
        <v>30.24</v>
      </c>
      <c r="AC6" s="9">
        <f t="shared" ref="AC6:AC37" si="8">(AA6*AB6*AB6)/1600000</f>
        <v>0.51294212928000005</v>
      </c>
      <c r="AD6" s="11">
        <v>607.36</v>
      </c>
      <c r="AE6" s="11">
        <v>22.13</v>
      </c>
      <c r="AF6" s="9">
        <f t="shared" ref="AF6:AF21" si="9">(AD6*AE6*AE6)/1600000</f>
        <v>0.18590412723999997</v>
      </c>
      <c r="AG6" s="11">
        <v>390.31</v>
      </c>
      <c r="AH6" s="11">
        <v>12.91</v>
      </c>
      <c r="AI6" s="9">
        <f t="shared" ref="AI6:AI12" si="10">(AG6*AH6*AH6)/1600000</f>
        <v>4.0657641319375E-2</v>
      </c>
      <c r="AJ6" s="11">
        <v>593.37</v>
      </c>
      <c r="AK6" s="11">
        <v>29.32</v>
      </c>
      <c r="AL6" s="9">
        <f t="shared" ref="AL6:AL12" si="11">(AJ6*AK6*AK6)/1600000</f>
        <v>0.31881117393000002</v>
      </c>
      <c r="AM6" s="11">
        <v>502.7</v>
      </c>
      <c r="AN6" s="11">
        <v>21.19</v>
      </c>
      <c r="AO6" s="9">
        <f t="shared" ref="AO6:AO9" si="12">(AM6*AN6*AN6)/1600000</f>
        <v>0.14107524591875001</v>
      </c>
      <c r="AP6" s="11">
        <v>521.87</v>
      </c>
      <c r="AQ6" s="11">
        <v>14.19</v>
      </c>
      <c r="AR6" s="9">
        <f t="shared" ref="AR6:AR24" si="13">(AP6*AQ6*AQ6)/1600000</f>
        <v>6.5676067441875E-2</v>
      </c>
      <c r="AS6" s="11">
        <v>237.17</v>
      </c>
      <c r="AT6" s="11">
        <v>13.07</v>
      </c>
      <c r="AU6" s="9">
        <f t="shared" ref="AU6" si="14">(AS6*AT6*AT6)/1600000</f>
        <v>2.5321588458124999E-2</v>
      </c>
      <c r="AV6" s="11">
        <v>719.12</v>
      </c>
      <c r="AW6" s="11">
        <v>21.67</v>
      </c>
      <c r="AX6" s="9">
        <f t="shared" ref="AX6:AX11" si="15">(AV6*AW6*AW6)/1600000</f>
        <v>0.21105673110500003</v>
      </c>
      <c r="AY6" s="11">
        <v>814.59</v>
      </c>
      <c r="AZ6" s="11">
        <v>32.85</v>
      </c>
      <c r="BA6" s="9">
        <f t="shared" ref="BA6:BA7" si="16">(AY6*AZ6*AZ6)/1600000</f>
        <v>0.54940149829687512</v>
      </c>
      <c r="BB6" s="11">
        <v>397.66</v>
      </c>
      <c r="BC6" s="11">
        <v>16.739999999999998</v>
      </c>
      <c r="BD6" s="9">
        <f t="shared" ref="BD6" si="17">(BB6*BC6*BC6)/1600000</f>
        <v>6.964706713499999E-2</v>
      </c>
      <c r="BE6" s="11">
        <v>1146.6300000000001</v>
      </c>
      <c r="BF6" s="11">
        <v>41.01</v>
      </c>
      <c r="BG6" s="9">
        <f t="shared" ref="BG6" si="18">(BE6*BF6*BF6)/1600000</f>
        <v>1.2052658632893749</v>
      </c>
      <c r="BH6" s="11">
        <v>419.36</v>
      </c>
      <c r="BI6" s="11">
        <v>19.588000000000001</v>
      </c>
      <c r="BJ6" s="9">
        <f t="shared" ref="BJ6:BJ7" si="19">(BH6*BI6*BI6)/1600000</f>
        <v>0.1005650819024</v>
      </c>
    </row>
    <row r="7" spans="1:62" x14ac:dyDescent="0.2">
      <c r="C7" s="11">
        <v>193.12</v>
      </c>
      <c r="D7" s="11">
        <v>8.75</v>
      </c>
      <c r="E7" s="9">
        <f t="shared" si="0"/>
        <v>9.2410937500000002E-3</v>
      </c>
      <c r="F7" s="11">
        <v>330.61</v>
      </c>
      <c r="G7" s="11">
        <v>18.55</v>
      </c>
      <c r="H7" s="9">
        <f t="shared" si="1"/>
        <v>7.1102329703125008E-2</v>
      </c>
      <c r="I7" s="11">
        <v>396.72</v>
      </c>
      <c r="J7" s="11">
        <v>16.37</v>
      </c>
      <c r="K7" s="9">
        <f t="shared" si="2"/>
        <v>6.6444872355000004E-2</v>
      </c>
      <c r="L7" s="11">
        <v>363.03</v>
      </c>
      <c r="M7" s="11">
        <v>17.940000000000001</v>
      </c>
      <c r="N7" s="9">
        <f t="shared" si="3"/>
        <v>7.3024301317499998E-2</v>
      </c>
      <c r="O7" s="11">
        <v>647.96</v>
      </c>
      <c r="P7" s="11">
        <v>21.463999999999999</v>
      </c>
      <c r="Q7" s="9">
        <f t="shared" si="4"/>
        <v>0.18657331729759996</v>
      </c>
      <c r="R7" s="11">
        <v>453.3</v>
      </c>
      <c r="S7" s="11">
        <v>25.01</v>
      </c>
      <c r="T7" s="9">
        <f t="shared" si="5"/>
        <v>0.17721199708125004</v>
      </c>
      <c r="U7" s="11">
        <v>822.13</v>
      </c>
      <c r="V7" s="11">
        <v>33.19</v>
      </c>
      <c r="W7" s="9">
        <f t="shared" si="6"/>
        <v>0.56602422443312495</v>
      </c>
      <c r="X7" s="11">
        <v>923.67</v>
      </c>
      <c r="Y7" s="11">
        <v>36.158999999999999</v>
      </c>
      <c r="Z7" s="9">
        <f t="shared" si="7"/>
        <v>0.75479615341329365</v>
      </c>
      <c r="AA7" s="11">
        <v>680.01</v>
      </c>
      <c r="AB7" s="11">
        <v>24.22</v>
      </c>
      <c r="AC7" s="9">
        <f t="shared" si="8"/>
        <v>0.24931223630249999</v>
      </c>
      <c r="AD7" s="11">
        <v>453.93</v>
      </c>
      <c r="AE7" s="11">
        <v>18.329999999999998</v>
      </c>
      <c r="AF7" s="9">
        <f t="shared" si="9"/>
        <v>9.5322150860624982E-2</v>
      </c>
      <c r="AG7" s="11">
        <v>389.62</v>
      </c>
      <c r="AH7" s="11">
        <v>13.49</v>
      </c>
      <c r="AI7" s="9">
        <f t="shared" si="10"/>
        <v>4.4314429101249997E-2</v>
      </c>
      <c r="AJ7" s="11">
        <v>578.29999999999995</v>
      </c>
      <c r="AK7" s="11">
        <v>26.34</v>
      </c>
      <c r="AL7" s="9">
        <f t="shared" si="11"/>
        <v>0.250763747175</v>
      </c>
      <c r="AM7" s="11">
        <v>581.46</v>
      </c>
      <c r="AN7" s="11">
        <v>22.6</v>
      </c>
      <c r="AO7" s="9">
        <f t="shared" si="12"/>
        <v>0.18561656850000002</v>
      </c>
      <c r="AP7" s="11">
        <v>513.01</v>
      </c>
      <c r="AQ7" s="11">
        <v>17.829999999999998</v>
      </c>
      <c r="AR7" s="9">
        <f t="shared" si="13"/>
        <v>0.10193152799312498</v>
      </c>
      <c r="AS7" s="11"/>
      <c r="AT7" s="11"/>
      <c r="AU7" s="9"/>
      <c r="AV7" s="11">
        <v>343.76</v>
      </c>
      <c r="AW7" s="11">
        <v>14.71</v>
      </c>
      <c r="AX7" s="9">
        <f t="shared" si="15"/>
        <v>4.6490123885000005E-2</v>
      </c>
      <c r="AY7" s="11">
        <v>668.26</v>
      </c>
      <c r="AZ7" s="11">
        <v>27.54</v>
      </c>
      <c r="BA7" s="9">
        <f t="shared" si="16"/>
        <v>0.31677679138499998</v>
      </c>
      <c r="BB7" s="11"/>
      <c r="BC7" s="11"/>
      <c r="BD7" s="9"/>
      <c r="BE7" s="11"/>
      <c r="BF7" s="11"/>
      <c r="BG7" s="9"/>
      <c r="BH7" s="11">
        <v>346.8</v>
      </c>
      <c r="BI7" s="11">
        <v>13.38</v>
      </c>
      <c r="BJ7" s="9">
        <f t="shared" si="19"/>
        <v>3.8803538700000001E-2</v>
      </c>
    </row>
    <row r="8" spans="1:62" x14ac:dyDescent="0.2">
      <c r="C8" s="11">
        <v>438.84</v>
      </c>
      <c r="D8" s="11">
        <v>15.93</v>
      </c>
      <c r="E8" s="9">
        <f t="shared" si="0"/>
        <v>6.9601367947499992E-2</v>
      </c>
      <c r="F8" s="11">
        <v>309.83999999999997</v>
      </c>
      <c r="G8" s="11">
        <v>16.399999999999999</v>
      </c>
      <c r="H8" s="9">
        <f t="shared" si="1"/>
        <v>5.2084103999999985E-2</v>
      </c>
      <c r="I8" s="11">
        <v>396.72</v>
      </c>
      <c r="J8" s="11">
        <v>25.05</v>
      </c>
      <c r="K8" s="9">
        <f t="shared" si="2"/>
        <v>0.15558924487500003</v>
      </c>
      <c r="L8" s="11">
        <v>199.82</v>
      </c>
      <c r="M8" s="11">
        <v>13.08</v>
      </c>
      <c r="N8" s="9">
        <f t="shared" si="3"/>
        <v>2.1366552779999996E-2</v>
      </c>
      <c r="O8" s="11">
        <v>638.29</v>
      </c>
      <c r="P8" s="11">
        <v>24.26</v>
      </c>
      <c r="Q8" s="9">
        <f t="shared" si="4"/>
        <v>0.23479002975250002</v>
      </c>
      <c r="R8" s="11"/>
      <c r="S8" s="11"/>
      <c r="T8" s="9"/>
      <c r="U8" s="11">
        <v>887.68</v>
      </c>
      <c r="V8" s="11">
        <v>32.83</v>
      </c>
      <c r="W8" s="9">
        <f t="shared" si="6"/>
        <v>0.59796837771999989</v>
      </c>
      <c r="X8" s="11">
        <v>762.83</v>
      </c>
      <c r="Y8" s="11">
        <v>26.47</v>
      </c>
      <c r="Z8" s="9">
        <f t="shared" si="7"/>
        <v>0.33405322146687505</v>
      </c>
      <c r="AA8" s="11">
        <v>954.52</v>
      </c>
      <c r="AB8" s="11">
        <v>28.52</v>
      </c>
      <c r="AC8" s="9">
        <f t="shared" si="8"/>
        <v>0.48524837787999997</v>
      </c>
      <c r="AD8" s="11">
        <v>496.01</v>
      </c>
      <c r="AE8" s="11">
        <v>17.63</v>
      </c>
      <c r="AF8" s="9">
        <f t="shared" si="9"/>
        <v>9.6355181605624979E-2</v>
      </c>
      <c r="AG8" s="11">
        <v>440.14</v>
      </c>
      <c r="AH8" s="11">
        <v>16.11</v>
      </c>
      <c r="AI8" s="9">
        <f t="shared" si="10"/>
        <v>7.1394036558749999E-2</v>
      </c>
      <c r="AJ8" s="11">
        <v>529.6</v>
      </c>
      <c r="AK8" s="11">
        <v>35.69</v>
      </c>
      <c r="AL8" s="9">
        <f t="shared" si="11"/>
        <v>0.42161988909999992</v>
      </c>
      <c r="AM8" s="11">
        <v>587.85</v>
      </c>
      <c r="AN8" s="11">
        <v>23.65</v>
      </c>
      <c r="AO8" s="9">
        <f t="shared" si="12"/>
        <v>0.20549858226562498</v>
      </c>
      <c r="AP8" s="11">
        <v>310.47000000000003</v>
      </c>
      <c r="AQ8" s="11">
        <v>12.6</v>
      </c>
      <c r="AR8" s="9">
        <f t="shared" si="13"/>
        <v>3.0806385749999998E-2</v>
      </c>
      <c r="AS8" s="11"/>
      <c r="AT8" s="11"/>
      <c r="AU8" s="9"/>
      <c r="AV8" s="11">
        <v>392.84</v>
      </c>
      <c r="AW8" s="11">
        <v>13.78</v>
      </c>
      <c r="AX8" s="9">
        <f t="shared" si="15"/>
        <v>4.662234941E-2</v>
      </c>
      <c r="AY8" s="11"/>
      <c r="AZ8" s="11"/>
      <c r="BA8" s="9"/>
      <c r="BB8" s="11"/>
      <c r="BC8" s="11"/>
      <c r="BD8" s="9"/>
      <c r="BE8" s="11"/>
      <c r="BF8" s="11"/>
      <c r="BG8" s="9"/>
      <c r="BH8" s="11"/>
      <c r="BI8" s="11"/>
      <c r="BJ8" s="9"/>
    </row>
    <row r="9" spans="1:62" x14ac:dyDescent="0.2">
      <c r="C9" s="11">
        <v>264.64999999999998</v>
      </c>
      <c r="D9" s="11">
        <v>13.47</v>
      </c>
      <c r="E9" s="9">
        <f t="shared" si="0"/>
        <v>3.0011458865625E-2</v>
      </c>
      <c r="F9" s="11">
        <v>422.63</v>
      </c>
      <c r="G9" s="11">
        <v>14.99</v>
      </c>
      <c r="H9" s="9">
        <f t="shared" si="1"/>
        <v>5.9353127039375002E-2</v>
      </c>
      <c r="I9" s="11">
        <v>366.86</v>
      </c>
      <c r="J9" s="11">
        <v>19.899999999999999</v>
      </c>
      <c r="K9" s="9">
        <f t="shared" si="2"/>
        <v>9.0800142875000003E-2</v>
      </c>
      <c r="L9" s="11">
        <v>396.86</v>
      </c>
      <c r="M9" s="11">
        <v>19.670000000000002</v>
      </c>
      <c r="N9" s="9">
        <f t="shared" si="3"/>
        <v>9.5967916283750024E-2</v>
      </c>
      <c r="O9" s="11">
        <v>284.75</v>
      </c>
      <c r="P9" s="11">
        <v>12.39</v>
      </c>
      <c r="Q9" s="9">
        <f t="shared" si="4"/>
        <v>2.7320356546875004E-2</v>
      </c>
      <c r="R9" s="11"/>
      <c r="S9" s="11"/>
      <c r="T9" s="9"/>
      <c r="U9" s="11">
        <v>869.31</v>
      </c>
      <c r="V9" s="11">
        <v>36.979999999999997</v>
      </c>
      <c r="W9" s="9">
        <f t="shared" si="6"/>
        <v>0.74299947432749991</v>
      </c>
      <c r="X9" s="11">
        <v>1529.44</v>
      </c>
      <c r="Y9" s="11">
        <v>50.98</v>
      </c>
      <c r="Z9" s="9">
        <f t="shared" si="7"/>
        <v>2.4843462463599999</v>
      </c>
      <c r="AA9" s="11">
        <v>886.49</v>
      </c>
      <c r="AB9" s="11">
        <v>29</v>
      </c>
      <c r="AC9" s="9">
        <f t="shared" si="8"/>
        <v>0.46596130624999998</v>
      </c>
      <c r="AD9" s="11">
        <v>663.13</v>
      </c>
      <c r="AE9" s="11">
        <v>19.510000000000002</v>
      </c>
      <c r="AF9" s="9">
        <f t="shared" si="9"/>
        <v>0.15775866844562503</v>
      </c>
      <c r="AG9" s="11">
        <v>454.85</v>
      </c>
      <c r="AH9" s="11">
        <v>17.29</v>
      </c>
      <c r="AI9" s="9">
        <f t="shared" si="10"/>
        <v>8.4984202428124989E-2</v>
      </c>
      <c r="AJ9" s="11">
        <v>902.36</v>
      </c>
      <c r="AK9" s="11">
        <v>35.090000000000003</v>
      </c>
      <c r="AL9" s="9">
        <f t="shared" si="11"/>
        <v>0.69442698569750005</v>
      </c>
      <c r="AM9" s="11">
        <v>577.34</v>
      </c>
      <c r="AN9" s="11">
        <v>23.81</v>
      </c>
      <c r="AO9" s="9">
        <f t="shared" si="12"/>
        <v>0.20456458823374996</v>
      </c>
      <c r="AP9" s="11">
        <v>461.7</v>
      </c>
      <c r="AQ9" s="11">
        <v>13.23</v>
      </c>
      <c r="AR9" s="9">
        <f t="shared" si="13"/>
        <v>5.0507931206250002E-2</v>
      </c>
      <c r="AS9" s="11"/>
      <c r="AT9" s="11"/>
      <c r="AU9" s="9"/>
      <c r="AV9" s="11">
        <v>509.07</v>
      </c>
      <c r="AW9" s="11">
        <v>19.03</v>
      </c>
      <c r="AX9" s="9">
        <f t="shared" si="15"/>
        <v>0.115221917476875</v>
      </c>
      <c r="AY9" s="11"/>
      <c r="AZ9" s="11"/>
      <c r="BA9" s="9"/>
      <c r="BB9" s="11"/>
      <c r="BC9" s="11"/>
      <c r="BD9" s="9"/>
      <c r="BE9" s="11"/>
      <c r="BF9" s="11"/>
      <c r="BG9" s="9"/>
      <c r="BH9" s="11"/>
      <c r="BI9" s="11"/>
      <c r="BJ9" s="9"/>
    </row>
    <row r="10" spans="1:62" x14ac:dyDescent="0.2">
      <c r="C10" s="11">
        <v>456.37</v>
      </c>
      <c r="D10" s="11">
        <v>12.58</v>
      </c>
      <c r="E10" s="9">
        <f t="shared" si="0"/>
        <v>4.5139670792500003E-2</v>
      </c>
      <c r="F10" s="11">
        <v>288.8</v>
      </c>
      <c r="G10" s="11">
        <v>18.34</v>
      </c>
      <c r="H10" s="9">
        <f t="shared" si="1"/>
        <v>6.0712185800000006E-2</v>
      </c>
      <c r="I10" s="11">
        <v>374.95</v>
      </c>
      <c r="J10" s="11">
        <v>19.579999999999998</v>
      </c>
      <c r="K10" s="9">
        <f t="shared" si="2"/>
        <v>8.9841863237499986E-2</v>
      </c>
      <c r="L10" s="11">
        <v>447.77</v>
      </c>
      <c r="M10" s="11">
        <v>24.78</v>
      </c>
      <c r="N10" s="9">
        <f t="shared" si="3"/>
        <v>0.17184528254249998</v>
      </c>
      <c r="O10" s="11"/>
      <c r="P10" s="11"/>
      <c r="Q10" s="9"/>
      <c r="R10" s="11"/>
      <c r="S10" s="11"/>
      <c r="T10" s="9"/>
      <c r="U10" s="11">
        <v>1124.25</v>
      </c>
      <c r="V10" s="11">
        <v>41.42</v>
      </c>
      <c r="W10" s="9">
        <f t="shared" si="6"/>
        <v>1.2054885860625002</v>
      </c>
      <c r="X10" s="11">
        <v>840.45</v>
      </c>
      <c r="Y10" s="11">
        <v>36.090000000000003</v>
      </c>
      <c r="Z10" s="9">
        <f t="shared" si="7"/>
        <v>0.68417257727812519</v>
      </c>
      <c r="AA10" s="11">
        <v>682.64</v>
      </c>
      <c r="AB10" s="11">
        <v>22.72</v>
      </c>
      <c r="AC10" s="9">
        <f t="shared" si="8"/>
        <v>0.22023604735999996</v>
      </c>
      <c r="AD10" s="11">
        <v>608.16</v>
      </c>
      <c r="AE10" s="11">
        <v>21.65</v>
      </c>
      <c r="AF10" s="9">
        <f t="shared" si="9"/>
        <v>0.17816142224999995</v>
      </c>
      <c r="AG10" s="11">
        <v>430.05</v>
      </c>
      <c r="AH10" s="11">
        <v>16.45</v>
      </c>
      <c r="AI10" s="9">
        <f t="shared" si="10"/>
        <v>7.2732878203125004E-2</v>
      </c>
      <c r="AJ10" s="11">
        <v>577.21</v>
      </c>
      <c r="AK10" s="11">
        <v>28.54</v>
      </c>
      <c r="AL10" s="9">
        <f t="shared" si="11"/>
        <v>0.29384736552250001</v>
      </c>
      <c r="AM10" s="11"/>
      <c r="AN10" s="11"/>
      <c r="AO10" s="9"/>
      <c r="AP10" s="11">
        <v>600.21</v>
      </c>
      <c r="AQ10" s="11">
        <v>17.63</v>
      </c>
      <c r="AR10" s="9">
        <f t="shared" si="13"/>
        <v>0.11659713221812501</v>
      </c>
      <c r="AS10" s="11"/>
      <c r="AT10" s="11"/>
      <c r="AU10" s="9"/>
      <c r="AV10" s="11">
        <v>641.1</v>
      </c>
      <c r="AW10" s="11">
        <v>17.309999999999999</v>
      </c>
      <c r="AX10" s="9">
        <f t="shared" si="15"/>
        <v>0.12006043981874999</v>
      </c>
      <c r="AY10" s="11"/>
      <c r="AZ10" s="11"/>
      <c r="BA10" s="9"/>
      <c r="BB10" s="11"/>
      <c r="BC10" s="11"/>
      <c r="BD10" s="9"/>
      <c r="BE10" s="11"/>
      <c r="BF10" s="11"/>
      <c r="BG10" s="9"/>
      <c r="BH10" s="11"/>
      <c r="BI10" s="11"/>
      <c r="BJ10" s="9"/>
    </row>
    <row r="11" spans="1:62" x14ac:dyDescent="0.2">
      <c r="C11" s="11">
        <v>308.72000000000003</v>
      </c>
      <c r="D11" s="11">
        <v>11.5</v>
      </c>
      <c r="E11" s="9">
        <f t="shared" si="0"/>
        <v>2.5517637499999999E-2</v>
      </c>
      <c r="F11" s="11">
        <v>424.5</v>
      </c>
      <c r="G11" s="11">
        <v>26.84</v>
      </c>
      <c r="H11" s="9">
        <f t="shared" si="1"/>
        <v>0.19112730449999998</v>
      </c>
      <c r="I11" s="11">
        <v>291.70999999999998</v>
      </c>
      <c r="J11" s="11">
        <v>18.11</v>
      </c>
      <c r="K11" s="9">
        <f t="shared" si="2"/>
        <v>5.9795463306874998E-2</v>
      </c>
      <c r="L11" s="11">
        <v>406.57</v>
      </c>
      <c r="M11" s="11">
        <v>18.420000000000002</v>
      </c>
      <c r="N11" s="9">
        <f t="shared" si="3"/>
        <v>8.621733584250002E-2</v>
      </c>
      <c r="O11" s="11"/>
      <c r="P11" s="11"/>
      <c r="Q11" s="9"/>
      <c r="R11" s="11"/>
      <c r="S11" s="11"/>
      <c r="T11" s="9"/>
      <c r="U11" s="11">
        <v>1121.04</v>
      </c>
      <c r="V11" s="11">
        <v>37.56</v>
      </c>
      <c r="W11" s="9">
        <f t="shared" si="6"/>
        <v>0.9884445098400001</v>
      </c>
      <c r="X11" s="11">
        <v>844.69</v>
      </c>
      <c r="Y11" s="11">
        <v>31.38</v>
      </c>
      <c r="Z11" s="9">
        <f t="shared" si="7"/>
        <v>0.51985622477250004</v>
      </c>
      <c r="AA11" s="11">
        <v>954.16</v>
      </c>
      <c r="AB11" s="11">
        <v>27.02</v>
      </c>
      <c r="AC11" s="9">
        <f t="shared" si="8"/>
        <v>0.43538344653999994</v>
      </c>
      <c r="AD11" s="11">
        <v>588.42999999999995</v>
      </c>
      <c r="AE11" s="11">
        <v>32</v>
      </c>
      <c r="AF11" s="9">
        <f t="shared" si="9"/>
        <v>0.37659519999999996</v>
      </c>
      <c r="AG11" s="11">
        <v>229.87</v>
      </c>
      <c r="AH11" s="11">
        <v>11.96</v>
      </c>
      <c r="AI11" s="9">
        <f t="shared" si="10"/>
        <v>2.0550607870000005E-2</v>
      </c>
      <c r="AJ11" s="11">
        <v>526.04</v>
      </c>
      <c r="AK11" s="11">
        <v>33.840000000000003</v>
      </c>
      <c r="AL11" s="9">
        <f t="shared" si="11"/>
        <v>0.37649524464000012</v>
      </c>
      <c r="AM11" s="11"/>
      <c r="AN11" s="11"/>
      <c r="AO11" s="9"/>
      <c r="AP11" s="11">
        <v>539.35</v>
      </c>
      <c r="AQ11" s="11">
        <v>15.54</v>
      </c>
      <c r="AR11" s="9">
        <f t="shared" si="13"/>
        <v>8.1405309037499998E-2</v>
      </c>
      <c r="AS11" s="11"/>
      <c r="AT11" s="11"/>
      <c r="AU11" s="9"/>
      <c r="AV11" s="11">
        <v>463.69</v>
      </c>
      <c r="AW11" s="11">
        <v>14.99</v>
      </c>
      <c r="AX11" s="9">
        <f t="shared" si="15"/>
        <v>6.5119493355625002E-2</v>
      </c>
      <c r="AY11" s="11"/>
      <c r="AZ11" s="11"/>
      <c r="BA11" s="9"/>
      <c r="BB11" s="11"/>
      <c r="BC11" s="11"/>
      <c r="BD11" s="9"/>
      <c r="BE11" s="11"/>
      <c r="BF11" s="11"/>
      <c r="BG11" s="9"/>
      <c r="BH11" s="11"/>
      <c r="BI11" s="11"/>
      <c r="BJ11" s="9"/>
    </row>
    <row r="12" spans="1:62" x14ac:dyDescent="0.2">
      <c r="C12" s="11">
        <v>165.71</v>
      </c>
      <c r="D12" s="11">
        <v>8.56</v>
      </c>
      <c r="E12" s="9">
        <f t="shared" si="0"/>
        <v>7.5888551600000013E-3</v>
      </c>
      <c r="F12" s="11">
        <v>392.53</v>
      </c>
      <c r="G12" s="11">
        <v>20.43</v>
      </c>
      <c r="H12" s="9">
        <f t="shared" si="1"/>
        <v>0.10239755924812499</v>
      </c>
      <c r="I12" s="11">
        <v>253.59</v>
      </c>
      <c r="J12" s="11">
        <v>17.899999999999999</v>
      </c>
      <c r="K12" s="9">
        <f t="shared" si="2"/>
        <v>5.0782982437499985E-2</v>
      </c>
      <c r="L12" s="11">
        <v>382.31</v>
      </c>
      <c r="M12" s="11">
        <v>23.07</v>
      </c>
      <c r="N12" s="9">
        <f t="shared" si="3"/>
        <v>0.127171813449375</v>
      </c>
      <c r="O12" s="11"/>
      <c r="P12" s="11"/>
      <c r="Q12" s="9"/>
      <c r="R12" s="11"/>
      <c r="S12" s="11"/>
      <c r="T12" s="9"/>
      <c r="U12" s="11">
        <v>989.75</v>
      </c>
      <c r="V12" s="11">
        <v>48.71</v>
      </c>
      <c r="W12" s="9">
        <f t="shared" si="6"/>
        <v>1.4677151831093751</v>
      </c>
      <c r="X12" s="11">
        <v>1087.44</v>
      </c>
      <c r="Y12" s="11">
        <v>35.08</v>
      </c>
      <c r="Z12" s="9">
        <f t="shared" si="7"/>
        <v>0.83638163975999991</v>
      </c>
      <c r="AA12" s="11">
        <v>920.01</v>
      </c>
      <c r="AB12" s="11">
        <v>29.39</v>
      </c>
      <c r="AC12" s="9">
        <f t="shared" si="8"/>
        <v>0.49667435607562505</v>
      </c>
      <c r="AD12" s="11">
        <v>527.89</v>
      </c>
      <c r="AE12" s="11">
        <v>21.2</v>
      </c>
      <c r="AF12" s="9">
        <f t="shared" si="9"/>
        <v>0.14828430100000001</v>
      </c>
      <c r="AG12" s="11">
        <v>388.26</v>
      </c>
      <c r="AH12" s="11">
        <v>12.18</v>
      </c>
      <c r="AI12" s="9">
        <f t="shared" si="10"/>
        <v>3.5999564264999999E-2</v>
      </c>
      <c r="AJ12" s="11">
        <v>583.37</v>
      </c>
      <c r="AK12" s="11">
        <v>29.51</v>
      </c>
      <c r="AL12" s="9">
        <f t="shared" si="11"/>
        <v>0.31751374321062503</v>
      </c>
      <c r="AM12" s="11"/>
      <c r="AN12" s="11"/>
      <c r="AO12" s="9"/>
      <c r="AP12" s="11">
        <v>469.22</v>
      </c>
      <c r="AQ12" s="11">
        <v>15.87</v>
      </c>
      <c r="AR12" s="9">
        <f t="shared" si="13"/>
        <v>7.3860184136249993E-2</v>
      </c>
      <c r="AS12" s="11"/>
      <c r="AT12" s="11"/>
      <c r="AU12" s="9"/>
      <c r="AV12" s="11"/>
      <c r="AW12" s="11"/>
      <c r="AX12" s="9"/>
      <c r="AY12" s="11"/>
      <c r="AZ12" s="11"/>
      <c r="BA12" s="9"/>
      <c r="BB12" s="11"/>
      <c r="BC12" s="11"/>
      <c r="BD12" s="9"/>
      <c r="BE12" s="11"/>
      <c r="BF12" s="11"/>
      <c r="BG12" s="9"/>
      <c r="BH12" s="11"/>
      <c r="BI12" s="11"/>
      <c r="BJ12" s="9"/>
    </row>
    <row r="13" spans="1:62" x14ac:dyDescent="0.2">
      <c r="C13" s="11">
        <v>199.6</v>
      </c>
      <c r="D13" s="11">
        <v>8.9600000000000009</v>
      </c>
      <c r="E13" s="9">
        <f t="shared" si="0"/>
        <v>1.0015129600000002E-2</v>
      </c>
      <c r="F13" s="11">
        <v>273.63</v>
      </c>
      <c r="G13" s="11">
        <v>14.99</v>
      </c>
      <c r="H13" s="9">
        <f t="shared" si="1"/>
        <v>3.8427930226875004E-2</v>
      </c>
      <c r="I13" s="11">
        <v>343.44</v>
      </c>
      <c r="J13" s="11">
        <v>18.91</v>
      </c>
      <c r="K13" s="9">
        <f t="shared" si="2"/>
        <v>7.6756285664999993E-2</v>
      </c>
      <c r="L13" s="11">
        <v>412.02</v>
      </c>
      <c r="M13" s="11">
        <v>21.79</v>
      </c>
      <c r="N13" s="9">
        <f t="shared" si="3"/>
        <v>0.12226799080124998</v>
      </c>
      <c r="O13" s="11"/>
      <c r="P13" s="11"/>
      <c r="Q13" s="9"/>
      <c r="R13" s="11"/>
      <c r="S13" s="11"/>
      <c r="T13" s="9"/>
      <c r="U13" s="11">
        <v>999.47</v>
      </c>
      <c r="V13" s="11">
        <v>39.58</v>
      </c>
      <c r="W13" s="9">
        <f t="shared" si="6"/>
        <v>0.97859132156749984</v>
      </c>
      <c r="X13" s="11">
        <v>869.6</v>
      </c>
      <c r="Y13" s="11">
        <v>30.79</v>
      </c>
      <c r="Z13" s="9">
        <f t="shared" si="7"/>
        <v>0.51525109835000005</v>
      </c>
      <c r="AA13" s="11">
        <v>1051.6099999999999</v>
      </c>
      <c r="AB13" s="11">
        <v>30.56</v>
      </c>
      <c r="AC13" s="9">
        <f t="shared" si="8"/>
        <v>0.61382055055999996</v>
      </c>
      <c r="AD13" s="11">
        <v>700.56</v>
      </c>
      <c r="AE13" s="11">
        <v>20.46</v>
      </c>
      <c r="AF13" s="9">
        <f t="shared" si="9"/>
        <v>0.18328908905999999</v>
      </c>
      <c r="AG13" s="11"/>
      <c r="AH13" s="11"/>
      <c r="AI13" s="9"/>
      <c r="AJ13" s="11"/>
      <c r="AK13" s="11"/>
      <c r="AL13" s="9"/>
      <c r="AM13" s="11"/>
      <c r="AN13" s="11"/>
      <c r="AO13" s="9"/>
      <c r="AP13" s="11">
        <v>480.27</v>
      </c>
      <c r="AQ13" s="11">
        <v>16.89</v>
      </c>
      <c r="AR13" s="9">
        <f t="shared" si="13"/>
        <v>8.5629769666874994E-2</v>
      </c>
      <c r="AS13" s="11"/>
      <c r="AT13" s="11"/>
      <c r="AU13" s="9"/>
      <c r="AV13" s="11"/>
      <c r="AW13" s="11"/>
      <c r="AX13" s="9"/>
      <c r="AY13" s="11"/>
      <c r="AZ13" s="11"/>
      <c r="BA13" s="9"/>
      <c r="BB13" s="11"/>
      <c r="BC13" s="11"/>
      <c r="BD13" s="9"/>
      <c r="BE13" s="11"/>
      <c r="BF13" s="11"/>
      <c r="BG13" s="9"/>
      <c r="BH13" s="11"/>
      <c r="BI13" s="11"/>
      <c r="BJ13" s="9"/>
    </row>
    <row r="14" spans="1:62" x14ac:dyDescent="0.2">
      <c r="C14" s="11">
        <v>208.14</v>
      </c>
      <c r="D14" s="11">
        <v>8.8000000000000007</v>
      </c>
      <c r="E14" s="9">
        <f t="shared" si="0"/>
        <v>1.0073976000000002E-2</v>
      </c>
      <c r="F14" s="11">
        <v>405.33</v>
      </c>
      <c r="G14" s="11">
        <v>20.29</v>
      </c>
      <c r="H14" s="9">
        <f t="shared" si="1"/>
        <v>0.10429244765812498</v>
      </c>
      <c r="I14" s="11">
        <v>262.83</v>
      </c>
      <c r="J14" s="11">
        <v>16.059999999999999</v>
      </c>
      <c r="K14" s="9">
        <f t="shared" si="2"/>
        <v>4.2368787367499987E-2</v>
      </c>
      <c r="L14" s="11">
        <v>477.87</v>
      </c>
      <c r="M14" s="11">
        <v>24.47</v>
      </c>
      <c r="N14" s="9">
        <f t="shared" si="3"/>
        <v>0.178837142926875</v>
      </c>
      <c r="O14" s="11"/>
      <c r="P14" s="11"/>
      <c r="Q14" s="9"/>
      <c r="R14" s="11"/>
      <c r="S14" s="11"/>
      <c r="T14" s="9"/>
      <c r="U14" s="11">
        <v>1040.1199999999999</v>
      </c>
      <c r="V14" s="11">
        <v>37.659999999999997</v>
      </c>
      <c r="W14" s="9">
        <f t="shared" si="6"/>
        <v>0.92198551066999967</v>
      </c>
      <c r="X14" s="11">
        <v>743.48</v>
      </c>
      <c r="Y14" s="11">
        <v>27.58</v>
      </c>
      <c r="Z14" s="9">
        <f t="shared" si="7"/>
        <v>0.35345801267000004</v>
      </c>
      <c r="AA14" s="11">
        <v>897.85</v>
      </c>
      <c r="AB14" s="11">
        <v>27.25</v>
      </c>
      <c r="AC14" s="9">
        <f t="shared" si="8"/>
        <v>0.41669358789062505</v>
      </c>
      <c r="AD14" s="11">
        <v>588.62</v>
      </c>
      <c r="AE14" s="11">
        <v>22.47</v>
      </c>
      <c r="AF14" s="9">
        <f t="shared" si="9"/>
        <v>0.18574672984875001</v>
      </c>
      <c r="AG14" s="11"/>
      <c r="AH14" s="11"/>
      <c r="AI14" s="9"/>
      <c r="AJ14" s="11"/>
      <c r="AK14" s="11"/>
      <c r="AL14" s="9"/>
      <c r="AM14" s="11"/>
      <c r="AN14" s="11"/>
      <c r="AO14" s="9"/>
      <c r="AP14" s="11">
        <v>396.43</v>
      </c>
      <c r="AQ14" s="11">
        <v>13.41</v>
      </c>
      <c r="AR14" s="9">
        <f t="shared" si="13"/>
        <v>4.4555783551874999E-2</v>
      </c>
      <c r="AS14" s="11"/>
      <c r="AT14" s="11"/>
      <c r="AU14" s="9"/>
      <c r="AV14" s="11"/>
      <c r="AW14" s="11"/>
      <c r="AX14" s="9"/>
      <c r="AY14" s="11"/>
      <c r="AZ14" s="11"/>
      <c r="BA14" s="9"/>
      <c r="BB14" s="11"/>
      <c r="BC14" s="11"/>
      <c r="BD14" s="9"/>
      <c r="BE14" s="11"/>
      <c r="BF14" s="11"/>
      <c r="BG14" s="9"/>
      <c r="BH14" s="11"/>
      <c r="BI14" s="11"/>
      <c r="BJ14" s="9"/>
    </row>
    <row r="15" spans="1:62" x14ac:dyDescent="0.2">
      <c r="C15" s="11"/>
      <c r="D15" s="11"/>
      <c r="E15" s="9"/>
      <c r="F15" s="11">
        <v>247.79</v>
      </c>
      <c r="G15" s="11">
        <v>11.72</v>
      </c>
      <c r="H15" s="9">
        <f t="shared" si="1"/>
        <v>2.1272523710000005E-2</v>
      </c>
      <c r="I15" s="11">
        <v>254.91</v>
      </c>
      <c r="J15" s="11">
        <v>17.79</v>
      </c>
      <c r="K15" s="9">
        <f t="shared" si="2"/>
        <v>5.0421851206875E-2</v>
      </c>
      <c r="L15" s="11">
        <v>290.52</v>
      </c>
      <c r="M15" s="11">
        <v>16.850000000000001</v>
      </c>
      <c r="N15" s="9">
        <f t="shared" si="3"/>
        <v>5.1553227937500008E-2</v>
      </c>
      <c r="O15" s="11"/>
      <c r="P15" s="11"/>
      <c r="Q15" s="9"/>
      <c r="R15" s="11"/>
      <c r="S15" s="11"/>
      <c r="T15" s="9"/>
      <c r="U15" s="11">
        <v>1077.99</v>
      </c>
      <c r="V15" s="11">
        <v>46.03</v>
      </c>
      <c r="W15" s="9">
        <f t="shared" si="6"/>
        <v>1.4275019141193752</v>
      </c>
      <c r="X15" s="11">
        <v>929.81</v>
      </c>
      <c r="Y15" s="11">
        <v>31.15</v>
      </c>
      <c r="Z15" s="9">
        <f t="shared" si="7"/>
        <v>0.56388472732812489</v>
      </c>
      <c r="AA15" s="11">
        <v>459.56</v>
      </c>
      <c r="AB15" s="11">
        <v>14.75</v>
      </c>
      <c r="AC15" s="9">
        <f t="shared" si="8"/>
        <v>6.2489389062500005E-2</v>
      </c>
      <c r="AD15" s="11">
        <v>532.76</v>
      </c>
      <c r="AE15" s="11">
        <v>19.11</v>
      </c>
      <c r="AF15" s="9">
        <f t="shared" si="9"/>
        <v>0.12159983949749997</v>
      </c>
      <c r="AG15" s="11"/>
      <c r="AH15" s="11"/>
      <c r="AI15" s="9"/>
      <c r="AJ15" s="11"/>
      <c r="AK15" s="11"/>
      <c r="AL15" s="9"/>
      <c r="AM15" s="11"/>
      <c r="AN15" s="11"/>
      <c r="AO15" s="9"/>
      <c r="AP15" s="11">
        <v>587.91</v>
      </c>
      <c r="AQ15" s="11">
        <v>16.47</v>
      </c>
      <c r="AR15" s="9">
        <f t="shared" si="13"/>
        <v>9.9673122324374974E-2</v>
      </c>
      <c r="AS15" s="11"/>
      <c r="AT15" s="11"/>
      <c r="AU15" s="9"/>
      <c r="AV15" s="11"/>
      <c r="AW15" s="11"/>
      <c r="AX15" s="9"/>
      <c r="AY15" s="11"/>
      <c r="AZ15" s="11"/>
      <c r="BA15" s="9"/>
      <c r="BB15" s="11"/>
      <c r="BC15" s="11"/>
      <c r="BD15" s="9"/>
      <c r="BE15" s="11"/>
      <c r="BF15" s="11"/>
      <c r="BG15" s="9"/>
      <c r="BH15" s="11"/>
      <c r="BI15" s="11"/>
      <c r="BJ15" s="9"/>
    </row>
    <row r="16" spans="1:62" x14ac:dyDescent="0.2">
      <c r="C16" s="11"/>
      <c r="D16" s="11"/>
      <c r="E16" s="9"/>
      <c r="F16" s="11">
        <v>328.05</v>
      </c>
      <c r="G16" s="11">
        <v>17.88</v>
      </c>
      <c r="H16" s="9">
        <f t="shared" si="1"/>
        <v>6.554734244999999E-2</v>
      </c>
      <c r="I16" s="11">
        <v>377.89</v>
      </c>
      <c r="J16" s="11">
        <v>23.24</v>
      </c>
      <c r="K16" s="9">
        <f t="shared" si="2"/>
        <v>0.12756092628999999</v>
      </c>
      <c r="L16" s="11">
        <v>300.5</v>
      </c>
      <c r="M16" s="11">
        <v>17.55</v>
      </c>
      <c r="N16" s="9">
        <f t="shared" si="3"/>
        <v>5.7846719531250007E-2</v>
      </c>
      <c r="O16" s="11"/>
      <c r="P16" s="11"/>
      <c r="Q16" s="9"/>
      <c r="R16" s="11"/>
      <c r="S16" s="11"/>
      <c r="T16" s="9"/>
      <c r="U16" s="11">
        <v>1096.48</v>
      </c>
      <c r="V16" s="11">
        <v>52.87</v>
      </c>
      <c r="W16" s="9">
        <f t="shared" si="6"/>
        <v>1.9155758475699998</v>
      </c>
      <c r="X16" s="11">
        <v>790.13</v>
      </c>
      <c r="Y16" s="11">
        <v>28.58</v>
      </c>
      <c r="Z16" s="9">
        <f t="shared" si="7"/>
        <v>0.40336946383249994</v>
      </c>
      <c r="AA16" s="11">
        <v>933.71</v>
      </c>
      <c r="AB16" s="11">
        <v>29.6</v>
      </c>
      <c r="AC16" s="9">
        <f t="shared" si="8"/>
        <v>0.51129959600000008</v>
      </c>
      <c r="AD16" s="11">
        <v>734.24</v>
      </c>
      <c r="AE16" s="11">
        <v>22.84</v>
      </c>
      <c r="AF16" s="9">
        <f t="shared" si="9"/>
        <v>0.23939234383999999</v>
      </c>
      <c r="AG16" s="11"/>
      <c r="AH16" s="11"/>
      <c r="AI16" s="9"/>
      <c r="AJ16" s="11"/>
      <c r="AK16" s="11"/>
      <c r="AL16" s="9"/>
      <c r="AM16" s="11"/>
      <c r="AN16" s="11"/>
      <c r="AO16" s="9"/>
      <c r="AP16" s="11">
        <v>428.09</v>
      </c>
      <c r="AQ16" s="11">
        <v>13.15</v>
      </c>
      <c r="AR16" s="9">
        <f t="shared" si="13"/>
        <v>4.6266495640624995E-2</v>
      </c>
      <c r="AS16" s="11"/>
      <c r="AT16" s="11"/>
      <c r="AU16" s="9"/>
      <c r="AV16" s="11"/>
      <c r="AW16" s="11"/>
      <c r="AX16" s="9"/>
      <c r="AY16" s="11"/>
      <c r="AZ16" s="11"/>
      <c r="BA16" s="9"/>
      <c r="BB16" s="11"/>
      <c r="BC16" s="11"/>
      <c r="BD16" s="9"/>
      <c r="BE16" s="11"/>
      <c r="BF16" s="11"/>
      <c r="BG16" s="9"/>
      <c r="BH16" s="11"/>
      <c r="BI16" s="11"/>
      <c r="BJ16" s="9"/>
    </row>
    <row r="17" spans="3:62" x14ac:dyDescent="0.2">
      <c r="C17" s="11"/>
      <c r="D17" s="11"/>
      <c r="E17" s="9"/>
      <c r="F17" s="11">
        <v>431.01</v>
      </c>
      <c r="G17" s="11">
        <v>22.86</v>
      </c>
      <c r="H17" s="9">
        <f t="shared" si="1"/>
        <v>0.14077314587250001</v>
      </c>
      <c r="I17" s="11">
        <v>211.2</v>
      </c>
      <c r="J17" s="11">
        <v>11.93</v>
      </c>
      <c r="K17" s="9">
        <f t="shared" si="2"/>
        <v>1.8786886799999999E-2</v>
      </c>
      <c r="L17" s="11">
        <v>364.8</v>
      </c>
      <c r="M17" s="11">
        <v>21.04</v>
      </c>
      <c r="N17" s="9">
        <f t="shared" si="3"/>
        <v>0.1009314048</v>
      </c>
      <c r="O17" s="11"/>
      <c r="P17" s="11"/>
      <c r="Q17" s="9"/>
      <c r="R17" s="11"/>
      <c r="S17" s="11"/>
      <c r="T17" s="9"/>
      <c r="U17" s="11">
        <v>903.84</v>
      </c>
      <c r="V17" s="11">
        <v>37.14</v>
      </c>
      <c r="W17" s="9">
        <f t="shared" si="6"/>
        <v>0.77921153604000004</v>
      </c>
      <c r="X17" s="11"/>
      <c r="Y17" s="11"/>
      <c r="Z17" s="9"/>
      <c r="AA17" s="11">
        <v>774.49</v>
      </c>
      <c r="AB17" s="11">
        <v>22.57</v>
      </c>
      <c r="AC17" s="9">
        <f t="shared" si="8"/>
        <v>0.24658062562562502</v>
      </c>
      <c r="AD17" s="11">
        <v>385.97</v>
      </c>
      <c r="AE17" s="11">
        <v>15.79</v>
      </c>
      <c r="AF17" s="9">
        <f t="shared" si="9"/>
        <v>6.0144764298125E-2</v>
      </c>
      <c r="AG17" s="11"/>
      <c r="AH17" s="11"/>
      <c r="AI17" s="9"/>
      <c r="AJ17" s="11"/>
      <c r="AK17" s="11"/>
      <c r="AL17" s="9"/>
      <c r="AM17" s="11"/>
      <c r="AN17" s="11"/>
      <c r="AO17" s="9"/>
      <c r="AP17" s="11">
        <v>386.61</v>
      </c>
      <c r="AQ17" s="11">
        <v>12.75</v>
      </c>
      <c r="AR17" s="9">
        <f t="shared" si="13"/>
        <v>3.9280180078124997E-2</v>
      </c>
      <c r="AS17" s="11"/>
      <c r="AT17" s="11"/>
      <c r="AU17" s="9"/>
      <c r="AV17" s="11"/>
      <c r="AW17" s="11"/>
      <c r="AX17" s="9"/>
      <c r="AY17" s="11"/>
      <c r="AZ17" s="11"/>
      <c r="BA17" s="9"/>
      <c r="BB17" s="11"/>
      <c r="BC17" s="11"/>
      <c r="BD17" s="9"/>
      <c r="BE17" s="11"/>
      <c r="BF17" s="11"/>
      <c r="BG17" s="9"/>
      <c r="BH17" s="11"/>
      <c r="BI17" s="11"/>
      <c r="BJ17" s="9"/>
    </row>
    <row r="18" spans="3:62" x14ac:dyDescent="0.2">
      <c r="C18" s="11"/>
      <c r="D18" s="11"/>
      <c r="E18" s="9"/>
      <c r="F18" s="11">
        <v>389.74</v>
      </c>
      <c r="G18" s="11">
        <v>18.78</v>
      </c>
      <c r="H18" s="9">
        <f t="shared" si="1"/>
        <v>8.5910485635000006E-2</v>
      </c>
      <c r="I18" s="11">
        <v>261.79000000000002</v>
      </c>
      <c r="J18" s="11">
        <v>16.79</v>
      </c>
      <c r="K18" s="9">
        <f t="shared" si="2"/>
        <v>4.6124796461874992E-2</v>
      </c>
      <c r="L18" s="11">
        <v>405.88</v>
      </c>
      <c r="M18" s="11">
        <v>21.23</v>
      </c>
      <c r="N18" s="9">
        <f t="shared" si="3"/>
        <v>0.11433459490749999</v>
      </c>
      <c r="O18" s="11"/>
      <c r="P18" s="11"/>
      <c r="Q18" s="9"/>
      <c r="R18" s="11"/>
      <c r="S18" s="11"/>
      <c r="T18" s="9"/>
      <c r="U18" s="11">
        <v>1067.28</v>
      </c>
      <c r="V18" s="11">
        <v>41.52</v>
      </c>
      <c r="W18" s="9">
        <f t="shared" si="6"/>
        <v>1.1499344323200003</v>
      </c>
      <c r="X18" s="11"/>
      <c r="Y18" s="11"/>
      <c r="Z18" s="9"/>
      <c r="AA18" s="11">
        <v>799.68</v>
      </c>
      <c r="AB18" s="11">
        <v>24.57</v>
      </c>
      <c r="AC18" s="9">
        <f t="shared" si="8"/>
        <v>0.30172171302</v>
      </c>
      <c r="AD18" s="11">
        <v>386.83</v>
      </c>
      <c r="AE18" s="11">
        <v>15.99</v>
      </c>
      <c r="AF18" s="9">
        <f t="shared" si="9"/>
        <v>6.1815458176874997E-2</v>
      </c>
      <c r="AG18" s="11"/>
      <c r="AH18" s="11"/>
      <c r="AI18" s="9"/>
      <c r="AJ18" s="11"/>
      <c r="AK18" s="11"/>
      <c r="AL18" s="9"/>
      <c r="AM18" s="11"/>
      <c r="AN18" s="11"/>
      <c r="AO18" s="9"/>
      <c r="AP18" s="11">
        <v>293.07</v>
      </c>
      <c r="AQ18" s="11">
        <v>12.43</v>
      </c>
      <c r="AR18" s="9">
        <f t="shared" si="13"/>
        <v>2.8300469401874997E-2</v>
      </c>
      <c r="AS18" s="11"/>
      <c r="AT18" s="11"/>
      <c r="AU18" s="9"/>
      <c r="AV18" s="11"/>
      <c r="AW18" s="11"/>
      <c r="AX18" s="9"/>
      <c r="AY18" s="11"/>
      <c r="AZ18" s="11"/>
      <c r="BA18" s="9"/>
      <c r="BB18" s="11"/>
      <c r="BC18" s="11"/>
      <c r="BD18" s="9"/>
      <c r="BE18" s="11"/>
      <c r="BF18" s="11"/>
      <c r="BG18" s="9"/>
      <c r="BH18" s="11"/>
      <c r="BI18" s="11"/>
      <c r="BJ18" s="9"/>
    </row>
    <row r="19" spans="3:62" x14ac:dyDescent="0.2">
      <c r="C19" s="11"/>
      <c r="D19" s="11"/>
      <c r="E19" s="9"/>
      <c r="F19" s="11">
        <v>337.74</v>
      </c>
      <c r="G19" s="11">
        <v>17.059999999999999</v>
      </c>
      <c r="H19" s="9">
        <f t="shared" si="1"/>
        <v>6.1435665914999993E-2</v>
      </c>
      <c r="I19" s="11">
        <v>258.45999999999998</v>
      </c>
      <c r="J19" s="11">
        <v>16.12</v>
      </c>
      <c r="K19" s="9">
        <f t="shared" si="2"/>
        <v>4.1976230140000001E-2</v>
      </c>
      <c r="L19" s="11">
        <v>417.83</v>
      </c>
      <c r="M19" s="11">
        <v>24.25</v>
      </c>
      <c r="N19" s="9">
        <f t="shared" si="3"/>
        <v>0.15356884648437502</v>
      </c>
      <c r="O19" s="11"/>
      <c r="P19" s="11"/>
      <c r="Q19" s="9"/>
      <c r="R19" s="11"/>
      <c r="S19" s="11"/>
      <c r="T19" s="9"/>
      <c r="U19" s="11">
        <v>618.70000000000005</v>
      </c>
      <c r="V19" s="11">
        <v>24.19</v>
      </c>
      <c r="W19" s="9">
        <f t="shared" si="6"/>
        <v>0.22627254941875005</v>
      </c>
      <c r="X19" s="11"/>
      <c r="Y19" s="11"/>
      <c r="Z19" s="9"/>
      <c r="AA19" s="11">
        <v>916.15</v>
      </c>
      <c r="AB19" s="11">
        <v>29.02</v>
      </c>
      <c r="AC19" s="9">
        <f t="shared" si="8"/>
        <v>0.4822157815375</v>
      </c>
      <c r="AD19" s="11">
        <v>395.3</v>
      </c>
      <c r="AE19" s="11">
        <v>15.19</v>
      </c>
      <c r="AF19" s="9">
        <f t="shared" si="9"/>
        <v>5.7006237706249997E-2</v>
      </c>
      <c r="AG19" s="11"/>
      <c r="AH19" s="11"/>
      <c r="AI19" s="9"/>
      <c r="AJ19" s="11"/>
      <c r="AK19" s="11"/>
      <c r="AL19" s="9"/>
      <c r="AM19" s="11"/>
      <c r="AN19" s="11"/>
      <c r="AO19" s="9"/>
      <c r="AP19" s="11">
        <v>398.31299999999999</v>
      </c>
      <c r="AQ19" s="11">
        <v>12.63</v>
      </c>
      <c r="AR19" s="9">
        <f t="shared" si="13"/>
        <v>3.9711034368562499E-2</v>
      </c>
      <c r="AS19" s="11"/>
      <c r="AT19" s="11"/>
      <c r="AU19" s="9"/>
      <c r="AV19" s="11"/>
      <c r="AW19" s="11"/>
      <c r="AX19" s="9"/>
      <c r="AY19" s="11"/>
      <c r="AZ19" s="11"/>
      <c r="BA19" s="9"/>
      <c r="BB19" s="11"/>
      <c r="BC19" s="11"/>
      <c r="BD19" s="9"/>
      <c r="BE19" s="11"/>
      <c r="BF19" s="11"/>
      <c r="BG19" s="9"/>
      <c r="BH19" s="11"/>
      <c r="BI19" s="11"/>
      <c r="BJ19" s="9"/>
    </row>
    <row r="20" spans="3:62" x14ac:dyDescent="0.2">
      <c r="C20" s="11"/>
      <c r="D20" s="11"/>
      <c r="E20" s="9"/>
      <c r="F20" s="11">
        <v>356.9</v>
      </c>
      <c r="G20" s="11">
        <v>23.85</v>
      </c>
      <c r="H20" s="9">
        <f t="shared" si="1"/>
        <v>0.12688296890625</v>
      </c>
      <c r="I20" s="11">
        <v>181.42</v>
      </c>
      <c r="J20" s="11">
        <v>14.04</v>
      </c>
      <c r="K20" s="9">
        <f t="shared" si="2"/>
        <v>2.235112542E-2</v>
      </c>
      <c r="L20" s="11"/>
      <c r="M20" s="11"/>
      <c r="N20" s="9"/>
      <c r="O20" s="11"/>
      <c r="P20" s="11"/>
      <c r="Q20" s="9"/>
      <c r="R20" s="11"/>
      <c r="S20" s="11"/>
      <c r="T20" s="9"/>
      <c r="U20" s="11">
        <v>656.23</v>
      </c>
      <c r="V20" s="11">
        <v>31.27</v>
      </c>
      <c r="W20" s="9">
        <f t="shared" si="6"/>
        <v>0.401043849604375</v>
      </c>
      <c r="X20" s="11"/>
      <c r="Y20" s="11"/>
      <c r="Z20" s="9"/>
      <c r="AA20" s="11">
        <v>836.05</v>
      </c>
      <c r="AB20" s="11">
        <v>31.46</v>
      </c>
      <c r="AC20" s="9">
        <f t="shared" si="8"/>
        <v>0.51716569011249991</v>
      </c>
      <c r="AD20" s="11">
        <v>447.7</v>
      </c>
      <c r="AE20" s="11">
        <v>20.3</v>
      </c>
      <c r="AF20" s="9">
        <f t="shared" si="9"/>
        <v>0.115307933125</v>
      </c>
      <c r="AG20" s="11"/>
      <c r="AH20" s="11"/>
      <c r="AI20" s="9"/>
      <c r="AJ20" s="11"/>
      <c r="AK20" s="11"/>
      <c r="AL20" s="9"/>
      <c r="AM20" s="11"/>
      <c r="AN20" s="11"/>
      <c r="AO20" s="9"/>
      <c r="AP20" s="11">
        <v>522.78</v>
      </c>
      <c r="AQ20" s="11">
        <v>18.23</v>
      </c>
      <c r="AR20" s="9">
        <f t="shared" si="13"/>
        <v>0.10858562091374999</v>
      </c>
      <c r="AS20" s="11"/>
      <c r="AT20" s="11"/>
      <c r="AU20" s="9"/>
      <c r="AV20" s="11"/>
      <c r="AW20" s="11"/>
      <c r="AX20" s="9"/>
      <c r="AY20" s="11"/>
      <c r="AZ20" s="11"/>
      <c r="BA20" s="9"/>
      <c r="BB20" s="11"/>
      <c r="BC20" s="11"/>
      <c r="BD20" s="9"/>
      <c r="BE20" s="11"/>
      <c r="BF20" s="11"/>
      <c r="BG20" s="9"/>
      <c r="BH20" s="11"/>
      <c r="BI20" s="11"/>
      <c r="BJ20" s="9"/>
    </row>
    <row r="21" spans="3:62" x14ac:dyDescent="0.2">
      <c r="C21" s="11"/>
      <c r="D21" s="11"/>
      <c r="E21" s="9"/>
      <c r="F21" s="11">
        <v>396.04</v>
      </c>
      <c r="G21" s="11">
        <v>21.51</v>
      </c>
      <c r="H21" s="9">
        <f t="shared" si="1"/>
        <v>0.11452489175250001</v>
      </c>
      <c r="I21" s="11">
        <v>267.62</v>
      </c>
      <c r="J21" s="11">
        <v>22.53</v>
      </c>
      <c r="K21" s="9">
        <f t="shared" si="2"/>
        <v>8.4902595536250014E-2</v>
      </c>
      <c r="L21" s="11"/>
      <c r="M21" s="11"/>
      <c r="N21" s="9"/>
      <c r="O21" s="11"/>
      <c r="P21" s="11"/>
      <c r="Q21" s="9"/>
      <c r="R21" s="11"/>
      <c r="S21" s="11"/>
      <c r="T21" s="9"/>
      <c r="U21" s="11">
        <v>953.39</v>
      </c>
      <c r="V21" s="11">
        <v>37.92</v>
      </c>
      <c r="W21" s="9">
        <f t="shared" si="6"/>
        <v>0.8568154065600001</v>
      </c>
      <c r="X21" s="11"/>
      <c r="Y21" s="11"/>
      <c r="Z21" s="9"/>
      <c r="AA21" s="11">
        <v>778.03</v>
      </c>
      <c r="AB21" s="11">
        <v>24.21</v>
      </c>
      <c r="AC21" s="9">
        <f t="shared" si="8"/>
        <v>0.28501383345187498</v>
      </c>
      <c r="AD21" s="11">
        <v>469.36</v>
      </c>
      <c r="AE21" s="11">
        <v>18.510000000000002</v>
      </c>
      <c r="AF21" s="9">
        <f t="shared" si="9"/>
        <v>0.10050760633500001</v>
      </c>
      <c r="AG21" s="11"/>
      <c r="AH21" s="11"/>
      <c r="AI21" s="9"/>
      <c r="AJ21" s="11"/>
      <c r="AK21" s="11"/>
      <c r="AL21" s="9"/>
      <c r="AM21" s="11"/>
      <c r="AN21" s="11"/>
      <c r="AO21" s="9"/>
      <c r="AP21" s="11">
        <v>284.11</v>
      </c>
      <c r="AQ21" s="11">
        <v>11.23</v>
      </c>
      <c r="AR21" s="9">
        <f t="shared" si="13"/>
        <v>2.2393710011875005E-2</v>
      </c>
      <c r="AS21" s="11"/>
      <c r="AT21" s="11"/>
      <c r="AU21" s="9"/>
      <c r="AV21" s="11"/>
      <c r="AW21" s="11"/>
      <c r="AX21" s="9"/>
      <c r="AY21" s="11"/>
      <c r="AZ21" s="11"/>
      <c r="BA21" s="9"/>
      <c r="BB21" s="11"/>
      <c r="BC21" s="11"/>
      <c r="BD21" s="9"/>
      <c r="BE21" s="11"/>
      <c r="BF21" s="11"/>
      <c r="BG21" s="9"/>
      <c r="BH21" s="11"/>
      <c r="BI21" s="11"/>
      <c r="BJ21" s="9"/>
    </row>
    <row r="22" spans="3:62" x14ac:dyDescent="0.2">
      <c r="C22" s="11"/>
      <c r="D22" s="11"/>
      <c r="E22" s="9"/>
      <c r="F22" s="11">
        <v>394</v>
      </c>
      <c r="G22" s="11">
        <v>19.73</v>
      </c>
      <c r="H22" s="9">
        <f t="shared" si="1"/>
        <v>9.5858451624999994E-2</v>
      </c>
      <c r="I22" s="11">
        <v>250.7</v>
      </c>
      <c r="J22" s="11">
        <v>15.45</v>
      </c>
      <c r="K22" s="9">
        <f t="shared" si="2"/>
        <v>3.7401697968749995E-2</v>
      </c>
      <c r="L22" s="11"/>
      <c r="M22" s="11"/>
      <c r="N22" s="9"/>
      <c r="O22" s="11"/>
      <c r="P22" s="11"/>
      <c r="Q22" s="9"/>
      <c r="R22" s="11"/>
      <c r="S22" s="11"/>
      <c r="T22" s="9"/>
      <c r="U22" s="11">
        <v>917.72</v>
      </c>
      <c r="V22" s="11">
        <v>37.950000000000003</v>
      </c>
      <c r="W22" s="9">
        <f t="shared" si="6"/>
        <v>0.82606414893750013</v>
      </c>
      <c r="X22" s="11"/>
      <c r="Y22" s="11"/>
      <c r="Z22" s="9"/>
      <c r="AA22" s="11">
        <v>926.45</v>
      </c>
      <c r="AB22" s="11">
        <v>26.17</v>
      </c>
      <c r="AC22" s="9">
        <f t="shared" si="8"/>
        <v>0.39656049525312503</v>
      </c>
      <c r="AD22" s="11"/>
      <c r="AE22" s="11"/>
      <c r="AF22" s="9"/>
      <c r="AG22" s="11"/>
      <c r="AH22" s="11"/>
      <c r="AI22" s="9"/>
      <c r="AJ22" s="11"/>
      <c r="AK22" s="11"/>
      <c r="AL22" s="9"/>
      <c r="AM22" s="11"/>
      <c r="AN22" s="11"/>
      <c r="AO22" s="9"/>
      <c r="AP22" s="11">
        <v>449.78</v>
      </c>
      <c r="AQ22" s="11">
        <v>15.84</v>
      </c>
      <c r="AR22" s="9">
        <f t="shared" si="13"/>
        <v>7.0532700479999988E-2</v>
      </c>
      <c r="AS22" s="11"/>
      <c r="AT22" s="11"/>
      <c r="AU22" s="9"/>
      <c r="AV22" s="11"/>
      <c r="AW22" s="11"/>
      <c r="AX22" s="9"/>
      <c r="AY22" s="11"/>
      <c r="AZ22" s="11"/>
      <c r="BA22" s="9"/>
      <c r="BB22" s="11"/>
      <c r="BC22" s="11"/>
      <c r="BD22" s="9"/>
      <c r="BE22" s="11"/>
      <c r="BF22" s="11"/>
      <c r="BG22" s="9"/>
      <c r="BH22" s="11"/>
      <c r="BI22" s="11"/>
      <c r="BJ22" s="9"/>
    </row>
    <row r="23" spans="3:62" x14ac:dyDescent="0.2">
      <c r="C23" s="11"/>
      <c r="D23" s="11"/>
      <c r="E23" s="9"/>
      <c r="F23" s="11">
        <v>325.54000000000002</v>
      </c>
      <c r="G23" s="11">
        <v>15.96</v>
      </c>
      <c r="H23" s="9">
        <f t="shared" si="1"/>
        <v>5.1826293540000005E-2</v>
      </c>
      <c r="I23" s="11">
        <v>293.51</v>
      </c>
      <c r="J23" s="11">
        <v>18.52</v>
      </c>
      <c r="K23" s="9">
        <f t="shared" si="2"/>
        <v>6.2919445189999992E-2</v>
      </c>
      <c r="L23" s="11"/>
      <c r="M23" s="11"/>
      <c r="N23" s="9"/>
      <c r="O23" s="11"/>
      <c r="P23" s="11"/>
      <c r="Q23" s="9"/>
      <c r="R23" s="11"/>
      <c r="S23" s="11"/>
      <c r="T23" s="9"/>
      <c r="U23" s="11">
        <v>1006.84</v>
      </c>
      <c r="V23" s="11">
        <v>45.75</v>
      </c>
      <c r="W23" s="9">
        <f t="shared" si="6"/>
        <v>1.3171119046874999</v>
      </c>
      <c r="X23" s="11"/>
      <c r="Y23" s="11"/>
      <c r="Z23" s="9"/>
      <c r="AA23" s="11">
        <v>732.89</v>
      </c>
      <c r="AB23" s="11">
        <v>25.04</v>
      </c>
      <c r="AC23" s="9">
        <f t="shared" si="8"/>
        <v>0.28720200163999993</v>
      </c>
      <c r="AD23" s="11"/>
      <c r="AE23" s="11"/>
      <c r="AF23" s="9"/>
      <c r="AG23" s="11"/>
      <c r="AH23" s="11"/>
      <c r="AI23" s="9"/>
      <c r="AJ23" s="11"/>
      <c r="AK23" s="11"/>
      <c r="AL23" s="9"/>
      <c r="AM23" s="11"/>
      <c r="AN23" s="11"/>
      <c r="AO23" s="9"/>
      <c r="AP23" s="11">
        <v>315.04000000000002</v>
      </c>
      <c r="AQ23" s="11">
        <v>12.02</v>
      </c>
      <c r="AR23" s="9">
        <f t="shared" si="13"/>
        <v>2.8448190759999999E-2</v>
      </c>
      <c r="AS23" s="11"/>
      <c r="AT23" s="11"/>
      <c r="AU23" s="9"/>
      <c r="AV23" s="11"/>
      <c r="AW23" s="11"/>
      <c r="AX23" s="9"/>
      <c r="AY23" s="11"/>
      <c r="AZ23" s="11"/>
      <c r="BA23" s="9"/>
      <c r="BB23" s="11"/>
      <c r="BC23" s="11"/>
      <c r="BD23" s="9"/>
      <c r="BE23" s="11"/>
      <c r="BF23" s="11"/>
      <c r="BG23" s="9"/>
      <c r="BH23" s="11"/>
      <c r="BI23" s="11"/>
      <c r="BJ23" s="9"/>
    </row>
    <row r="24" spans="3:62" x14ac:dyDescent="0.2">
      <c r="C24" s="11"/>
      <c r="D24" s="11"/>
      <c r="E24" s="9"/>
      <c r="F24" s="11">
        <v>251.36</v>
      </c>
      <c r="G24" s="11">
        <v>15.95</v>
      </c>
      <c r="H24" s="9">
        <f t="shared" si="1"/>
        <v>3.9966632750000002E-2</v>
      </c>
      <c r="I24" s="11">
        <v>307.61</v>
      </c>
      <c r="J24" s="11">
        <v>19.37</v>
      </c>
      <c r="K24" s="9">
        <f t="shared" si="2"/>
        <v>7.2133949005625003E-2</v>
      </c>
      <c r="L24" s="11"/>
      <c r="M24" s="11"/>
      <c r="N24" s="9"/>
      <c r="O24" s="11"/>
      <c r="P24" s="11"/>
      <c r="Q24" s="9"/>
      <c r="R24" s="11"/>
      <c r="S24" s="11"/>
      <c r="T24" s="9"/>
      <c r="U24" s="11">
        <v>697.96</v>
      </c>
      <c r="V24" s="11">
        <v>32.54</v>
      </c>
      <c r="W24" s="9">
        <f t="shared" si="6"/>
        <v>0.46189753920999999</v>
      </c>
      <c r="X24" s="11"/>
      <c r="Y24" s="11"/>
      <c r="Z24" s="9"/>
      <c r="AA24" s="11">
        <v>1019.71</v>
      </c>
      <c r="AB24" s="11">
        <v>30.24</v>
      </c>
      <c r="AC24" s="9">
        <f t="shared" si="8"/>
        <v>0.58280097455999991</v>
      </c>
      <c r="AD24" s="11"/>
      <c r="AE24" s="11"/>
      <c r="AF24" s="9"/>
      <c r="AG24" s="11"/>
      <c r="AH24" s="11"/>
      <c r="AI24" s="9"/>
      <c r="AJ24" s="11"/>
      <c r="AK24" s="11"/>
      <c r="AL24" s="9"/>
      <c r="AM24" s="11"/>
      <c r="AN24" s="11"/>
      <c r="AO24" s="9"/>
      <c r="AP24" s="11">
        <v>268.70999999999998</v>
      </c>
      <c r="AQ24" s="11">
        <v>11.74</v>
      </c>
      <c r="AR24" s="9">
        <f t="shared" si="13"/>
        <v>2.31472839975E-2</v>
      </c>
      <c r="AS24" s="11"/>
      <c r="AT24" s="11"/>
      <c r="AU24" s="9"/>
      <c r="AV24" s="11"/>
      <c r="AW24" s="11"/>
      <c r="AX24" s="9"/>
      <c r="AY24" s="11"/>
      <c r="AZ24" s="11"/>
      <c r="BA24" s="9"/>
      <c r="BB24" s="11"/>
      <c r="BC24" s="11"/>
      <c r="BD24" s="9"/>
      <c r="BE24" s="11"/>
      <c r="BF24" s="11"/>
      <c r="BG24" s="9"/>
      <c r="BH24" s="11"/>
      <c r="BI24" s="11"/>
      <c r="BJ24" s="9"/>
    </row>
    <row r="25" spans="3:62" x14ac:dyDescent="0.2">
      <c r="C25" s="11"/>
      <c r="D25" s="11"/>
      <c r="E25" s="9"/>
      <c r="F25" s="11">
        <v>281.01</v>
      </c>
      <c r="G25" s="11">
        <v>19.170000000000002</v>
      </c>
      <c r="H25" s="9">
        <f t="shared" si="1"/>
        <v>6.4542534868125015E-2</v>
      </c>
      <c r="I25" s="11">
        <v>249.96</v>
      </c>
      <c r="J25" s="11">
        <v>14.82</v>
      </c>
      <c r="K25" s="9">
        <f t="shared" si="2"/>
        <v>3.4312071690000001E-2</v>
      </c>
      <c r="L25" s="11"/>
      <c r="M25" s="11"/>
      <c r="N25" s="9"/>
      <c r="O25" s="11"/>
      <c r="P25" s="11"/>
      <c r="Q25" s="9"/>
      <c r="R25" s="11"/>
      <c r="S25" s="11"/>
      <c r="T25" s="9"/>
      <c r="U25" s="11">
        <v>1123.27</v>
      </c>
      <c r="V25" s="11">
        <v>41.12</v>
      </c>
      <c r="W25" s="9">
        <f t="shared" si="6"/>
        <v>1.1870537636799998</v>
      </c>
      <c r="X25" s="11"/>
      <c r="Y25" s="11"/>
      <c r="Z25" s="9"/>
      <c r="AA25" s="11">
        <v>797.93</v>
      </c>
      <c r="AB25" s="11">
        <v>31.49</v>
      </c>
      <c r="AC25" s="9">
        <f t="shared" si="8"/>
        <v>0.49452714149562488</v>
      </c>
      <c r="AD25" s="11"/>
      <c r="AE25" s="11"/>
      <c r="AF25" s="9"/>
      <c r="AG25" s="11"/>
      <c r="AH25" s="11"/>
      <c r="AI25" s="9"/>
      <c r="AJ25" s="11"/>
      <c r="AK25" s="11"/>
      <c r="AL25" s="9"/>
      <c r="AM25" s="11"/>
      <c r="AN25" s="11"/>
      <c r="AO25" s="9"/>
      <c r="AP25" s="11"/>
      <c r="AQ25" s="11"/>
      <c r="AR25" s="9"/>
      <c r="AS25" s="11"/>
      <c r="AT25" s="11"/>
      <c r="AU25" s="9"/>
      <c r="AV25" s="11"/>
      <c r="AW25" s="11"/>
      <c r="AX25" s="9"/>
      <c r="AY25" s="11"/>
      <c r="AZ25" s="11"/>
      <c r="BA25" s="9"/>
      <c r="BB25" s="11"/>
      <c r="BC25" s="11"/>
      <c r="BD25" s="9"/>
      <c r="BE25" s="11"/>
      <c r="BF25" s="11"/>
      <c r="BG25" s="9"/>
      <c r="BH25" s="11"/>
      <c r="BI25" s="11"/>
      <c r="BJ25" s="9"/>
    </row>
    <row r="26" spans="3:62" x14ac:dyDescent="0.2">
      <c r="C26" s="11"/>
      <c r="D26" s="11"/>
      <c r="E26" s="9"/>
      <c r="F26" s="11">
        <v>390.53</v>
      </c>
      <c r="G26" s="11">
        <v>24.4</v>
      </c>
      <c r="H26" s="9">
        <f t="shared" si="1"/>
        <v>0.14531621299999997</v>
      </c>
      <c r="I26" s="11">
        <v>298.91000000000003</v>
      </c>
      <c r="J26" s="11">
        <v>19.28</v>
      </c>
      <c r="K26" s="9">
        <f t="shared" si="2"/>
        <v>6.9443966840000024E-2</v>
      </c>
      <c r="L26" s="11"/>
      <c r="M26" s="11"/>
      <c r="N26" s="9"/>
      <c r="O26" s="11"/>
      <c r="P26" s="11"/>
      <c r="Q26" s="9"/>
      <c r="R26" s="11"/>
      <c r="S26" s="11"/>
      <c r="T26" s="9"/>
      <c r="U26" s="11">
        <v>1129.8499999999999</v>
      </c>
      <c r="V26" s="11">
        <v>43.06</v>
      </c>
      <c r="W26" s="9">
        <f t="shared" si="6"/>
        <v>1.3093292146625</v>
      </c>
      <c r="X26" s="11"/>
      <c r="Y26" s="11"/>
      <c r="Z26" s="9"/>
      <c r="AA26" s="11">
        <v>916.48</v>
      </c>
      <c r="AB26" s="11">
        <v>28.88</v>
      </c>
      <c r="AC26" s="9">
        <f t="shared" si="8"/>
        <v>0.47774636031999995</v>
      </c>
      <c r="AD26" s="11"/>
      <c r="AE26" s="11"/>
      <c r="AF26" s="9"/>
      <c r="AG26" s="11"/>
      <c r="AH26" s="11"/>
      <c r="AI26" s="9"/>
      <c r="AJ26" s="11"/>
      <c r="AK26" s="11"/>
      <c r="AL26" s="9"/>
      <c r="AM26" s="11"/>
      <c r="AN26" s="11"/>
      <c r="AO26" s="9"/>
      <c r="AP26" s="11"/>
      <c r="AQ26" s="11"/>
      <c r="AR26" s="9"/>
      <c r="AS26" s="11"/>
      <c r="AT26" s="11"/>
      <c r="AU26" s="9"/>
      <c r="AV26" s="11"/>
      <c r="AW26" s="11"/>
      <c r="AX26" s="9"/>
      <c r="AY26" s="11"/>
      <c r="AZ26" s="11"/>
      <c r="BA26" s="9"/>
      <c r="BB26" s="11"/>
      <c r="BC26" s="11"/>
      <c r="BD26" s="9"/>
      <c r="BE26" s="11"/>
      <c r="BF26" s="11"/>
      <c r="BG26" s="9"/>
      <c r="BH26" s="11"/>
      <c r="BI26" s="11"/>
      <c r="BJ26" s="9"/>
    </row>
    <row r="27" spans="3:62" x14ac:dyDescent="0.2">
      <c r="C27" s="11"/>
      <c r="D27" s="11"/>
      <c r="E27" s="9"/>
      <c r="F27" s="11">
        <v>363.7</v>
      </c>
      <c r="G27" s="11">
        <v>27.02</v>
      </c>
      <c r="H27" s="9">
        <f t="shared" si="1"/>
        <v>0.16595640092499997</v>
      </c>
      <c r="I27" s="11">
        <v>331</v>
      </c>
      <c r="J27" s="11">
        <v>20.76</v>
      </c>
      <c r="K27" s="9">
        <f t="shared" si="2"/>
        <v>8.9158491000000006E-2</v>
      </c>
      <c r="L27" s="11"/>
      <c r="M27" s="11"/>
      <c r="N27" s="9"/>
      <c r="O27" s="11"/>
      <c r="P27" s="11"/>
      <c r="Q27" s="9"/>
      <c r="R27" s="11"/>
      <c r="S27" s="11"/>
      <c r="T27" s="9"/>
      <c r="U27" s="11">
        <v>1141.78</v>
      </c>
      <c r="V27" s="11">
        <v>55.21</v>
      </c>
      <c r="W27" s="9">
        <f t="shared" si="6"/>
        <v>2.17519373156125</v>
      </c>
      <c r="X27" s="11"/>
      <c r="Y27" s="11"/>
      <c r="Z27" s="9"/>
      <c r="AA27" s="11">
        <v>498.22</v>
      </c>
      <c r="AB27" s="11">
        <v>17.100000000000001</v>
      </c>
      <c r="AC27" s="9">
        <f t="shared" si="8"/>
        <v>9.1052818875000024E-2</v>
      </c>
      <c r="AD27" s="11"/>
      <c r="AE27" s="11"/>
      <c r="AF27" s="9"/>
      <c r="AG27" s="11"/>
      <c r="AH27" s="11"/>
      <c r="AI27" s="9"/>
      <c r="AJ27" s="11"/>
      <c r="AK27" s="11"/>
      <c r="AL27" s="9"/>
      <c r="AM27" s="11"/>
      <c r="AN27" s="11"/>
      <c r="AO27" s="9"/>
      <c r="AP27" s="11"/>
      <c r="AQ27" s="11"/>
      <c r="AR27" s="9"/>
      <c r="AS27" s="11"/>
      <c r="AT27" s="11"/>
      <c r="AU27" s="9"/>
      <c r="AV27" s="11"/>
      <c r="AW27" s="11"/>
      <c r="AX27" s="9"/>
      <c r="AY27" s="11"/>
      <c r="AZ27" s="11"/>
      <c r="BA27" s="9"/>
      <c r="BB27" s="11"/>
      <c r="BC27" s="11"/>
      <c r="BD27" s="9"/>
      <c r="BE27" s="11"/>
      <c r="BF27" s="11"/>
      <c r="BG27" s="9"/>
      <c r="BH27" s="11"/>
      <c r="BI27" s="11"/>
      <c r="BJ27" s="9"/>
    </row>
    <row r="28" spans="3:62" x14ac:dyDescent="0.2">
      <c r="C28" s="11"/>
      <c r="D28" s="11"/>
      <c r="E28" s="9"/>
      <c r="F28" s="11">
        <v>402.66</v>
      </c>
      <c r="G28" s="11">
        <v>38.49</v>
      </c>
      <c r="H28" s="9">
        <f t="shared" si="1"/>
        <v>0.37283298566625012</v>
      </c>
      <c r="I28" s="11">
        <v>198.07</v>
      </c>
      <c r="J28" s="11">
        <v>13.67</v>
      </c>
      <c r="K28" s="9">
        <f t="shared" si="2"/>
        <v>2.3133201889375E-2</v>
      </c>
      <c r="L28" s="11"/>
      <c r="M28" s="11"/>
      <c r="N28" s="9"/>
      <c r="O28" s="11"/>
      <c r="P28" s="11"/>
      <c r="Q28" s="9"/>
      <c r="R28" s="11"/>
      <c r="S28" s="11"/>
      <c r="T28" s="9"/>
      <c r="U28" s="11">
        <v>858.22</v>
      </c>
      <c r="V28" s="11">
        <v>38.520000000000003</v>
      </c>
      <c r="W28" s="9">
        <f t="shared" si="6"/>
        <v>0.79588662318000014</v>
      </c>
      <c r="X28" s="11"/>
      <c r="Y28" s="11"/>
      <c r="Z28" s="9"/>
      <c r="AA28" s="11">
        <v>927.79</v>
      </c>
      <c r="AB28" s="11">
        <v>33.11</v>
      </c>
      <c r="AC28" s="9">
        <f t="shared" si="8"/>
        <v>0.63569393228687499</v>
      </c>
      <c r="AD28" s="11"/>
      <c r="AE28" s="11"/>
      <c r="AF28" s="9"/>
      <c r="AG28" s="11"/>
      <c r="AH28" s="11"/>
      <c r="AI28" s="9"/>
      <c r="AJ28" s="11"/>
      <c r="AK28" s="11"/>
      <c r="AL28" s="9"/>
      <c r="AM28" s="11"/>
      <c r="AN28" s="11"/>
      <c r="AO28" s="9"/>
      <c r="AP28" s="11"/>
      <c r="AQ28" s="11"/>
      <c r="AR28" s="9"/>
      <c r="AS28" s="11"/>
      <c r="AT28" s="11"/>
      <c r="AU28" s="9"/>
      <c r="AV28" s="11"/>
      <c r="AW28" s="11"/>
      <c r="AX28" s="9"/>
      <c r="AY28" s="11"/>
      <c r="AZ28" s="11"/>
      <c r="BA28" s="9"/>
      <c r="BB28" s="11"/>
      <c r="BC28" s="11"/>
      <c r="BD28" s="9"/>
      <c r="BE28" s="11"/>
      <c r="BF28" s="11"/>
      <c r="BG28" s="9"/>
      <c r="BH28" s="11"/>
      <c r="BI28" s="11"/>
      <c r="BJ28" s="9"/>
    </row>
    <row r="29" spans="3:62" x14ac:dyDescent="0.2">
      <c r="C29" s="11"/>
      <c r="D29" s="11"/>
      <c r="E29" s="9"/>
      <c r="F29" s="11">
        <v>366.01</v>
      </c>
      <c r="G29" s="11">
        <v>24</v>
      </c>
      <c r="H29" s="9">
        <f t="shared" si="1"/>
        <v>0.13176360000000001</v>
      </c>
      <c r="I29" s="11">
        <v>330.03</v>
      </c>
      <c r="J29" s="11">
        <v>18.2</v>
      </c>
      <c r="K29" s="9">
        <f t="shared" si="2"/>
        <v>6.8324460749999996E-2</v>
      </c>
      <c r="L29" s="11"/>
      <c r="M29" s="11"/>
      <c r="N29" s="9"/>
      <c r="O29" s="11"/>
      <c r="P29" s="11"/>
      <c r="Q29" s="9"/>
      <c r="R29" s="11"/>
      <c r="S29" s="11"/>
      <c r="T29" s="9"/>
      <c r="U29" s="11">
        <v>880.42</v>
      </c>
      <c r="V29" s="11">
        <v>36.799999999999997</v>
      </c>
      <c r="W29" s="9">
        <f t="shared" si="6"/>
        <v>0.7451874879999999</v>
      </c>
      <c r="X29" s="11"/>
      <c r="Y29" s="11"/>
      <c r="Z29" s="9"/>
      <c r="AA29" s="11">
        <v>685.61</v>
      </c>
      <c r="AB29" s="11">
        <v>24.27</v>
      </c>
      <c r="AC29" s="9">
        <f t="shared" si="8"/>
        <v>0.25240427910562502</v>
      </c>
      <c r="AD29" s="11"/>
      <c r="AE29" s="11"/>
      <c r="AF29" s="9"/>
      <c r="AG29" s="11"/>
      <c r="AH29" s="11"/>
      <c r="AI29" s="9"/>
      <c r="AJ29" s="11"/>
      <c r="AK29" s="11"/>
      <c r="AL29" s="9"/>
      <c r="AM29" s="11"/>
      <c r="AN29" s="11"/>
      <c r="AO29" s="9"/>
      <c r="AP29" s="11"/>
      <c r="AQ29" s="11"/>
      <c r="AR29" s="9"/>
      <c r="AS29" s="11"/>
      <c r="AT29" s="11"/>
      <c r="AU29" s="9"/>
      <c r="AV29" s="11"/>
      <c r="AW29" s="11"/>
      <c r="AX29" s="9"/>
      <c r="AY29" s="11"/>
      <c r="AZ29" s="11"/>
      <c r="BA29" s="9"/>
      <c r="BB29" s="11"/>
      <c r="BC29" s="11"/>
      <c r="BD29" s="9"/>
      <c r="BE29" s="11"/>
      <c r="BF29" s="11"/>
      <c r="BG29" s="9"/>
      <c r="BH29" s="11"/>
      <c r="BI29" s="11"/>
      <c r="BJ29" s="9"/>
    </row>
    <row r="30" spans="3:62" x14ac:dyDescent="0.2">
      <c r="C30" s="11"/>
      <c r="D30" s="11"/>
      <c r="E30" s="9"/>
      <c r="F30" s="11">
        <v>337.47</v>
      </c>
      <c r="G30" s="11">
        <v>20.93</v>
      </c>
      <c r="H30" s="9">
        <f t="shared" si="1"/>
        <v>9.2396101126875005E-2</v>
      </c>
      <c r="I30" s="11">
        <v>192.84</v>
      </c>
      <c r="J30" s="11">
        <v>14.23</v>
      </c>
      <c r="K30" s="9">
        <f t="shared" si="2"/>
        <v>2.44054567725E-2</v>
      </c>
      <c r="L30" s="11"/>
      <c r="M30" s="11"/>
      <c r="N30" s="9"/>
      <c r="O30" s="11"/>
      <c r="P30" s="11"/>
      <c r="Q30" s="9"/>
      <c r="R30" s="11"/>
      <c r="S30" s="11"/>
      <c r="T30" s="9"/>
      <c r="U30" s="11">
        <v>989.86</v>
      </c>
      <c r="V30" s="11">
        <v>38.409999999999997</v>
      </c>
      <c r="W30" s="9">
        <f t="shared" si="6"/>
        <v>0.91273017066624995</v>
      </c>
      <c r="X30" s="11"/>
      <c r="Y30" s="11"/>
      <c r="Z30" s="9"/>
      <c r="AA30" s="11">
        <v>924.99</v>
      </c>
      <c r="AB30" s="11">
        <v>37.14</v>
      </c>
      <c r="AC30" s="9">
        <f t="shared" si="8"/>
        <v>0.79744521012750003</v>
      </c>
      <c r="AD30" s="11"/>
      <c r="AE30" s="11"/>
      <c r="AF30" s="9"/>
      <c r="AG30" s="11"/>
      <c r="AH30" s="11"/>
      <c r="AI30" s="9"/>
      <c r="AJ30" s="11"/>
      <c r="AK30" s="11"/>
      <c r="AL30" s="9"/>
      <c r="AM30" s="11"/>
      <c r="AN30" s="11"/>
      <c r="AO30" s="9"/>
      <c r="AP30" s="11"/>
      <c r="AQ30" s="11"/>
      <c r="AR30" s="9"/>
      <c r="AS30" s="11"/>
      <c r="AT30" s="11"/>
      <c r="AU30" s="9"/>
      <c r="AV30" s="11"/>
      <c r="AW30" s="11"/>
      <c r="AX30" s="9"/>
      <c r="AY30" s="11"/>
      <c r="AZ30" s="11"/>
      <c r="BA30" s="9"/>
      <c r="BB30" s="11"/>
      <c r="BC30" s="11"/>
      <c r="BD30" s="9"/>
      <c r="BE30" s="11"/>
      <c r="BF30" s="11"/>
      <c r="BG30" s="9"/>
      <c r="BH30" s="11"/>
      <c r="BI30" s="11"/>
      <c r="BJ30" s="9"/>
    </row>
    <row r="31" spans="3:62" x14ac:dyDescent="0.2">
      <c r="C31" s="11"/>
      <c r="D31" s="11"/>
      <c r="E31" s="9"/>
      <c r="F31" s="11">
        <v>385.88</v>
      </c>
      <c r="G31" s="11">
        <v>20.7</v>
      </c>
      <c r="H31" s="9">
        <f t="shared" si="1"/>
        <v>0.10334107574999998</v>
      </c>
      <c r="I31" s="11"/>
      <c r="J31" s="11"/>
      <c r="K31" s="9"/>
      <c r="L31" s="11"/>
      <c r="M31" s="11"/>
      <c r="N31" s="9"/>
      <c r="O31" s="11"/>
      <c r="P31" s="11"/>
      <c r="Q31" s="9"/>
      <c r="R31" s="11"/>
      <c r="S31" s="11"/>
      <c r="T31" s="9"/>
      <c r="U31" s="11">
        <v>886.28</v>
      </c>
      <c r="V31" s="11">
        <v>36.409999999999997</v>
      </c>
      <c r="W31" s="9">
        <f t="shared" si="6"/>
        <v>0.73433178079249972</v>
      </c>
      <c r="X31" s="11"/>
      <c r="Y31" s="11"/>
      <c r="Z31" s="9"/>
      <c r="AA31" s="11">
        <v>661.72</v>
      </c>
      <c r="AB31" s="11">
        <v>26.36</v>
      </c>
      <c r="AC31" s="9">
        <f t="shared" si="8"/>
        <v>0.28737242332000001</v>
      </c>
      <c r="AD31" s="11"/>
      <c r="AE31" s="11"/>
      <c r="AF31" s="9"/>
      <c r="AG31" s="11"/>
      <c r="AH31" s="11"/>
      <c r="AI31" s="9"/>
      <c r="AJ31" s="11"/>
      <c r="AK31" s="11"/>
      <c r="AL31" s="9"/>
      <c r="AM31" s="11"/>
      <c r="AN31" s="11"/>
      <c r="AO31" s="9"/>
      <c r="AP31" s="11"/>
      <c r="AQ31" s="11"/>
      <c r="AR31" s="9"/>
      <c r="AS31" s="11"/>
      <c r="AT31" s="11"/>
      <c r="AU31" s="9"/>
      <c r="AV31" s="11"/>
      <c r="AW31" s="11"/>
      <c r="AX31" s="9"/>
      <c r="AY31" s="11"/>
      <c r="AZ31" s="11"/>
      <c r="BA31" s="9"/>
      <c r="BB31" s="11"/>
      <c r="BC31" s="11"/>
      <c r="BD31" s="9"/>
      <c r="BE31" s="11"/>
      <c r="BF31" s="11"/>
      <c r="BG31" s="9"/>
      <c r="BH31" s="11"/>
      <c r="BI31" s="11"/>
      <c r="BJ31" s="9"/>
    </row>
    <row r="32" spans="3:62" x14ac:dyDescent="0.2">
      <c r="C32" s="11"/>
      <c r="D32" s="11"/>
      <c r="E32" s="9"/>
      <c r="F32" s="11">
        <v>394.13</v>
      </c>
      <c r="G32" s="11">
        <v>19.66</v>
      </c>
      <c r="H32" s="9">
        <f t="shared" si="1"/>
        <v>9.5210870892500007E-2</v>
      </c>
      <c r="I32" s="11"/>
      <c r="J32" s="11"/>
      <c r="K32" s="9"/>
      <c r="L32" s="11"/>
      <c r="M32" s="11"/>
      <c r="N32" s="9"/>
      <c r="O32" s="11"/>
      <c r="P32" s="11"/>
      <c r="Q32" s="9"/>
      <c r="R32" s="11"/>
      <c r="S32" s="11"/>
      <c r="T32" s="9"/>
      <c r="U32" s="11"/>
      <c r="V32" s="11"/>
      <c r="W32" s="9"/>
      <c r="X32" s="11"/>
      <c r="Y32" s="11"/>
      <c r="Z32" s="9"/>
      <c r="AA32" s="11">
        <v>660.02</v>
      </c>
      <c r="AB32" s="11">
        <v>25.25</v>
      </c>
      <c r="AC32" s="9">
        <f t="shared" si="8"/>
        <v>0.26300250078125004</v>
      </c>
      <c r="AD32" s="11"/>
      <c r="AE32" s="11"/>
      <c r="AF32" s="9"/>
      <c r="AG32" s="11"/>
      <c r="AH32" s="11"/>
      <c r="AI32" s="9"/>
      <c r="AJ32" s="11"/>
      <c r="AK32" s="11"/>
      <c r="AL32" s="9"/>
      <c r="AM32" s="11"/>
      <c r="AN32" s="11"/>
      <c r="AO32" s="9"/>
      <c r="AP32" s="11"/>
      <c r="AQ32" s="11"/>
      <c r="AR32" s="9"/>
      <c r="AS32" s="11"/>
      <c r="AT32" s="11"/>
      <c r="AU32" s="9"/>
      <c r="AV32" s="11"/>
      <c r="AW32" s="11"/>
      <c r="AX32" s="9"/>
      <c r="AY32" s="11"/>
      <c r="AZ32" s="11"/>
      <c r="BA32" s="9"/>
      <c r="BB32" s="11"/>
      <c r="BC32" s="11"/>
      <c r="BD32" s="9"/>
      <c r="BE32" s="11"/>
      <c r="BF32" s="11"/>
      <c r="BG32" s="9"/>
      <c r="BH32" s="11"/>
      <c r="BI32" s="11"/>
      <c r="BJ32" s="9"/>
    </row>
    <row r="33" spans="3:62" x14ac:dyDescent="0.2">
      <c r="C33" s="11"/>
      <c r="D33" s="11"/>
      <c r="E33" s="9"/>
      <c r="F33" s="11">
        <v>294.67</v>
      </c>
      <c r="G33" s="11">
        <v>16.88</v>
      </c>
      <c r="H33" s="9">
        <f t="shared" si="1"/>
        <v>5.2476012279999998E-2</v>
      </c>
      <c r="I33" s="11"/>
      <c r="J33" s="11"/>
      <c r="K33" s="9"/>
      <c r="L33" s="11"/>
      <c r="M33" s="11"/>
      <c r="N33" s="9"/>
      <c r="O33" s="11"/>
      <c r="P33" s="11"/>
      <c r="Q33" s="9"/>
      <c r="R33" s="11"/>
      <c r="S33" s="11"/>
      <c r="T33" s="9"/>
      <c r="U33" s="11"/>
      <c r="V33" s="11"/>
      <c r="W33" s="9"/>
      <c r="X33" s="11"/>
      <c r="Y33" s="11"/>
      <c r="Z33" s="9"/>
      <c r="AA33" s="11">
        <v>697.1</v>
      </c>
      <c r="AB33" s="11">
        <v>26.67</v>
      </c>
      <c r="AC33" s="9">
        <f t="shared" si="8"/>
        <v>0.30989968261875006</v>
      </c>
      <c r="AD33" s="11"/>
      <c r="AE33" s="11"/>
      <c r="AF33" s="9"/>
      <c r="AG33" s="11"/>
      <c r="AH33" s="11"/>
      <c r="AI33" s="9"/>
      <c r="AJ33" s="11"/>
      <c r="AK33" s="11"/>
      <c r="AL33" s="9"/>
      <c r="AM33" s="11"/>
      <c r="AN33" s="11"/>
      <c r="AO33" s="9"/>
      <c r="AP33" s="11"/>
      <c r="AQ33" s="11"/>
      <c r="AR33" s="9"/>
      <c r="AS33" s="11"/>
      <c r="AT33" s="11"/>
      <c r="AU33" s="9"/>
      <c r="AV33" s="11"/>
      <c r="AW33" s="11"/>
      <c r="AX33" s="9"/>
      <c r="AY33" s="11"/>
      <c r="AZ33" s="11"/>
      <c r="BA33" s="9"/>
      <c r="BB33" s="11"/>
      <c r="BC33" s="11"/>
      <c r="BD33" s="9"/>
      <c r="BE33" s="11"/>
      <c r="BF33" s="11"/>
      <c r="BG33" s="9"/>
      <c r="BH33" s="11"/>
      <c r="BI33" s="11"/>
      <c r="BJ33" s="9"/>
    </row>
    <row r="34" spans="3:62" x14ac:dyDescent="0.2">
      <c r="C34" s="11"/>
      <c r="D34" s="11"/>
      <c r="E34" s="9"/>
      <c r="F34" s="11">
        <v>334.13</v>
      </c>
      <c r="G34" s="11">
        <v>19.52</v>
      </c>
      <c r="H34" s="9">
        <f t="shared" si="1"/>
        <v>7.9571054720000006E-2</v>
      </c>
      <c r="I34" s="11"/>
      <c r="J34" s="11"/>
      <c r="K34" s="9"/>
      <c r="L34" s="11"/>
      <c r="M34" s="11"/>
      <c r="N34" s="9"/>
      <c r="O34" s="11"/>
      <c r="P34" s="11"/>
      <c r="Q34" s="9"/>
      <c r="R34" s="11"/>
      <c r="S34" s="11"/>
      <c r="T34" s="9"/>
      <c r="U34" s="11"/>
      <c r="V34" s="11"/>
      <c r="W34" s="9"/>
      <c r="X34" s="11"/>
      <c r="Y34" s="11"/>
      <c r="Z34" s="9"/>
      <c r="AA34" s="11">
        <v>640.69000000000005</v>
      </c>
      <c r="AB34" s="11">
        <v>28.84</v>
      </c>
      <c r="AC34" s="9">
        <f t="shared" si="8"/>
        <v>0.33305693029</v>
      </c>
      <c r="AD34" s="11"/>
      <c r="AE34" s="11"/>
      <c r="AF34" s="9"/>
      <c r="AG34" s="11"/>
      <c r="AH34" s="11"/>
      <c r="AI34" s="9"/>
      <c r="AJ34" s="11"/>
      <c r="AK34" s="11"/>
      <c r="AL34" s="9"/>
      <c r="AM34" s="11"/>
      <c r="AN34" s="11"/>
      <c r="AO34" s="9"/>
      <c r="AP34" s="11"/>
      <c r="AQ34" s="11"/>
      <c r="AR34" s="9"/>
      <c r="AS34" s="11"/>
      <c r="AT34" s="11"/>
      <c r="AU34" s="9"/>
      <c r="AV34" s="11"/>
      <c r="AW34" s="11"/>
      <c r="AX34" s="9"/>
      <c r="AY34" s="11"/>
      <c r="AZ34" s="11"/>
      <c r="BA34" s="9"/>
      <c r="BB34" s="11"/>
      <c r="BC34" s="11"/>
      <c r="BD34" s="9"/>
      <c r="BE34" s="11"/>
      <c r="BF34" s="11"/>
      <c r="BG34" s="9"/>
      <c r="BH34" s="11"/>
      <c r="BI34" s="11"/>
      <c r="BJ34" s="9"/>
    </row>
    <row r="35" spans="3:62" x14ac:dyDescent="0.2">
      <c r="C35" s="11"/>
      <c r="D35" s="11"/>
      <c r="E35" s="9"/>
      <c r="F35" s="11">
        <v>230.66</v>
      </c>
      <c r="G35" s="11">
        <v>14.14</v>
      </c>
      <c r="H35" s="9">
        <f t="shared" si="1"/>
        <v>2.8823792585000001E-2</v>
      </c>
      <c r="I35" s="11"/>
      <c r="J35" s="11"/>
      <c r="K35" s="9"/>
      <c r="L35" s="11"/>
      <c r="M35" s="11"/>
      <c r="N35" s="9"/>
      <c r="O35" s="11"/>
      <c r="P35" s="11"/>
      <c r="Q35" s="9"/>
      <c r="R35" s="11"/>
      <c r="S35" s="11"/>
      <c r="T35" s="9"/>
      <c r="U35" s="11"/>
      <c r="V35" s="11"/>
      <c r="W35" s="9"/>
      <c r="X35" s="11"/>
      <c r="Y35" s="11"/>
      <c r="Z35" s="9"/>
      <c r="AA35" s="11">
        <v>920.88</v>
      </c>
      <c r="AB35" s="11">
        <v>26.1</v>
      </c>
      <c r="AC35" s="9">
        <f t="shared" si="8"/>
        <v>0.39207041549999999</v>
      </c>
      <c r="AD35" s="11"/>
      <c r="AE35" s="11"/>
      <c r="AF35" s="9"/>
      <c r="AG35" s="11"/>
      <c r="AH35" s="11"/>
      <c r="AI35" s="9"/>
      <c r="AJ35" s="11"/>
      <c r="AK35" s="11"/>
      <c r="AL35" s="9"/>
      <c r="AM35" s="11"/>
      <c r="AN35" s="11"/>
      <c r="AO35" s="9"/>
      <c r="AP35" s="11"/>
      <c r="AQ35" s="11"/>
      <c r="AR35" s="9"/>
      <c r="AS35" s="11"/>
      <c r="AT35" s="11"/>
      <c r="AU35" s="9"/>
      <c r="AV35" s="11"/>
      <c r="AW35" s="11"/>
      <c r="AX35" s="9"/>
      <c r="AY35" s="11"/>
      <c r="AZ35" s="11"/>
      <c r="BA35" s="9"/>
      <c r="BB35" s="11"/>
      <c r="BC35" s="11"/>
      <c r="BD35" s="9"/>
      <c r="BE35" s="11"/>
      <c r="BF35" s="11"/>
      <c r="BG35" s="9"/>
      <c r="BH35" s="11"/>
      <c r="BI35" s="11"/>
      <c r="BJ35" s="9"/>
    </row>
    <row r="36" spans="3:62" x14ac:dyDescent="0.2">
      <c r="C36" s="11"/>
      <c r="D36" s="11"/>
      <c r="E36" s="9"/>
      <c r="F36" s="11">
        <v>386.75</v>
      </c>
      <c r="G36" s="11">
        <v>20.49</v>
      </c>
      <c r="H36" s="9">
        <f t="shared" si="1"/>
        <v>0.10148322417187498</v>
      </c>
      <c r="I36" s="11"/>
      <c r="J36" s="11"/>
      <c r="K36" s="9"/>
      <c r="L36" s="11"/>
      <c r="M36" s="11"/>
      <c r="N36" s="9"/>
      <c r="O36" s="11"/>
      <c r="P36" s="11"/>
      <c r="Q36" s="9"/>
      <c r="R36" s="11"/>
      <c r="S36" s="11"/>
      <c r="T36" s="9"/>
      <c r="U36" s="11"/>
      <c r="V36" s="11"/>
      <c r="W36" s="9"/>
      <c r="X36" s="11"/>
      <c r="Y36" s="11"/>
      <c r="Z36" s="9"/>
      <c r="AA36" s="11">
        <v>896.72</v>
      </c>
      <c r="AB36" s="11">
        <v>29.07</v>
      </c>
      <c r="AC36" s="9">
        <f t="shared" si="8"/>
        <v>0.47361662320500009</v>
      </c>
      <c r="AD36" s="11"/>
      <c r="AE36" s="11"/>
      <c r="AF36" s="9"/>
      <c r="AG36" s="11"/>
      <c r="AH36" s="11"/>
      <c r="AI36" s="9"/>
      <c r="AJ36" s="11"/>
      <c r="AK36" s="11"/>
      <c r="AL36" s="9"/>
      <c r="AM36" s="11"/>
      <c r="AN36" s="11"/>
      <c r="AO36" s="9"/>
      <c r="AP36" s="11"/>
      <c r="AQ36" s="11"/>
      <c r="AR36" s="9"/>
      <c r="AS36" s="11"/>
      <c r="AT36" s="11"/>
      <c r="AU36" s="9"/>
      <c r="AV36" s="11"/>
      <c r="AW36" s="11"/>
      <c r="AX36" s="9"/>
      <c r="AY36" s="11"/>
      <c r="AZ36" s="11"/>
      <c r="BA36" s="9"/>
      <c r="BB36" s="11"/>
      <c r="BC36" s="11"/>
      <c r="BD36" s="9"/>
      <c r="BE36" s="11"/>
      <c r="BF36" s="11"/>
      <c r="BG36" s="9"/>
      <c r="BH36" s="11"/>
      <c r="BI36" s="11"/>
      <c r="BJ36" s="9"/>
    </row>
    <row r="37" spans="3:62" x14ac:dyDescent="0.2">
      <c r="C37" s="11"/>
      <c r="D37" s="11"/>
      <c r="E37" s="9"/>
      <c r="F37" s="11">
        <v>407.86</v>
      </c>
      <c r="G37" s="11">
        <v>19.809999999999999</v>
      </c>
      <c r="H37" s="9">
        <f t="shared" si="1"/>
        <v>0.10003686734124997</v>
      </c>
      <c r="I37" s="11"/>
      <c r="J37" s="11"/>
      <c r="K37" s="9"/>
      <c r="L37" s="11"/>
      <c r="M37" s="11"/>
      <c r="N37" s="9"/>
      <c r="O37" s="11"/>
      <c r="P37" s="11"/>
      <c r="Q37" s="9"/>
      <c r="R37" s="11"/>
      <c r="S37" s="11"/>
      <c r="T37" s="9"/>
      <c r="U37" s="11"/>
      <c r="V37" s="11"/>
      <c r="W37" s="9"/>
      <c r="X37" s="11"/>
      <c r="Y37" s="11"/>
      <c r="Z37" s="9"/>
      <c r="AA37" s="11">
        <v>778.56</v>
      </c>
      <c r="AB37" s="11">
        <v>24.78</v>
      </c>
      <c r="AC37" s="9">
        <f t="shared" si="8"/>
        <v>0.29879595143999998</v>
      </c>
      <c r="AD37" s="11"/>
      <c r="AE37" s="11"/>
      <c r="AF37" s="9"/>
      <c r="AG37" s="11"/>
      <c r="AH37" s="11"/>
      <c r="AI37" s="9"/>
      <c r="AJ37" s="11"/>
      <c r="AK37" s="11"/>
      <c r="AL37" s="9"/>
      <c r="AM37" s="11"/>
      <c r="AN37" s="11"/>
      <c r="AO37" s="9"/>
      <c r="AP37" s="11"/>
      <c r="AQ37" s="11"/>
      <c r="AR37" s="9"/>
      <c r="AS37" s="11"/>
      <c r="AT37" s="11"/>
      <c r="AU37" s="9"/>
      <c r="AV37" s="11"/>
      <c r="AW37" s="11"/>
      <c r="AX37" s="9"/>
      <c r="AY37" s="11"/>
      <c r="AZ37" s="11"/>
      <c r="BA37" s="9"/>
      <c r="BB37" s="11"/>
      <c r="BC37" s="11"/>
      <c r="BD37" s="9"/>
      <c r="BE37" s="11"/>
      <c r="BF37" s="11"/>
      <c r="BG37" s="9"/>
      <c r="BH37" s="11"/>
      <c r="BI37" s="11"/>
      <c r="BJ37" s="9"/>
    </row>
    <row r="38" spans="3:62" x14ac:dyDescent="0.2">
      <c r="C38" s="11"/>
      <c r="D38" s="11"/>
      <c r="E38" s="9"/>
      <c r="F38" s="11">
        <v>289.16000000000003</v>
      </c>
      <c r="G38" s="11">
        <v>16.579999999999998</v>
      </c>
      <c r="H38" s="9">
        <f t="shared" ref="H38:H46" si="20">(F38*G38*G38)/1600000</f>
        <v>4.968065188999999E-2</v>
      </c>
      <c r="I38" s="11"/>
      <c r="J38" s="11"/>
      <c r="K38" s="9"/>
      <c r="L38" s="11"/>
      <c r="M38" s="11"/>
      <c r="N38" s="9"/>
      <c r="O38" s="11"/>
      <c r="P38" s="11"/>
      <c r="Q38" s="9"/>
      <c r="R38" s="11"/>
      <c r="S38" s="11"/>
      <c r="T38" s="9"/>
      <c r="U38" s="11"/>
      <c r="V38" s="11"/>
      <c r="W38" s="9"/>
      <c r="X38" s="11"/>
      <c r="Y38" s="11"/>
      <c r="Z38" s="9"/>
      <c r="AA38" s="11">
        <v>785.13</v>
      </c>
      <c r="AB38" s="11">
        <v>28.98</v>
      </c>
      <c r="AC38" s="9">
        <f t="shared" ref="AC38:AC57" si="21">(AA38*AB38*AB38)/1600000</f>
        <v>0.41211493328249998</v>
      </c>
      <c r="AD38" s="11"/>
      <c r="AE38" s="11"/>
      <c r="AF38" s="9"/>
      <c r="AG38" s="11"/>
      <c r="AH38" s="11"/>
      <c r="AI38" s="9"/>
      <c r="AJ38" s="11"/>
      <c r="AK38" s="11"/>
      <c r="AL38" s="9"/>
      <c r="AM38" s="11"/>
      <c r="AN38" s="11"/>
      <c r="AO38" s="9"/>
      <c r="AP38" s="11"/>
      <c r="AQ38" s="11"/>
      <c r="AR38" s="9"/>
      <c r="AS38" s="11"/>
      <c r="AT38" s="11"/>
      <c r="AU38" s="9"/>
      <c r="AV38" s="11"/>
      <c r="AW38" s="11"/>
      <c r="AX38" s="9"/>
      <c r="AY38" s="11"/>
      <c r="AZ38" s="11"/>
      <c r="BA38" s="9"/>
      <c r="BB38" s="11"/>
      <c r="BC38" s="11"/>
      <c r="BD38" s="9"/>
      <c r="BE38" s="11"/>
      <c r="BF38" s="11"/>
      <c r="BG38" s="9"/>
      <c r="BH38" s="11"/>
      <c r="BI38" s="11"/>
      <c r="BJ38" s="9"/>
    </row>
    <row r="39" spans="3:62" x14ac:dyDescent="0.2">
      <c r="C39" s="11"/>
      <c r="D39" s="11"/>
      <c r="E39" s="9"/>
      <c r="F39" s="11">
        <v>281.95</v>
      </c>
      <c r="G39" s="11">
        <v>18.66</v>
      </c>
      <c r="H39" s="9">
        <f t="shared" si="20"/>
        <v>6.1358593387499993E-2</v>
      </c>
      <c r="I39" s="11"/>
      <c r="J39" s="11"/>
      <c r="K39" s="9"/>
      <c r="L39" s="11"/>
      <c r="M39" s="11"/>
      <c r="N39" s="9"/>
      <c r="O39" s="11"/>
      <c r="P39" s="11"/>
      <c r="Q39" s="9"/>
      <c r="R39" s="11"/>
      <c r="S39" s="11"/>
      <c r="T39" s="9"/>
      <c r="U39" s="11"/>
      <c r="V39" s="11"/>
      <c r="W39" s="9"/>
      <c r="X39" s="11"/>
      <c r="Y39" s="11"/>
      <c r="Z39" s="9"/>
      <c r="AA39" s="11">
        <v>630.04</v>
      </c>
      <c r="AB39" s="11">
        <v>21.38</v>
      </c>
      <c r="AC39" s="9">
        <f t="shared" si="21"/>
        <v>0.17999628510999996</v>
      </c>
      <c r="AD39" s="11"/>
      <c r="AE39" s="11"/>
      <c r="AF39" s="9"/>
      <c r="AG39" s="11"/>
      <c r="AH39" s="11"/>
      <c r="AI39" s="9"/>
      <c r="AJ39" s="11"/>
      <c r="AK39" s="11"/>
      <c r="AL39" s="9"/>
      <c r="AM39" s="11"/>
      <c r="AN39" s="11"/>
      <c r="AO39" s="9"/>
      <c r="AP39" s="11"/>
      <c r="AQ39" s="11"/>
      <c r="AR39" s="9"/>
      <c r="AS39" s="11"/>
      <c r="AT39" s="11"/>
      <c r="AU39" s="9"/>
      <c r="AV39" s="11"/>
      <c r="AW39" s="11"/>
      <c r="AX39" s="9"/>
      <c r="AY39" s="11"/>
      <c r="AZ39" s="11"/>
      <c r="BA39" s="9"/>
      <c r="BB39" s="11"/>
      <c r="BC39" s="11"/>
      <c r="BD39" s="9"/>
      <c r="BE39" s="11"/>
      <c r="BF39" s="11"/>
      <c r="BG39" s="9"/>
      <c r="BH39" s="11"/>
      <c r="BI39" s="11"/>
      <c r="BJ39" s="9"/>
    </row>
    <row r="40" spans="3:62" x14ac:dyDescent="0.2">
      <c r="C40" s="11"/>
      <c r="D40" s="11"/>
      <c r="E40" s="9"/>
      <c r="F40" s="11">
        <v>224.28</v>
      </c>
      <c r="G40" s="11">
        <v>14.44</v>
      </c>
      <c r="H40" s="9">
        <f t="shared" si="20"/>
        <v>2.9228393879999998E-2</v>
      </c>
      <c r="I40" s="11"/>
      <c r="J40" s="11"/>
      <c r="K40" s="9"/>
      <c r="L40" s="11"/>
      <c r="M40" s="11"/>
      <c r="N40" s="9"/>
      <c r="O40" s="11"/>
      <c r="P40" s="11"/>
      <c r="Q40" s="9"/>
      <c r="R40" s="11"/>
      <c r="S40" s="11"/>
      <c r="T40" s="9"/>
      <c r="U40" s="11"/>
      <c r="V40" s="11"/>
      <c r="W40" s="9"/>
      <c r="X40" s="11"/>
      <c r="Y40" s="11"/>
      <c r="Z40" s="9"/>
      <c r="AA40" s="11">
        <v>336.76</v>
      </c>
      <c r="AB40" s="11">
        <v>14.75</v>
      </c>
      <c r="AC40" s="9">
        <f t="shared" si="21"/>
        <v>4.5791467187500004E-2</v>
      </c>
      <c r="AD40" s="11"/>
      <c r="AE40" s="11"/>
      <c r="AF40" s="9"/>
      <c r="AG40" s="11"/>
      <c r="AH40" s="11"/>
      <c r="AI40" s="9"/>
      <c r="AJ40" s="11"/>
      <c r="AK40" s="11"/>
      <c r="AL40" s="9"/>
      <c r="AM40" s="11"/>
      <c r="AN40" s="11"/>
      <c r="AO40" s="9"/>
      <c r="AP40" s="11"/>
      <c r="AQ40" s="11"/>
      <c r="AR40" s="9"/>
      <c r="AS40" s="11"/>
      <c r="AT40" s="11"/>
      <c r="AU40" s="9"/>
      <c r="AV40" s="11"/>
      <c r="AW40" s="11"/>
      <c r="AX40" s="9"/>
      <c r="AY40" s="11"/>
      <c r="AZ40" s="11"/>
      <c r="BA40" s="9"/>
      <c r="BB40" s="11"/>
      <c r="BC40" s="11"/>
      <c r="BD40" s="9"/>
      <c r="BE40" s="11"/>
      <c r="BF40" s="11"/>
      <c r="BG40" s="9"/>
      <c r="BH40" s="11"/>
      <c r="BI40" s="11"/>
      <c r="BJ40" s="9"/>
    </row>
    <row r="41" spans="3:62" x14ac:dyDescent="0.2">
      <c r="C41" s="11"/>
      <c r="D41" s="11"/>
      <c r="E41" s="9"/>
      <c r="F41" s="11">
        <v>340.52</v>
      </c>
      <c r="G41" s="11">
        <v>19.98</v>
      </c>
      <c r="H41" s="9">
        <f t="shared" si="20"/>
        <v>8.4959825129999986E-2</v>
      </c>
      <c r="I41" s="11"/>
      <c r="J41" s="11"/>
      <c r="K41" s="9"/>
      <c r="L41" s="11"/>
      <c r="M41" s="11"/>
      <c r="N41" s="9"/>
      <c r="O41" s="11"/>
      <c r="P41" s="11"/>
      <c r="Q41" s="9"/>
      <c r="R41" s="11"/>
      <c r="S41" s="11"/>
      <c r="T41" s="9"/>
      <c r="U41" s="11"/>
      <c r="V41" s="11"/>
      <c r="W41" s="9"/>
      <c r="X41" s="11"/>
      <c r="Y41" s="11"/>
      <c r="Z41" s="9"/>
      <c r="AA41" s="11">
        <v>603.65</v>
      </c>
      <c r="AB41" s="11">
        <v>20.260000000000002</v>
      </c>
      <c r="AC41" s="9">
        <f t="shared" si="21"/>
        <v>0.15486172921250002</v>
      </c>
      <c r="AD41" s="11"/>
      <c r="AE41" s="11"/>
      <c r="AF41" s="9"/>
      <c r="AG41" s="11"/>
      <c r="AH41" s="11"/>
      <c r="AI41" s="9"/>
      <c r="AJ41" s="11"/>
      <c r="AK41" s="11"/>
      <c r="AL41" s="9"/>
      <c r="AM41" s="11"/>
      <c r="AN41" s="11"/>
      <c r="AO41" s="9"/>
      <c r="AP41" s="11"/>
      <c r="AQ41" s="11"/>
      <c r="AR41" s="9"/>
      <c r="AS41" s="11"/>
      <c r="AT41" s="11"/>
      <c r="AU41" s="9"/>
      <c r="AV41" s="11"/>
      <c r="AW41" s="11"/>
      <c r="AX41" s="9"/>
      <c r="AY41" s="11"/>
      <c r="AZ41" s="11"/>
      <c r="BA41" s="9"/>
      <c r="BB41" s="11"/>
      <c r="BC41" s="11"/>
      <c r="BD41" s="9"/>
      <c r="BE41" s="11"/>
      <c r="BF41" s="11"/>
      <c r="BG41" s="9"/>
      <c r="BH41" s="11"/>
      <c r="BI41" s="11"/>
      <c r="BJ41" s="9"/>
    </row>
    <row r="42" spans="3:62" x14ac:dyDescent="0.2">
      <c r="C42" s="11"/>
      <c r="D42" s="11"/>
      <c r="E42" s="9"/>
      <c r="F42" s="11">
        <v>403.36</v>
      </c>
      <c r="G42" s="11">
        <v>30.58</v>
      </c>
      <c r="H42" s="9">
        <f t="shared" si="20"/>
        <v>0.23574788643999997</v>
      </c>
      <c r="I42" s="11"/>
      <c r="J42" s="11"/>
      <c r="K42" s="9"/>
      <c r="L42" s="11"/>
      <c r="M42" s="11"/>
      <c r="N42" s="9"/>
      <c r="O42" s="11"/>
      <c r="P42" s="11"/>
      <c r="Q42" s="9"/>
      <c r="R42" s="11"/>
      <c r="S42" s="11"/>
      <c r="T42" s="9"/>
      <c r="U42" s="11"/>
      <c r="V42" s="11"/>
      <c r="W42" s="9"/>
      <c r="X42" s="11"/>
      <c r="Y42" s="11"/>
      <c r="Z42" s="9"/>
      <c r="AA42" s="11">
        <v>963.61</v>
      </c>
      <c r="AB42" s="11">
        <v>28.27</v>
      </c>
      <c r="AC42" s="9">
        <f t="shared" si="21"/>
        <v>0.48131891898062501</v>
      </c>
      <c r="AD42" s="11"/>
      <c r="AE42" s="11"/>
      <c r="AF42" s="9"/>
      <c r="AG42" s="11"/>
      <c r="AH42" s="11"/>
      <c r="AI42" s="9"/>
      <c r="AJ42" s="11"/>
      <c r="AK42" s="11"/>
      <c r="AL42" s="9"/>
      <c r="AM42" s="11"/>
      <c r="AN42" s="11"/>
      <c r="AO42" s="9"/>
      <c r="AP42" s="11"/>
      <c r="AQ42" s="11"/>
      <c r="AR42" s="9"/>
      <c r="AS42" s="11"/>
      <c r="AT42" s="11"/>
      <c r="AU42" s="9"/>
      <c r="AV42" s="11"/>
      <c r="AW42" s="11"/>
      <c r="AX42" s="9"/>
      <c r="AY42" s="11"/>
      <c r="AZ42" s="11"/>
      <c r="BA42" s="9"/>
      <c r="BB42" s="11"/>
      <c r="BC42" s="11"/>
      <c r="BD42" s="9"/>
      <c r="BE42" s="11"/>
      <c r="BF42" s="11"/>
      <c r="BG42" s="9"/>
      <c r="BH42" s="11"/>
      <c r="BI42" s="11"/>
      <c r="BJ42" s="9"/>
    </row>
    <row r="43" spans="3:62" x14ac:dyDescent="0.2">
      <c r="C43" s="11"/>
      <c r="D43" s="11"/>
      <c r="E43" s="9"/>
      <c r="F43" s="11">
        <v>212.98</v>
      </c>
      <c r="G43" s="11">
        <v>16.829999999999998</v>
      </c>
      <c r="H43" s="9">
        <f t="shared" si="20"/>
        <v>3.7703969201249986E-2</v>
      </c>
      <c r="I43" s="11"/>
      <c r="J43" s="11"/>
      <c r="K43" s="9"/>
      <c r="L43" s="11"/>
      <c r="M43" s="11"/>
      <c r="N43" s="9"/>
      <c r="O43" s="11"/>
      <c r="P43" s="11"/>
      <c r="Q43" s="9"/>
      <c r="R43" s="11"/>
      <c r="S43" s="11"/>
      <c r="T43" s="9"/>
      <c r="U43" s="11"/>
      <c r="V43" s="11"/>
      <c r="W43" s="9"/>
      <c r="X43" s="11"/>
      <c r="Y43" s="11"/>
      <c r="Z43" s="9"/>
      <c r="AA43" s="11">
        <v>863.31</v>
      </c>
      <c r="AB43" s="11">
        <v>25.4</v>
      </c>
      <c r="AC43" s="9">
        <f t="shared" si="21"/>
        <v>0.34810817474999994</v>
      </c>
      <c r="AD43" s="11"/>
      <c r="AE43" s="11"/>
      <c r="AF43" s="9"/>
      <c r="AG43" s="11"/>
      <c r="AH43" s="11"/>
      <c r="AI43" s="9"/>
      <c r="AJ43" s="11"/>
      <c r="AK43" s="11"/>
      <c r="AL43" s="9"/>
      <c r="AM43" s="11"/>
      <c r="AN43" s="11"/>
      <c r="AO43" s="9"/>
      <c r="AP43" s="11"/>
      <c r="AQ43" s="11"/>
      <c r="AR43" s="9"/>
      <c r="AS43" s="11"/>
      <c r="AT43" s="11"/>
      <c r="AU43" s="9"/>
      <c r="AV43" s="11"/>
      <c r="AW43" s="11"/>
      <c r="AX43" s="9"/>
      <c r="AY43" s="11"/>
      <c r="AZ43" s="11"/>
      <c r="BA43" s="9"/>
      <c r="BB43" s="11"/>
      <c r="BC43" s="11"/>
      <c r="BD43" s="9"/>
      <c r="BE43" s="11"/>
      <c r="BF43" s="11"/>
      <c r="BG43" s="9"/>
      <c r="BH43" s="11"/>
      <c r="BI43" s="11"/>
      <c r="BJ43" s="9"/>
    </row>
    <row r="44" spans="3:62" x14ac:dyDescent="0.2">
      <c r="C44" s="11"/>
      <c r="D44" s="11"/>
      <c r="E44" s="9"/>
      <c r="F44" s="11">
        <v>337.36</v>
      </c>
      <c r="G44" s="11">
        <v>21.73</v>
      </c>
      <c r="H44" s="9">
        <f t="shared" si="20"/>
        <v>9.9561872965000006E-2</v>
      </c>
      <c r="I44" s="11"/>
      <c r="J44" s="11"/>
      <c r="K44" s="9"/>
      <c r="L44" s="11"/>
      <c r="M44" s="11"/>
      <c r="N44" s="9"/>
      <c r="O44" s="11"/>
      <c r="P44" s="11"/>
      <c r="Q44" s="9"/>
      <c r="R44" s="11"/>
      <c r="S44" s="11"/>
      <c r="T44" s="9"/>
      <c r="U44" s="11"/>
      <c r="V44" s="11"/>
      <c r="W44" s="9"/>
      <c r="X44" s="11"/>
      <c r="Y44" s="11"/>
      <c r="Z44" s="9"/>
      <c r="AA44" s="11">
        <v>825.27</v>
      </c>
      <c r="AB44" s="11">
        <v>31.13</v>
      </c>
      <c r="AC44" s="9">
        <f t="shared" si="21"/>
        <v>0.49984380828937502</v>
      </c>
      <c r="AD44" s="11"/>
      <c r="AE44" s="11"/>
      <c r="AF44" s="9"/>
      <c r="AG44" s="11"/>
      <c r="AH44" s="11"/>
      <c r="AI44" s="9"/>
      <c r="AJ44" s="11"/>
      <c r="AK44" s="11"/>
      <c r="AL44" s="9"/>
      <c r="AM44" s="11"/>
      <c r="AN44" s="11"/>
      <c r="AO44" s="9"/>
      <c r="AP44" s="11"/>
      <c r="AQ44" s="11"/>
      <c r="AR44" s="9"/>
      <c r="AS44" s="11"/>
      <c r="AT44" s="11"/>
      <c r="AU44" s="9"/>
      <c r="AV44" s="11"/>
      <c r="AW44" s="11"/>
      <c r="AX44" s="9"/>
      <c r="AY44" s="11"/>
      <c r="AZ44" s="11"/>
      <c r="BA44" s="9"/>
      <c r="BB44" s="11"/>
      <c r="BC44" s="11"/>
      <c r="BD44" s="9"/>
      <c r="BE44" s="11"/>
      <c r="BF44" s="11"/>
      <c r="BG44" s="9"/>
      <c r="BH44" s="11"/>
      <c r="BI44" s="11"/>
      <c r="BJ44" s="9"/>
    </row>
    <row r="45" spans="3:62" x14ac:dyDescent="0.2">
      <c r="C45" s="11"/>
      <c r="D45" s="11"/>
      <c r="E45" s="9"/>
      <c r="F45" s="11">
        <v>285.31</v>
      </c>
      <c r="G45" s="11">
        <v>15.26</v>
      </c>
      <c r="H45" s="9">
        <f t="shared" si="20"/>
        <v>4.1524659347499999E-2</v>
      </c>
      <c r="I45" s="11"/>
      <c r="J45" s="11"/>
      <c r="K45" s="9"/>
      <c r="L45" s="11"/>
      <c r="M45" s="11"/>
      <c r="N45" s="9"/>
      <c r="O45" s="11"/>
      <c r="P45" s="11"/>
      <c r="Q45" s="9"/>
      <c r="R45" s="11"/>
      <c r="S45" s="11"/>
      <c r="T45" s="9"/>
      <c r="U45" s="11"/>
      <c r="V45" s="11"/>
      <c r="W45" s="9"/>
      <c r="X45" s="11"/>
      <c r="Y45" s="11"/>
      <c r="Z45" s="9"/>
      <c r="AA45" s="11">
        <v>861.51</v>
      </c>
      <c r="AB45" s="11">
        <v>25.06</v>
      </c>
      <c r="AC45" s="9">
        <f t="shared" si="21"/>
        <v>0.3381446133974999</v>
      </c>
      <c r="AD45" s="11"/>
      <c r="AE45" s="11"/>
      <c r="AF45" s="9"/>
      <c r="AG45" s="11"/>
      <c r="AH45" s="11"/>
      <c r="AI45" s="9"/>
      <c r="AJ45" s="11"/>
      <c r="AK45" s="11"/>
      <c r="AL45" s="9"/>
      <c r="AM45" s="11"/>
      <c r="AN45" s="11"/>
      <c r="AO45" s="9"/>
      <c r="AP45" s="11"/>
      <c r="AQ45" s="11"/>
      <c r="AR45" s="9"/>
      <c r="AS45" s="11"/>
      <c r="AT45" s="11"/>
      <c r="AU45" s="9"/>
      <c r="AV45" s="11"/>
      <c r="AW45" s="11"/>
      <c r="AX45" s="9"/>
      <c r="AY45" s="11"/>
      <c r="AZ45" s="11"/>
      <c r="BA45" s="9"/>
      <c r="BB45" s="11"/>
      <c r="BC45" s="11"/>
      <c r="BD45" s="9"/>
      <c r="BE45" s="11"/>
      <c r="BF45" s="11"/>
      <c r="BG45" s="9"/>
      <c r="BH45" s="11"/>
      <c r="BI45" s="11"/>
      <c r="BJ45" s="9"/>
    </row>
    <row r="46" spans="3:62" x14ac:dyDescent="0.2">
      <c r="C46" s="11"/>
      <c r="D46" s="11"/>
      <c r="E46" s="9"/>
      <c r="F46" s="11">
        <v>244.15</v>
      </c>
      <c r="G46" s="11">
        <v>14.76</v>
      </c>
      <c r="H46" s="9">
        <f t="shared" si="20"/>
        <v>3.3243708149999995E-2</v>
      </c>
      <c r="I46" s="11"/>
      <c r="J46" s="11"/>
      <c r="K46" s="9"/>
      <c r="L46" s="11"/>
      <c r="M46" s="11"/>
      <c r="N46" s="9"/>
      <c r="O46" s="11"/>
      <c r="P46" s="11"/>
      <c r="Q46" s="9"/>
      <c r="R46" s="11"/>
      <c r="S46" s="11"/>
      <c r="T46" s="9"/>
      <c r="U46" s="11"/>
      <c r="V46" s="11"/>
      <c r="W46" s="9"/>
      <c r="X46" s="11"/>
      <c r="Y46" s="11"/>
      <c r="Z46" s="9"/>
      <c r="AA46" s="11">
        <v>794.94</v>
      </c>
      <c r="AB46" s="11">
        <v>28.02</v>
      </c>
      <c r="AC46" s="9">
        <f t="shared" si="21"/>
        <v>0.39007725673500004</v>
      </c>
      <c r="AD46" s="11"/>
      <c r="AE46" s="11"/>
      <c r="AF46" s="9"/>
      <c r="AG46" s="11"/>
      <c r="AH46" s="11"/>
      <c r="AI46" s="9"/>
      <c r="AJ46" s="11"/>
      <c r="AK46" s="11"/>
      <c r="AL46" s="9"/>
      <c r="AM46" s="11"/>
      <c r="AN46" s="11"/>
      <c r="AO46" s="9"/>
      <c r="AP46" s="11"/>
      <c r="AQ46" s="11"/>
      <c r="AR46" s="9"/>
      <c r="AS46" s="11"/>
      <c r="AT46" s="11"/>
      <c r="AU46" s="9"/>
      <c r="AV46" s="11"/>
      <c r="AW46" s="11"/>
      <c r="AX46" s="9"/>
      <c r="AY46" s="11"/>
      <c r="AZ46" s="11"/>
      <c r="BA46" s="9"/>
      <c r="BB46" s="11"/>
      <c r="BC46" s="11"/>
      <c r="BD46" s="9"/>
      <c r="BE46" s="11"/>
      <c r="BF46" s="11"/>
      <c r="BG46" s="9"/>
      <c r="BH46" s="11"/>
      <c r="BI46" s="11"/>
      <c r="BJ46" s="9"/>
    </row>
    <row r="47" spans="3:62" x14ac:dyDescent="0.2">
      <c r="C47" s="11"/>
      <c r="D47" s="11"/>
      <c r="E47" s="9"/>
      <c r="F47" s="11"/>
      <c r="G47" s="11"/>
      <c r="H47" s="9"/>
      <c r="I47" s="11"/>
      <c r="J47" s="11"/>
      <c r="K47" s="9"/>
      <c r="L47" s="11"/>
      <c r="M47" s="11"/>
      <c r="N47" s="9"/>
      <c r="O47" s="11"/>
      <c r="P47" s="11"/>
      <c r="Q47" s="9"/>
      <c r="R47" s="11"/>
      <c r="S47" s="11"/>
      <c r="T47" s="9"/>
      <c r="U47" s="11"/>
      <c r="V47" s="11"/>
      <c r="W47" s="9"/>
      <c r="X47" s="11"/>
      <c r="Y47" s="11"/>
      <c r="Z47" s="9"/>
      <c r="AA47" s="11">
        <v>940.25</v>
      </c>
      <c r="AB47" s="11">
        <v>30.33</v>
      </c>
      <c r="AC47" s="9">
        <f t="shared" si="21"/>
        <v>0.54059021451562494</v>
      </c>
      <c r="AD47" s="11"/>
      <c r="AE47" s="11"/>
      <c r="AF47" s="9"/>
      <c r="AG47" s="11"/>
      <c r="AH47" s="11"/>
      <c r="AI47" s="9"/>
      <c r="AJ47" s="11"/>
      <c r="AK47" s="11"/>
      <c r="AL47" s="9"/>
      <c r="AM47" s="11"/>
      <c r="AN47" s="11"/>
      <c r="AO47" s="9"/>
      <c r="AP47" s="11"/>
      <c r="AQ47" s="11"/>
      <c r="AR47" s="9"/>
      <c r="AS47" s="11"/>
      <c r="AT47" s="11"/>
      <c r="AU47" s="9"/>
      <c r="AV47" s="11"/>
      <c r="AW47" s="11"/>
      <c r="AX47" s="9"/>
      <c r="AY47" s="11"/>
      <c r="AZ47" s="11"/>
      <c r="BA47" s="9"/>
      <c r="BB47" s="11"/>
      <c r="BC47" s="11"/>
      <c r="BD47" s="9"/>
      <c r="BE47" s="11"/>
      <c r="BF47" s="11"/>
      <c r="BG47" s="9"/>
      <c r="BH47" s="11"/>
      <c r="BI47" s="11"/>
      <c r="BJ47" s="9"/>
    </row>
    <row r="48" spans="3:62" x14ac:dyDescent="0.2">
      <c r="C48" s="11"/>
      <c r="D48" s="11"/>
      <c r="E48" s="9"/>
      <c r="F48" s="11"/>
      <c r="G48" s="11"/>
      <c r="H48" s="9"/>
      <c r="I48" s="11"/>
      <c r="J48" s="11"/>
      <c r="K48" s="9"/>
      <c r="L48" s="11"/>
      <c r="M48" s="11"/>
      <c r="N48" s="9"/>
      <c r="O48" s="11"/>
      <c r="P48" s="11"/>
      <c r="Q48" s="9"/>
      <c r="R48" s="11"/>
      <c r="S48" s="11"/>
      <c r="T48" s="9"/>
      <c r="U48" s="11"/>
      <c r="V48" s="11"/>
      <c r="W48" s="9"/>
      <c r="X48" s="11"/>
      <c r="Y48" s="11"/>
      <c r="Z48" s="9"/>
      <c r="AA48" s="11">
        <v>923.81</v>
      </c>
      <c r="AB48" s="11">
        <v>25.8</v>
      </c>
      <c r="AC48" s="9">
        <f t="shared" si="21"/>
        <v>0.38432805524999997</v>
      </c>
      <c r="AD48" s="11"/>
      <c r="AE48" s="11"/>
      <c r="AF48" s="9"/>
      <c r="AG48" s="11"/>
      <c r="AH48" s="11"/>
      <c r="AI48" s="9"/>
      <c r="AJ48" s="11"/>
      <c r="AK48" s="11"/>
      <c r="AL48" s="9"/>
      <c r="AM48" s="11"/>
      <c r="AN48" s="11"/>
      <c r="AO48" s="9"/>
      <c r="AP48" s="11"/>
      <c r="AQ48" s="11"/>
      <c r="AR48" s="9"/>
      <c r="AS48" s="11"/>
      <c r="AT48" s="11"/>
      <c r="AU48" s="9"/>
      <c r="AV48" s="11"/>
      <c r="AW48" s="11"/>
      <c r="AX48" s="9"/>
      <c r="AY48" s="11"/>
      <c r="AZ48" s="11"/>
      <c r="BA48" s="9"/>
      <c r="BB48" s="11"/>
      <c r="BC48" s="11"/>
      <c r="BD48" s="9"/>
      <c r="BE48" s="11"/>
      <c r="BF48" s="11"/>
      <c r="BG48" s="9"/>
      <c r="BH48" s="11"/>
      <c r="BI48" s="11"/>
      <c r="BJ48" s="9"/>
    </row>
    <row r="49" spans="3:62" x14ac:dyDescent="0.2">
      <c r="C49" s="11"/>
      <c r="D49" s="11"/>
      <c r="E49" s="9"/>
      <c r="F49" s="11"/>
      <c r="G49" s="11"/>
      <c r="H49" s="9"/>
      <c r="I49" s="11"/>
      <c r="J49" s="11"/>
      <c r="K49" s="9"/>
      <c r="L49" s="11"/>
      <c r="M49" s="11"/>
      <c r="N49" s="9"/>
      <c r="O49" s="11"/>
      <c r="P49" s="11"/>
      <c r="Q49" s="9"/>
      <c r="R49" s="11"/>
      <c r="S49" s="11"/>
      <c r="T49" s="9"/>
      <c r="W49" s="9"/>
      <c r="X49" s="11"/>
      <c r="Y49" s="11"/>
      <c r="Z49" s="9"/>
      <c r="AA49" s="11">
        <v>823.04</v>
      </c>
      <c r="AB49" s="11">
        <v>24.94</v>
      </c>
      <c r="AC49" s="9">
        <f t="shared" si="21"/>
        <v>0.31995865184</v>
      </c>
      <c r="AD49" s="11"/>
      <c r="AE49" s="11"/>
      <c r="AF49" s="9"/>
      <c r="AG49" s="11"/>
      <c r="AH49" s="11"/>
      <c r="AI49" s="9"/>
      <c r="AJ49" s="11"/>
      <c r="AK49" s="11"/>
      <c r="AL49" s="9"/>
      <c r="AM49" s="11"/>
      <c r="AN49" s="11"/>
      <c r="AO49" s="9"/>
      <c r="AP49" s="11"/>
      <c r="AQ49" s="11"/>
      <c r="AR49" s="9"/>
      <c r="AS49" s="11"/>
      <c r="AT49" s="11"/>
      <c r="AU49" s="9"/>
      <c r="AV49" s="11"/>
      <c r="AW49" s="11"/>
      <c r="AX49" s="9"/>
      <c r="AY49" s="11"/>
      <c r="AZ49" s="11"/>
      <c r="BA49" s="9"/>
      <c r="BB49" s="11"/>
      <c r="BC49" s="11"/>
      <c r="BD49" s="9"/>
      <c r="BE49" s="11"/>
      <c r="BF49" s="11"/>
      <c r="BG49" s="9"/>
      <c r="BH49" s="11"/>
      <c r="BI49" s="11"/>
      <c r="BJ49" s="9"/>
    </row>
    <row r="50" spans="3:62" x14ac:dyDescent="0.2">
      <c r="C50" s="11"/>
      <c r="D50" s="11"/>
      <c r="E50" s="9"/>
      <c r="F50" s="11"/>
      <c r="G50" s="11"/>
      <c r="H50" s="9"/>
      <c r="I50" s="11"/>
      <c r="J50" s="11"/>
      <c r="K50" s="9"/>
      <c r="L50" s="11"/>
      <c r="M50" s="11"/>
      <c r="N50" s="9"/>
      <c r="O50" s="11"/>
      <c r="P50" s="11"/>
      <c r="Q50" s="9"/>
      <c r="R50" s="11"/>
      <c r="S50" s="11"/>
      <c r="T50" s="9"/>
      <c r="W50" s="9"/>
      <c r="X50" s="11"/>
      <c r="Y50" s="11"/>
      <c r="Z50" s="9"/>
      <c r="AA50" s="11">
        <v>917.09</v>
      </c>
      <c r="AB50" s="11">
        <v>29.94</v>
      </c>
      <c r="AC50" s="9">
        <f t="shared" si="21"/>
        <v>0.51380173595250012</v>
      </c>
      <c r="AD50" s="11"/>
      <c r="AE50" s="11"/>
      <c r="AF50" s="9"/>
      <c r="AG50" s="11"/>
      <c r="AH50" s="11"/>
      <c r="AI50" s="9"/>
      <c r="AJ50" s="11"/>
      <c r="AK50" s="11"/>
      <c r="AL50" s="9"/>
      <c r="AM50" s="11"/>
      <c r="AN50" s="11"/>
      <c r="AO50" s="9"/>
      <c r="AP50" s="11"/>
      <c r="AQ50" s="11"/>
      <c r="AR50" s="9"/>
      <c r="AS50" s="11"/>
      <c r="AT50" s="11"/>
      <c r="AU50" s="9"/>
      <c r="AV50" s="11"/>
      <c r="AW50" s="11"/>
      <c r="AX50" s="9"/>
      <c r="AY50" s="11"/>
      <c r="AZ50" s="11"/>
      <c r="BA50" s="9"/>
      <c r="BB50" s="11"/>
      <c r="BC50" s="11"/>
      <c r="BD50" s="9"/>
      <c r="BE50" s="11"/>
      <c r="BF50" s="11"/>
      <c r="BG50" s="9"/>
      <c r="BH50" s="11"/>
      <c r="BI50" s="11"/>
      <c r="BJ50" s="9"/>
    </row>
    <row r="51" spans="3:62" x14ac:dyDescent="0.2">
      <c r="E51" s="9"/>
      <c r="F51" s="11"/>
      <c r="G51" s="11"/>
      <c r="H51" s="9"/>
      <c r="K51" s="9"/>
      <c r="N51" s="9"/>
      <c r="Q51" s="9"/>
      <c r="T51" s="9"/>
      <c r="W51" s="9"/>
      <c r="Z51" s="9"/>
      <c r="AA51" s="11">
        <v>968.06</v>
      </c>
      <c r="AB51" s="11">
        <v>35.229999999999997</v>
      </c>
      <c r="AC51" s="9">
        <f t="shared" si="21"/>
        <v>0.7509440477337499</v>
      </c>
      <c r="AF51" s="9"/>
      <c r="AI51" s="9"/>
      <c r="AL51" s="9"/>
      <c r="AO51" s="9"/>
      <c r="AR51" s="9"/>
      <c r="AU51" s="9"/>
      <c r="AX51" s="9"/>
      <c r="BA51" s="9"/>
      <c r="BD51" s="9"/>
      <c r="BG51" s="9"/>
      <c r="BJ51" s="9"/>
    </row>
    <row r="52" spans="3:62" x14ac:dyDescent="0.2">
      <c r="E52" s="9"/>
      <c r="F52" s="11"/>
      <c r="G52" s="11"/>
      <c r="H52" s="9"/>
      <c r="K52" s="9"/>
      <c r="N52" s="9"/>
      <c r="Q52" s="9"/>
      <c r="T52" s="9"/>
      <c r="W52" s="9"/>
      <c r="Z52" s="9"/>
      <c r="AA52" s="11">
        <v>879.41</v>
      </c>
      <c r="AB52" s="11">
        <v>28.25</v>
      </c>
      <c r="AC52" s="9">
        <f t="shared" si="21"/>
        <v>0.43864008945312505</v>
      </c>
      <c r="AF52" s="9"/>
      <c r="AI52" s="9"/>
      <c r="AL52" s="9"/>
      <c r="AO52" s="9"/>
      <c r="AR52" s="9"/>
      <c r="AU52" s="9"/>
      <c r="AX52" s="9"/>
      <c r="BA52" s="9"/>
      <c r="BD52" s="9"/>
      <c r="BG52" s="9"/>
      <c r="BJ52" s="9"/>
    </row>
    <row r="53" spans="3:62" x14ac:dyDescent="0.2">
      <c r="E53" s="9"/>
      <c r="H53" s="9"/>
      <c r="K53" s="9"/>
      <c r="N53" s="9"/>
      <c r="Q53" s="9"/>
      <c r="T53" s="9"/>
      <c r="W53" s="9"/>
      <c r="Z53" s="9"/>
      <c r="AA53" s="11">
        <v>672.86</v>
      </c>
      <c r="AB53" s="11">
        <v>17.39</v>
      </c>
      <c r="AC53" s="9">
        <f t="shared" si="21"/>
        <v>0.12717562850375003</v>
      </c>
      <c r="AF53" s="9"/>
      <c r="AI53" s="9"/>
      <c r="AL53" s="9"/>
      <c r="AO53" s="9"/>
      <c r="AR53" s="9"/>
      <c r="AU53" s="9"/>
      <c r="AX53" s="9"/>
      <c r="BA53" s="9"/>
      <c r="BD53" s="9"/>
      <c r="BG53" s="9"/>
      <c r="BJ53" s="9"/>
    </row>
    <row r="54" spans="3:62" x14ac:dyDescent="0.2">
      <c r="E54" s="9"/>
      <c r="H54" s="9"/>
      <c r="K54" s="9"/>
      <c r="N54" s="9"/>
      <c r="Q54" s="9"/>
      <c r="T54" s="9"/>
      <c r="W54" s="9"/>
      <c r="Z54" s="9"/>
      <c r="AA54" s="11">
        <v>866.11</v>
      </c>
      <c r="AB54" s="11">
        <v>25.6</v>
      </c>
      <c r="AC54" s="9">
        <f t="shared" si="21"/>
        <v>0.35475865600000006</v>
      </c>
      <c r="AF54" s="9"/>
      <c r="AI54" s="9"/>
      <c r="AL54" s="9"/>
      <c r="AO54" s="9"/>
      <c r="AR54" s="9"/>
      <c r="AU54" s="9"/>
      <c r="AX54" s="9"/>
      <c r="BA54" s="9"/>
      <c r="BD54" s="9"/>
      <c r="BG54" s="9"/>
      <c r="BJ54" s="9"/>
    </row>
    <row r="55" spans="3:62" x14ac:dyDescent="0.2">
      <c r="E55" s="9"/>
      <c r="H55" s="9"/>
      <c r="K55" s="9"/>
      <c r="N55" s="9"/>
      <c r="Q55" s="9"/>
      <c r="T55" s="9"/>
      <c r="W55" s="9"/>
      <c r="Z55" s="9"/>
      <c r="AA55" s="11">
        <v>487.42</v>
      </c>
      <c r="AB55" s="11">
        <v>17.899999999999999</v>
      </c>
      <c r="AC55" s="9">
        <f t="shared" si="21"/>
        <v>9.7608901374999987E-2</v>
      </c>
      <c r="AF55" s="9"/>
      <c r="AI55" s="9"/>
      <c r="AL55" s="9"/>
      <c r="AO55" s="9"/>
      <c r="AR55" s="9"/>
      <c r="AU55" s="9"/>
      <c r="AX55" s="9"/>
      <c r="BA55" s="9"/>
      <c r="BD55" s="9"/>
      <c r="BG55" s="9"/>
      <c r="BJ55" s="9"/>
    </row>
    <row r="56" spans="3:62" x14ac:dyDescent="0.2">
      <c r="E56" s="9"/>
      <c r="H56" s="9"/>
      <c r="K56" s="9"/>
      <c r="N56" s="9"/>
      <c r="Q56" s="9"/>
      <c r="T56" s="9"/>
      <c r="W56" s="9"/>
      <c r="Z56" s="9"/>
      <c r="AA56" s="11">
        <v>717.69</v>
      </c>
      <c r="AB56" s="11">
        <v>27.84</v>
      </c>
      <c r="AC56" s="9">
        <f t="shared" si="21"/>
        <v>0.34766051904</v>
      </c>
      <c r="AF56" s="9"/>
      <c r="AI56" s="9"/>
      <c r="AL56" s="9"/>
      <c r="AO56" s="9"/>
      <c r="AR56" s="9"/>
      <c r="AU56" s="9"/>
      <c r="AX56" s="9"/>
      <c r="BA56" s="9"/>
      <c r="BD56" s="9"/>
      <c r="BG56" s="9"/>
      <c r="BJ56" s="9"/>
    </row>
    <row r="57" spans="3:62" x14ac:dyDescent="0.2">
      <c r="E57" s="9"/>
      <c r="H57" s="9"/>
      <c r="K57" s="9"/>
      <c r="N57" s="9"/>
      <c r="Q57" s="9"/>
      <c r="T57" s="9"/>
      <c r="W57" s="9"/>
      <c r="Z57" s="9"/>
      <c r="AA57" s="10">
        <v>848</v>
      </c>
      <c r="AB57" s="10">
        <v>25.54</v>
      </c>
      <c r="AC57" s="9">
        <f t="shared" si="21"/>
        <v>0.34571454800000001</v>
      </c>
      <c r="AF57" s="9"/>
      <c r="AI57" s="9"/>
      <c r="AL57" s="9"/>
      <c r="AO57" s="9"/>
      <c r="AR57" s="9"/>
      <c r="AU57" s="9"/>
      <c r="AX57" s="9"/>
      <c r="BA57" s="9"/>
      <c r="BD57" s="9"/>
      <c r="BG57" s="9"/>
      <c r="BJ57" s="9"/>
    </row>
    <row r="58" spans="3:62" x14ac:dyDescent="0.2">
      <c r="E58" s="9"/>
      <c r="H58" s="9"/>
      <c r="K58" s="9"/>
      <c r="N58" s="9"/>
      <c r="Q58" s="9"/>
      <c r="T58" s="9"/>
      <c r="W58" s="9"/>
      <c r="Z58" s="9"/>
      <c r="AC58" s="9"/>
      <c r="AF58" s="9"/>
      <c r="AI58" s="9"/>
      <c r="AL58" s="9"/>
      <c r="AO58" s="9"/>
      <c r="AR58" s="9"/>
      <c r="AU58" s="9"/>
      <c r="AX58" s="9"/>
      <c r="BA58" s="9"/>
      <c r="BD58" s="9"/>
      <c r="BG58" s="9"/>
      <c r="BJ58" s="9"/>
    </row>
    <row r="59" spans="3:62" x14ac:dyDescent="0.2">
      <c r="E59" s="9"/>
      <c r="H59" s="9"/>
      <c r="K59" s="9"/>
      <c r="N59" s="9"/>
      <c r="Q59" s="9"/>
      <c r="T59" s="9"/>
      <c r="W59" s="9"/>
      <c r="Z59" s="9"/>
      <c r="AC59" s="9"/>
      <c r="AF59" s="9"/>
      <c r="AI59" s="9"/>
      <c r="AL59" s="9"/>
      <c r="AO59" s="9"/>
      <c r="AR59" s="9"/>
      <c r="AU59" s="9"/>
      <c r="AX59" s="9"/>
      <c r="BA59" s="9"/>
      <c r="BD59" s="9"/>
      <c r="BG59" s="9"/>
      <c r="BJ59" s="9"/>
    </row>
    <row r="60" spans="3:62" x14ac:dyDescent="0.2">
      <c r="E60" s="9"/>
      <c r="H60" s="9"/>
      <c r="K60" s="9"/>
      <c r="N60" s="9"/>
      <c r="Q60" s="9"/>
      <c r="T60" s="9"/>
      <c r="W60" s="9"/>
      <c r="Z60" s="9"/>
      <c r="AC60" s="9"/>
      <c r="AF60" s="9"/>
      <c r="AI60" s="9"/>
      <c r="AL60" s="9"/>
      <c r="AO60" s="9"/>
      <c r="AR60" s="9"/>
      <c r="AU60" s="9"/>
      <c r="AX60" s="9"/>
      <c r="BA60" s="9"/>
      <c r="BD60" s="9"/>
      <c r="BG60" s="9"/>
      <c r="BJ60" s="9"/>
    </row>
    <row r="61" spans="3:62" x14ac:dyDescent="0.2">
      <c r="E61" s="9"/>
      <c r="H61" s="9"/>
      <c r="K61" s="9"/>
      <c r="N61" s="9"/>
      <c r="Q61" s="9"/>
      <c r="T61" s="9"/>
      <c r="W61" s="9"/>
      <c r="Z61" s="9"/>
      <c r="AC61" s="9"/>
      <c r="AF61" s="9"/>
      <c r="AI61" s="9"/>
      <c r="AL61" s="9"/>
      <c r="AO61" s="9"/>
      <c r="AR61" s="9"/>
      <c r="AU61" s="9"/>
      <c r="AX61" s="9"/>
      <c r="BA61" s="9"/>
      <c r="BD61" s="9"/>
      <c r="BG61" s="9"/>
      <c r="BJ61" s="9"/>
    </row>
    <row r="62" spans="3:62" x14ac:dyDescent="0.2">
      <c r="E62" s="9"/>
      <c r="H62" s="9"/>
      <c r="K62" s="9"/>
      <c r="N62" s="9"/>
      <c r="Q62" s="9"/>
      <c r="T62" s="9"/>
      <c r="W62" s="9"/>
      <c r="Z62" s="9"/>
      <c r="AC62" s="9"/>
      <c r="AF62" s="9"/>
      <c r="AI62" s="9"/>
      <c r="AL62" s="9"/>
      <c r="AO62" s="9"/>
      <c r="AR62" s="9"/>
      <c r="AU62" s="9"/>
      <c r="AX62" s="9"/>
      <c r="BA62" s="9"/>
      <c r="BD62" s="9"/>
      <c r="BG62" s="9"/>
      <c r="BJ62" s="9"/>
    </row>
    <row r="63" spans="3:62" x14ac:dyDescent="0.2">
      <c r="E63" s="9"/>
      <c r="H63" s="9"/>
      <c r="K63" s="9"/>
      <c r="N63" s="9"/>
      <c r="Q63" s="9"/>
      <c r="T63" s="9"/>
      <c r="W63" s="9"/>
      <c r="Z63" s="9"/>
      <c r="AC63" s="9"/>
      <c r="AF63" s="9"/>
      <c r="AI63" s="9"/>
      <c r="AL63" s="9"/>
      <c r="AO63" s="9"/>
      <c r="AR63" s="9"/>
      <c r="AU63" s="9"/>
      <c r="AX63" s="9"/>
      <c r="BA63" s="9"/>
      <c r="BD63" s="9"/>
      <c r="BG63" s="9"/>
      <c r="BJ63" s="9"/>
    </row>
    <row r="64" spans="3:62" x14ac:dyDescent="0.2">
      <c r="E64" s="9"/>
      <c r="H64" s="9"/>
      <c r="K64" s="9"/>
      <c r="N64" s="9"/>
      <c r="Q64" s="9"/>
      <c r="T64" s="9"/>
      <c r="W64" s="9"/>
      <c r="Z64" s="9"/>
      <c r="AC64" s="9"/>
      <c r="AF64" s="9"/>
      <c r="AI64" s="9"/>
      <c r="AL64" s="9"/>
      <c r="AO64" s="9"/>
      <c r="AR64" s="9"/>
      <c r="AU64" s="9"/>
      <c r="AX64" s="9"/>
      <c r="BA64" s="9"/>
      <c r="BD64" s="9"/>
      <c r="BG64" s="9"/>
      <c r="BJ64" s="9"/>
    </row>
    <row r="65" spans="5:62" x14ac:dyDescent="0.2">
      <c r="E65" s="9"/>
      <c r="H65" s="9"/>
      <c r="K65" s="9"/>
      <c r="N65" s="9"/>
      <c r="Q65" s="9"/>
      <c r="T65" s="9"/>
      <c r="W65" s="9"/>
      <c r="Z65" s="9"/>
      <c r="AC65" s="9"/>
      <c r="AF65" s="9"/>
      <c r="AI65" s="9"/>
      <c r="AL65" s="9"/>
      <c r="AO65" s="9"/>
      <c r="AR65" s="9"/>
      <c r="AU65" s="9"/>
      <c r="AX65" s="9"/>
      <c r="BA65" s="9"/>
      <c r="BD65" s="9"/>
      <c r="BG65" s="9"/>
      <c r="BJ65" s="9"/>
    </row>
    <row r="66" spans="5:62" x14ac:dyDescent="0.2">
      <c r="E66" s="9"/>
      <c r="H66" s="9"/>
      <c r="K66" s="9"/>
      <c r="N66" s="9"/>
      <c r="Q66" s="9"/>
      <c r="T66" s="9"/>
      <c r="W66" s="9"/>
      <c r="Z66" s="9"/>
      <c r="AC66" s="9"/>
      <c r="AF66" s="9"/>
      <c r="AI66" s="9"/>
      <c r="AL66" s="9"/>
      <c r="AO66" s="9"/>
      <c r="AR66" s="9"/>
      <c r="AU66" s="9"/>
      <c r="AX66" s="9"/>
      <c r="BA66" s="9"/>
      <c r="BD66" s="9"/>
      <c r="BG66" s="9"/>
      <c r="BJ66" s="9"/>
    </row>
    <row r="67" spans="5:62" x14ac:dyDescent="0.2">
      <c r="E67" s="9"/>
      <c r="H67" s="9"/>
      <c r="K67" s="9"/>
      <c r="N67" s="9"/>
      <c r="Q67" s="9"/>
      <c r="T67" s="9"/>
      <c r="W67" s="9"/>
      <c r="Z67" s="9"/>
      <c r="AC67" s="9"/>
      <c r="AF67" s="9"/>
      <c r="AI67" s="9"/>
      <c r="AL67" s="9"/>
      <c r="AO67" s="9"/>
      <c r="AR67" s="9"/>
      <c r="AU67" s="9"/>
      <c r="AX67" s="9"/>
      <c r="BA67" s="9"/>
      <c r="BD67" s="9"/>
      <c r="BG67" s="9"/>
      <c r="BJ67" s="9"/>
    </row>
    <row r="68" spans="5:62" x14ac:dyDescent="0.2">
      <c r="E68" s="9"/>
      <c r="H68" s="9"/>
      <c r="K68" s="9"/>
      <c r="N68" s="9"/>
      <c r="Q68" s="9"/>
      <c r="T68" s="9"/>
      <c r="W68" s="9"/>
      <c r="Z68" s="9"/>
      <c r="AC68" s="9"/>
      <c r="AF68" s="9"/>
      <c r="AI68" s="9"/>
      <c r="AL68" s="9"/>
      <c r="AO68" s="9"/>
      <c r="AR68" s="9"/>
      <c r="AU68" s="9"/>
      <c r="AX68" s="9"/>
      <c r="BA68" s="9"/>
      <c r="BD68" s="9"/>
      <c r="BG68" s="9"/>
      <c r="BJ68" s="9"/>
    </row>
    <row r="69" spans="5:62" x14ac:dyDescent="0.2">
      <c r="E69" s="9"/>
      <c r="H69" s="9"/>
      <c r="K69" s="9"/>
      <c r="N69" s="9"/>
      <c r="Q69" s="9"/>
      <c r="T69" s="9"/>
      <c r="W69" s="9"/>
      <c r="Z69" s="9"/>
      <c r="AC69" s="9"/>
      <c r="AF69" s="9"/>
      <c r="AI69" s="9"/>
      <c r="AL69" s="9"/>
      <c r="AO69" s="9"/>
      <c r="AR69" s="9"/>
      <c r="AU69" s="9"/>
      <c r="AX69" s="9"/>
      <c r="BA69" s="9"/>
      <c r="BD69" s="9"/>
      <c r="BG69" s="9"/>
      <c r="BJ69" s="9"/>
    </row>
    <row r="70" spans="5:62" x14ac:dyDescent="0.2">
      <c r="E70" s="9"/>
      <c r="H70" s="9"/>
      <c r="K70" s="9"/>
      <c r="N70" s="9"/>
      <c r="Q70" s="9"/>
      <c r="T70" s="9"/>
      <c r="W70" s="9"/>
      <c r="Z70" s="9"/>
      <c r="AC70" s="9"/>
      <c r="AF70" s="9"/>
      <c r="AI70" s="9"/>
      <c r="AL70" s="9"/>
      <c r="AO70" s="9"/>
      <c r="AR70" s="9"/>
      <c r="AU70" s="9"/>
      <c r="AX70" s="9"/>
      <c r="BA70" s="9"/>
      <c r="BD70" s="9"/>
      <c r="BG70" s="9"/>
      <c r="BJ70" s="9"/>
    </row>
    <row r="71" spans="5:62" x14ac:dyDescent="0.2">
      <c r="E71" s="9"/>
      <c r="H71" s="9"/>
      <c r="K71" s="9"/>
      <c r="N71" s="9"/>
      <c r="Q71" s="9"/>
      <c r="T71" s="9"/>
      <c r="W71" s="9"/>
      <c r="Z71" s="9"/>
      <c r="AC71" s="9"/>
      <c r="AF71" s="9"/>
      <c r="AI71" s="9"/>
      <c r="AL71" s="9"/>
      <c r="AO71" s="9"/>
      <c r="AR71" s="9"/>
      <c r="AU71" s="9"/>
      <c r="AX71" s="9"/>
      <c r="BA71" s="9"/>
      <c r="BD71" s="9"/>
      <c r="BG71" s="9"/>
      <c r="BJ71" s="9"/>
    </row>
    <row r="72" spans="5:62" x14ac:dyDescent="0.2">
      <c r="E72" s="9"/>
      <c r="H72" s="9"/>
      <c r="K72" s="9"/>
      <c r="N72" s="9"/>
      <c r="Q72" s="9"/>
      <c r="T72" s="9"/>
      <c r="W72" s="9"/>
      <c r="Z72" s="9"/>
      <c r="AC72" s="9"/>
      <c r="AF72" s="9"/>
      <c r="AI72" s="9"/>
      <c r="AL72" s="9"/>
      <c r="AO72" s="9"/>
      <c r="AR72" s="9"/>
      <c r="AU72" s="9"/>
      <c r="AX72" s="9"/>
      <c r="BA72" s="9"/>
      <c r="BD72" s="9"/>
      <c r="BG72" s="9"/>
      <c r="BJ72" s="9"/>
    </row>
    <row r="73" spans="5:62" x14ac:dyDescent="0.2">
      <c r="E73" s="9"/>
      <c r="H73" s="9"/>
      <c r="K73" s="9"/>
      <c r="N73" s="9"/>
      <c r="Q73" s="9"/>
      <c r="T73" s="9"/>
      <c r="W73" s="9"/>
      <c r="Z73" s="9"/>
      <c r="AC73" s="9"/>
      <c r="AF73" s="9"/>
      <c r="AI73" s="9"/>
      <c r="AL73" s="9"/>
      <c r="AO73" s="9"/>
      <c r="AR73" s="9"/>
      <c r="AU73" s="9"/>
      <c r="AX73" s="9"/>
      <c r="BA73" s="9"/>
      <c r="BD73" s="9"/>
      <c r="BG73" s="9"/>
      <c r="BJ73" s="9"/>
    </row>
    <row r="74" spans="5:62" x14ac:dyDescent="0.2">
      <c r="E74" s="9"/>
      <c r="H74" s="9"/>
      <c r="K74" s="9"/>
      <c r="N74" s="9"/>
      <c r="Q74" s="9"/>
      <c r="T74" s="9"/>
      <c r="W74" s="9"/>
      <c r="Z74" s="9"/>
      <c r="AC74" s="9"/>
      <c r="AF74" s="9"/>
      <c r="AI74" s="9"/>
      <c r="AL74" s="9"/>
      <c r="AO74" s="9"/>
      <c r="AR74" s="9"/>
      <c r="AU74" s="9"/>
      <c r="AX74" s="9"/>
      <c r="BA74" s="9"/>
      <c r="BD74" s="9"/>
      <c r="BG74" s="9"/>
      <c r="BJ74" s="9"/>
    </row>
    <row r="75" spans="5:62" x14ac:dyDescent="0.2">
      <c r="E75" s="9"/>
      <c r="H75" s="9"/>
      <c r="K75" s="9"/>
      <c r="N75" s="9"/>
      <c r="Q75" s="9"/>
      <c r="T75" s="9"/>
      <c r="W75" s="9"/>
      <c r="Z75" s="9"/>
      <c r="AC75" s="9"/>
      <c r="AF75" s="9"/>
      <c r="AI75" s="9"/>
      <c r="AL75" s="9"/>
      <c r="AO75" s="9"/>
      <c r="AR75" s="9"/>
      <c r="AU75" s="9"/>
      <c r="AX75" s="9"/>
      <c r="BA75" s="9"/>
      <c r="BD75" s="9"/>
      <c r="BG75" s="9"/>
      <c r="BJ75" s="9"/>
    </row>
    <row r="76" spans="5:62" x14ac:dyDescent="0.2">
      <c r="E76" s="9"/>
      <c r="H76" s="9"/>
      <c r="K76" s="9"/>
      <c r="N76" s="9"/>
      <c r="Q76" s="9"/>
      <c r="T76" s="9"/>
      <c r="W76" s="9"/>
      <c r="Z76" s="9"/>
      <c r="AC76" s="9"/>
      <c r="AF76" s="9"/>
      <c r="AI76" s="9"/>
      <c r="AL76" s="9"/>
      <c r="AO76" s="9"/>
      <c r="AR76" s="9"/>
      <c r="AU76" s="9"/>
      <c r="AX76" s="9"/>
      <c r="BA76" s="9"/>
      <c r="BD76" s="9"/>
      <c r="BG76" s="9"/>
      <c r="BJ76" s="9"/>
    </row>
    <row r="77" spans="5:62" x14ac:dyDescent="0.2">
      <c r="E77" s="9"/>
      <c r="H77" s="9"/>
      <c r="K77" s="9"/>
      <c r="N77" s="9"/>
      <c r="Q77" s="9"/>
      <c r="T77" s="9"/>
      <c r="W77" s="9"/>
      <c r="Z77" s="9"/>
      <c r="AC77" s="9"/>
      <c r="AF77" s="9"/>
      <c r="AI77" s="9"/>
      <c r="AL77" s="9"/>
      <c r="AO77" s="9"/>
      <c r="AR77" s="9"/>
      <c r="AU77" s="9"/>
      <c r="AX77" s="9"/>
      <c r="BA77" s="9"/>
      <c r="BD77" s="9"/>
      <c r="BG77" s="9"/>
      <c r="BJ77" s="9"/>
    </row>
    <row r="78" spans="5:62" x14ac:dyDescent="0.2">
      <c r="E78" s="9"/>
      <c r="H78" s="9"/>
      <c r="K78" s="9"/>
      <c r="N78" s="9"/>
      <c r="Q78" s="9"/>
      <c r="T78" s="9"/>
      <c r="W78" s="9"/>
      <c r="Z78" s="9"/>
      <c r="AC78" s="9"/>
      <c r="AF78" s="9"/>
      <c r="AI78" s="9"/>
      <c r="AL78" s="9"/>
      <c r="AO78" s="9"/>
      <c r="AR78" s="9"/>
      <c r="AU78" s="9"/>
      <c r="AX78" s="9"/>
      <c r="BA78" s="9"/>
      <c r="BD78" s="9"/>
      <c r="BG78" s="9"/>
      <c r="BJ78" s="9"/>
    </row>
    <row r="79" spans="5:62" x14ac:dyDescent="0.2">
      <c r="E79" s="9"/>
      <c r="H79" s="9"/>
      <c r="K79" s="9"/>
      <c r="N79" s="9"/>
      <c r="Q79" s="9"/>
      <c r="T79" s="9"/>
      <c r="W79" s="9"/>
      <c r="Z79" s="9"/>
      <c r="AC79" s="9"/>
      <c r="AF79" s="9"/>
      <c r="AI79" s="9"/>
      <c r="AL79" s="9"/>
      <c r="AO79" s="9"/>
      <c r="AR79" s="9"/>
      <c r="AU79" s="9"/>
      <c r="AX79" s="9"/>
      <c r="BA79" s="9"/>
      <c r="BD79" s="9"/>
      <c r="BG79" s="9"/>
      <c r="BJ79" s="9"/>
    </row>
    <row r="80" spans="5:62" x14ac:dyDescent="0.2">
      <c r="E80" s="9"/>
      <c r="H80" s="9"/>
      <c r="K80" s="9"/>
      <c r="N80" s="9"/>
      <c r="Q80" s="9"/>
      <c r="T80" s="9"/>
      <c r="W80" s="9"/>
      <c r="Z80" s="9"/>
      <c r="AC80" s="9"/>
      <c r="AF80" s="9"/>
      <c r="AI80" s="9"/>
      <c r="AL80" s="9"/>
      <c r="AO80" s="9"/>
      <c r="AR80" s="9"/>
      <c r="AU80" s="9"/>
      <c r="AX80" s="9"/>
      <c r="BA80" s="9"/>
      <c r="BD80" s="9"/>
      <c r="BG80" s="9"/>
      <c r="BJ80" s="9"/>
    </row>
    <row r="81" spans="5:62" x14ac:dyDescent="0.2">
      <c r="E81" s="9"/>
      <c r="H81" s="9"/>
      <c r="K81" s="9"/>
      <c r="N81" s="9"/>
      <c r="Q81" s="9"/>
      <c r="T81" s="9"/>
      <c r="W81" s="9"/>
      <c r="Z81" s="9"/>
      <c r="AC81" s="9"/>
      <c r="AF81" s="9"/>
      <c r="AI81" s="9"/>
      <c r="AL81" s="9"/>
      <c r="AO81" s="9"/>
      <c r="AR81" s="9"/>
      <c r="AU81" s="9"/>
      <c r="AX81" s="9"/>
      <c r="BA81" s="9"/>
      <c r="BD81" s="9"/>
      <c r="BG81" s="9"/>
      <c r="BJ81" s="9"/>
    </row>
    <row r="82" spans="5:62" x14ac:dyDescent="0.2">
      <c r="E82" s="9"/>
      <c r="H82" s="9"/>
      <c r="K82" s="9"/>
      <c r="N82" s="9"/>
      <c r="Q82" s="9"/>
      <c r="T82" s="9"/>
      <c r="W82" s="9"/>
      <c r="Z82" s="9"/>
      <c r="AC82" s="9"/>
      <c r="AF82" s="9"/>
      <c r="AI82" s="9"/>
      <c r="AL82" s="9"/>
      <c r="AO82" s="9"/>
      <c r="AR82" s="9"/>
      <c r="AU82" s="9"/>
      <c r="AX82" s="9"/>
      <c r="BA82" s="9"/>
      <c r="BD82" s="9"/>
      <c r="BG82" s="9"/>
      <c r="BJ82" s="9"/>
    </row>
    <row r="83" spans="5:62" x14ac:dyDescent="0.2">
      <c r="E83" s="9"/>
      <c r="H83" s="9"/>
      <c r="K83" s="9"/>
      <c r="N83" s="9"/>
      <c r="Q83" s="9"/>
      <c r="T83" s="9"/>
      <c r="W83" s="9"/>
      <c r="Z83" s="9"/>
      <c r="AC83" s="9"/>
      <c r="AF83" s="9"/>
      <c r="AI83" s="9"/>
      <c r="AL83" s="9"/>
      <c r="AO83" s="9"/>
      <c r="AR83" s="9"/>
      <c r="AU83" s="9"/>
      <c r="AX83" s="9"/>
      <c r="BA83" s="9"/>
      <c r="BD83" s="9"/>
      <c r="BG83" s="9"/>
      <c r="BJ83" s="9"/>
    </row>
    <row r="84" spans="5:62" x14ac:dyDescent="0.2">
      <c r="E84" s="9"/>
      <c r="H84" s="9"/>
      <c r="K84" s="9"/>
      <c r="N84" s="9"/>
      <c r="Q84" s="9"/>
      <c r="T84" s="9"/>
      <c r="W84" s="9"/>
      <c r="Z84" s="9"/>
      <c r="AC84" s="9"/>
      <c r="AF84" s="9"/>
      <c r="AI84" s="9"/>
      <c r="AL84" s="9"/>
      <c r="AO84" s="9"/>
      <c r="AR84" s="9"/>
      <c r="AU84" s="9"/>
      <c r="AX84" s="9"/>
      <c r="BA84" s="9"/>
      <c r="BD84" s="9"/>
      <c r="BG84" s="9"/>
      <c r="BJ84" s="9"/>
    </row>
    <row r="85" spans="5:62" x14ac:dyDescent="0.2">
      <c r="E85" s="9"/>
      <c r="H85" s="9"/>
      <c r="K85" s="9"/>
      <c r="N85" s="9"/>
      <c r="Q85" s="9"/>
      <c r="T85" s="9"/>
      <c r="W85" s="9"/>
      <c r="Z85" s="9"/>
      <c r="AC85" s="9"/>
      <c r="AF85" s="9"/>
      <c r="AI85" s="9"/>
      <c r="AL85" s="9"/>
      <c r="AO85" s="9"/>
      <c r="AR85" s="9"/>
      <c r="AU85" s="9"/>
      <c r="AX85" s="9"/>
      <c r="BA85" s="9"/>
      <c r="BD85" s="9"/>
      <c r="BG85" s="9"/>
      <c r="BJ85" s="9"/>
    </row>
    <row r="86" spans="5:62" x14ac:dyDescent="0.2">
      <c r="E86" s="9"/>
      <c r="H86" s="9"/>
      <c r="K86" s="9"/>
      <c r="N86" s="9"/>
      <c r="Q86" s="9"/>
      <c r="T86" s="9"/>
      <c r="W86" s="9"/>
      <c r="Z86" s="9"/>
      <c r="AC86" s="9"/>
      <c r="AF86" s="9"/>
      <c r="AI86" s="9"/>
      <c r="AL86" s="9"/>
      <c r="AO86" s="9"/>
      <c r="AR86" s="9"/>
      <c r="AU86" s="9"/>
      <c r="AX86" s="9"/>
      <c r="BA86" s="9"/>
      <c r="BD86" s="9"/>
      <c r="BG86" s="9"/>
      <c r="BJ86" s="9"/>
    </row>
    <row r="87" spans="5:62" x14ac:dyDescent="0.2">
      <c r="E87" s="9"/>
      <c r="H87" s="9"/>
      <c r="K87" s="9"/>
      <c r="N87" s="9"/>
      <c r="Q87" s="9"/>
      <c r="T87" s="9"/>
      <c r="W87" s="9"/>
      <c r="Z87" s="9"/>
      <c r="AC87" s="9"/>
      <c r="AF87" s="9"/>
      <c r="AI87" s="9"/>
      <c r="AL87" s="9"/>
      <c r="AO87" s="9"/>
      <c r="AR87" s="9"/>
      <c r="AU87" s="9"/>
      <c r="AX87" s="9"/>
      <c r="BA87" s="9"/>
      <c r="BD87" s="9"/>
      <c r="BG87" s="9"/>
      <c r="BJ87" s="9"/>
    </row>
    <row r="88" spans="5:62" x14ac:dyDescent="0.2">
      <c r="E88" s="9"/>
      <c r="H88" s="9"/>
      <c r="K88" s="9"/>
      <c r="N88" s="9"/>
      <c r="Q88" s="9"/>
      <c r="T88" s="9"/>
      <c r="W88" s="9"/>
      <c r="Z88" s="9"/>
      <c r="AC88" s="9"/>
      <c r="AF88" s="9"/>
      <c r="AI88" s="9"/>
      <c r="AL88" s="9"/>
      <c r="AO88" s="9"/>
      <c r="AR88" s="9"/>
      <c r="AU88" s="9"/>
      <c r="AX88" s="9"/>
      <c r="BA88" s="9"/>
      <c r="BD88" s="9"/>
      <c r="BG88" s="9"/>
      <c r="BJ88" s="9"/>
    </row>
    <row r="89" spans="5:62" x14ac:dyDescent="0.2">
      <c r="E89" s="9"/>
      <c r="H89" s="9"/>
      <c r="K89" s="9"/>
      <c r="N89" s="9"/>
      <c r="Q89" s="9"/>
      <c r="T89" s="9"/>
      <c r="W89" s="9"/>
      <c r="Z89" s="9"/>
      <c r="AC89" s="9"/>
      <c r="AF89" s="9"/>
      <c r="AI89" s="9"/>
      <c r="AL89" s="9"/>
      <c r="AO89" s="9"/>
      <c r="AR89" s="9"/>
      <c r="AU89" s="9"/>
      <c r="AX89" s="9"/>
      <c r="BA89" s="9"/>
      <c r="BD89" s="9"/>
      <c r="BG89" s="9"/>
      <c r="BJ89" s="9"/>
    </row>
    <row r="90" spans="5:62" x14ac:dyDescent="0.2">
      <c r="E90" s="9"/>
      <c r="H90" s="9"/>
      <c r="K90" s="9"/>
      <c r="N90" s="9"/>
      <c r="Q90" s="9"/>
      <c r="T90" s="9"/>
      <c r="W90" s="9"/>
      <c r="Z90" s="9"/>
      <c r="AC90" s="9"/>
      <c r="AF90" s="9"/>
      <c r="AI90" s="9"/>
      <c r="AL90" s="9"/>
      <c r="AO90" s="9"/>
      <c r="AR90" s="9"/>
      <c r="AU90" s="9"/>
      <c r="AX90" s="9"/>
      <c r="BA90" s="9"/>
      <c r="BD90" s="9"/>
      <c r="BG90" s="9"/>
      <c r="BJ90" s="9"/>
    </row>
    <row r="91" spans="5:62" x14ac:dyDescent="0.2">
      <c r="E91" s="9"/>
      <c r="H91" s="9"/>
      <c r="K91" s="9"/>
      <c r="N91" s="9"/>
      <c r="Q91" s="9"/>
      <c r="T91" s="9"/>
      <c r="W91" s="9"/>
      <c r="Z91" s="9"/>
      <c r="AC91" s="9"/>
      <c r="AF91" s="9"/>
      <c r="AI91" s="9"/>
      <c r="AL91" s="9"/>
      <c r="AO91" s="9"/>
      <c r="AR91" s="9"/>
      <c r="AU91" s="9"/>
      <c r="AX91" s="9"/>
      <c r="BA91" s="9"/>
      <c r="BD91" s="9"/>
      <c r="BG91" s="9"/>
      <c r="BJ91" s="9"/>
    </row>
    <row r="92" spans="5:62" x14ac:dyDescent="0.2">
      <c r="E92" s="9"/>
      <c r="H92" s="9"/>
      <c r="K92" s="9"/>
      <c r="N92" s="9"/>
      <c r="Q92" s="9"/>
      <c r="T92" s="9"/>
      <c r="W92" s="9"/>
      <c r="Z92" s="9"/>
      <c r="AC92" s="9"/>
      <c r="AF92" s="9"/>
      <c r="AI92" s="9"/>
      <c r="AL92" s="9"/>
      <c r="AO92" s="9"/>
      <c r="AR92" s="9"/>
      <c r="AU92" s="9"/>
      <c r="AX92" s="9"/>
      <c r="BA92" s="9"/>
      <c r="BD92" s="9"/>
      <c r="BG92" s="9"/>
      <c r="BJ92" s="9"/>
    </row>
    <row r="93" spans="5:62" x14ac:dyDescent="0.2">
      <c r="E93" s="9"/>
      <c r="H93" s="9"/>
      <c r="K93" s="9"/>
      <c r="N93" s="9"/>
      <c r="Q93" s="9"/>
      <c r="T93" s="9"/>
      <c r="W93" s="9"/>
      <c r="Z93" s="9"/>
      <c r="AC93" s="9"/>
      <c r="AF93" s="9"/>
      <c r="AI93" s="9"/>
      <c r="AL93" s="9"/>
      <c r="AO93" s="9"/>
      <c r="AR93" s="9"/>
      <c r="AU93" s="9"/>
      <c r="AX93" s="9"/>
      <c r="BA93" s="9"/>
      <c r="BD93" s="9"/>
      <c r="BG93" s="9"/>
      <c r="BJ93" s="9"/>
    </row>
    <row r="94" spans="5:62" x14ac:dyDescent="0.2">
      <c r="E94" s="9"/>
      <c r="H94" s="9"/>
      <c r="K94" s="9"/>
      <c r="N94" s="9"/>
      <c r="Q94" s="9"/>
      <c r="T94" s="9"/>
      <c r="W94" s="9"/>
      <c r="Z94" s="9"/>
      <c r="AC94" s="9"/>
      <c r="AF94" s="9"/>
      <c r="AI94" s="9"/>
      <c r="AL94" s="9"/>
      <c r="AO94" s="9"/>
      <c r="AR94" s="9"/>
      <c r="AU94" s="9"/>
      <c r="AX94" s="9"/>
      <c r="BA94" s="9"/>
      <c r="BD94" s="9"/>
      <c r="BG94" s="9"/>
      <c r="BJ94" s="9"/>
    </row>
    <row r="95" spans="5:62" x14ac:dyDescent="0.2">
      <c r="E95" s="9"/>
      <c r="H95" s="9"/>
      <c r="K95" s="9"/>
      <c r="N95" s="9"/>
      <c r="Q95" s="9"/>
      <c r="T95" s="9"/>
      <c r="W95" s="9"/>
      <c r="Z95" s="9"/>
      <c r="AC95" s="9"/>
      <c r="AF95" s="9"/>
      <c r="AI95" s="9"/>
      <c r="AL95" s="9"/>
      <c r="AO95" s="9"/>
      <c r="AR95" s="9"/>
      <c r="AU95" s="9"/>
      <c r="AX95" s="9"/>
      <c r="BA95" s="9"/>
      <c r="BD95" s="9"/>
      <c r="BG95" s="9"/>
      <c r="BJ95" s="9"/>
    </row>
    <row r="96" spans="5:62" x14ac:dyDescent="0.2">
      <c r="E96" s="9"/>
      <c r="H96" s="9"/>
      <c r="K96" s="9"/>
      <c r="N96" s="9"/>
      <c r="Q96" s="9"/>
      <c r="T96" s="9"/>
      <c r="W96" s="9"/>
      <c r="Z96" s="9"/>
      <c r="AC96" s="9"/>
      <c r="AF96" s="9"/>
      <c r="AI96" s="9"/>
      <c r="AL96" s="9"/>
      <c r="AO96" s="9"/>
      <c r="AR96" s="9"/>
      <c r="AU96" s="9"/>
      <c r="AX96" s="9"/>
      <c r="BA96" s="9"/>
      <c r="BD96" s="9"/>
      <c r="BG96" s="9"/>
      <c r="BJ96" s="9"/>
    </row>
    <row r="97" spans="5:62" x14ac:dyDescent="0.2">
      <c r="E97" s="9"/>
      <c r="H97" s="9"/>
      <c r="K97" s="9"/>
      <c r="N97" s="9"/>
      <c r="Q97" s="9"/>
      <c r="T97" s="9"/>
      <c r="W97" s="9"/>
      <c r="Z97" s="9"/>
      <c r="AC97" s="9"/>
      <c r="AF97" s="9"/>
      <c r="AI97" s="9"/>
      <c r="AL97" s="9"/>
      <c r="AO97" s="9"/>
      <c r="AR97" s="9"/>
      <c r="AU97" s="9"/>
      <c r="AX97" s="9"/>
      <c r="BA97" s="9"/>
      <c r="BD97" s="9"/>
      <c r="BG97" s="9"/>
      <c r="BJ97" s="9"/>
    </row>
    <row r="98" spans="5:62" x14ac:dyDescent="0.2">
      <c r="E98" s="9"/>
      <c r="H98" s="9"/>
      <c r="K98" s="9"/>
      <c r="N98" s="9"/>
      <c r="Q98" s="9"/>
      <c r="T98" s="9"/>
      <c r="W98" s="9"/>
      <c r="Z98" s="9"/>
      <c r="AC98" s="9"/>
      <c r="AF98" s="9"/>
      <c r="AI98" s="9"/>
      <c r="AL98" s="9"/>
      <c r="AO98" s="9"/>
      <c r="AR98" s="9"/>
      <c r="AU98" s="9"/>
      <c r="AX98" s="9"/>
      <c r="BA98" s="9"/>
      <c r="BD98" s="9"/>
      <c r="BG98" s="9"/>
      <c r="BJ98" s="9"/>
    </row>
    <row r="99" spans="5:62" x14ac:dyDescent="0.2">
      <c r="E99" s="9"/>
      <c r="H99" s="9"/>
      <c r="K99" s="9"/>
      <c r="N99" s="9"/>
      <c r="Q99" s="9"/>
      <c r="T99" s="9"/>
      <c r="W99" s="9"/>
      <c r="Z99" s="9"/>
      <c r="AC99" s="9"/>
      <c r="AF99" s="9"/>
      <c r="AI99" s="9"/>
      <c r="AL99" s="9"/>
      <c r="AO99" s="9"/>
      <c r="AR99" s="9"/>
      <c r="AU99" s="9"/>
      <c r="AX99" s="9"/>
      <c r="BA99" s="9"/>
      <c r="BD99" s="9"/>
      <c r="BG99" s="9"/>
      <c r="BJ99" s="9"/>
    </row>
    <row r="100" spans="5:62" x14ac:dyDescent="0.2">
      <c r="E100" s="9"/>
      <c r="H100" s="9"/>
      <c r="K100" s="9"/>
      <c r="N100" s="9"/>
      <c r="Q100" s="9"/>
      <c r="T100" s="9"/>
      <c r="W100" s="9"/>
      <c r="Z100" s="9"/>
      <c r="AC100" s="9"/>
      <c r="AF100" s="9"/>
      <c r="AI100" s="9"/>
      <c r="AL100" s="9"/>
      <c r="AO100" s="9"/>
      <c r="AR100" s="9"/>
      <c r="AU100" s="9"/>
      <c r="AX100" s="9"/>
      <c r="BA100" s="9"/>
      <c r="BD100" s="9"/>
      <c r="BG100" s="9"/>
      <c r="BJ100" s="9"/>
    </row>
    <row r="101" spans="5:62" x14ac:dyDescent="0.2">
      <c r="E101" s="9"/>
      <c r="H101" s="9"/>
      <c r="K101" s="9"/>
      <c r="N101" s="9"/>
      <c r="Q101" s="9"/>
      <c r="T101" s="9"/>
      <c r="W101" s="9"/>
      <c r="Z101" s="9"/>
      <c r="AC101" s="9"/>
      <c r="AF101" s="9"/>
      <c r="AI101" s="9"/>
      <c r="AL101" s="9"/>
      <c r="AO101" s="9"/>
      <c r="AR101" s="9"/>
      <c r="AU101" s="9"/>
      <c r="AX101" s="9"/>
      <c r="BA101" s="9"/>
      <c r="BD101" s="9"/>
      <c r="BG101" s="9"/>
      <c r="BJ101" s="9"/>
    </row>
    <row r="102" spans="5:62" x14ac:dyDescent="0.2">
      <c r="E102" s="9"/>
      <c r="H102" s="9"/>
      <c r="K102" s="9"/>
      <c r="N102" s="9"/>
      <c r="Q102" s="9"/>
      <c r="T102" s="9"/>
      <c r="W102" s="9"/>
      <c r="Z102" s="9"/>
      <c r="AC102" s="9"/>
      <c r="AF102" s="9"/>
      <c r="AI102" s="9"/>
      <c r="AL102" s="9"/>
      <c r="AO102" s="9"/>
      <c r="AR102" s="9"/>
      <c r="AU102" s="9"/>
      <c r="AX102" s="9"/>
      <c r="BA102" s="9"/>
      <c r="BD102" s="9"/>
      <c r="BG102" s="9"/>
      <c r="BJ102" s="9"/>
    </row>
    <row r="103" spans="5:62" x14ac:dyDescent="0.2">
      <c r="E103" s="9"/>
      <c r="H103" s="9"/>
      <c r="K103" s="9"/>
      <c r="N103" s="9"/>
      <c r="Q103" s="9"/>
      <c r="T103" s="9"/>
      <c r="W103" s="9"/>
      <c r="Z103" s="9"/>
      <c r="AC103" s="9"/>
      <c r="AF103" s="9"/>
      <c r="AI103" s="9"/>
      <c r="AL103" s="9"/>
      <c r="AO103" s="9"/>
      <c r="AR103" s="9"/>
      <c r="AU103" s="9"/>
      <c r="AX103" s="9"/>
      <c r="BA103" s="9"/>
      <c r="BD103" s="9"/>
      <c r="BG103" s="9"/>
      <c r="BJ103" s="9"/>
    </row>
    <row r="104" spans="5:62" x14ac:dyDescent="0.2">
      <c r="E104" s="9"/>
      <c r="H104" s="9"/>
      <c r="K104" s="9"/>
      <c r="N104" s="9"/>
      <c r="Q104" s="9"/>
      <c r="T104" s="9"/>
      <c r="W104" s="9"/>
      <c r="Z104" s="9"/>
      <c r="AC104" s="9"/>
      <c r="AF104" s="9"/>
      <c r="AI104" s="9"/>
      <c r="AL104" s="9"/>
      <c r="AO104" s="9"/>
      <c r="AR104" s="9"/>
      <c r="AU104" s="9"/>
      <c r="AX104" s="9"/>
      <c r="BA104" s="9"/>
      <c r="BD104" s="9"/>
      <c r="BG104" s="9"/>
      <c r="BJ104" s="9"/>
    </row>
    <row r="105" spans="5:62" x14ac:dyDescent="0.2">
      <c r="E105" s="9"/>
      <c r="H105" s="9"/>
      <c r="K105" s="9"/>
      <c r="N105" s="9"/>
      <c r="Q105" s="9"/>
      <c r="T105" s="9"/>
      <c r="W105" s="9"/>
      <c r="Z105" s="9"/>
      <c r="AC105" s="9"/>
      <c r="AF105" s="9"/>
      <c r="AI105" s="9"/>
      <c r="AL105" s="9"/>
      <c r="AO105" s="9"/>
      <c r="AR105" s="9"/>
      <c r="AU105" s="9"/>
      <c r="AX105" s="9"/>
      <c r="BA105" s="9"/>
      <c r="BD105" s="9"/>
      <c r="BG105" s="9"/>
      <c r="BJ105" s="9"/>
    </row>
    <row r="106" spans="5:62" x14ac:dyDescent="0.2">
      <c r="E106" s="9"/>
      <c r="H106" s="9"/>
      <c r="K106" s="9"/>
      <c r="N106" s="9"/>
      <c r="Q106" s="9"/>
      <c r="T106" s="9"/>
      <c r="W106" s="9"/>
      <c r="Z106" s="9"/>
      <c r="AC106" s="9"/>
      <c r="AF106" s="9"/>
      <c r="AI106" s="9"/>
      <c r="AL106" s="9"/>
      <c r="AO106" s="9"/>
      <c r="AR106" s="9"/>
      <c r="AU106" s="9"/>
      <c r="AX106" s="9"/>
      <c r="BA106" s="9"/>
      <c r="BD106" s="9"/>
      <c r="BG106" s="9"/>
      <c r="BJ106" s="9"/>
    </row>
    <row r="107" spans="5:62" x14ac:dyDescent="0.2">
      <c r="E107" s="9"/>
      <c r="H107" s="9"/>
      <c r="K107" s="9"/>
      <c r="N107" s="9"/>
      <c r="Q107" s="9"/>
      <c r="T107" s="9"/>
      <c r="W107" s="9"/>
      <c r="Z107" s="9"/>
      <c r="AC107" s="9"/>
      <c r="AF107" s="9"/>
      <c r="AI107" s="9"/>
      <c r="AL107" s="9"/>
      <c r="AO107" s="9"/>
      <c r="AR107" s="9"/>
      <c r="AU107" s="9"/>
      <c r="AX107" s="9"/>
      <c r="BA107" s="9"/>
      <c r="BD107" s="9"/>
      <c r="BG107" s="9"/>
      <c r="BJ107" s="9"/>
    </row>
    <row r="108" spans="5:62" x14ac:dyDescent="0.2">
      <c r="E108" s="9"/>
      <c r="H108" s="9"/>
      <c r="K108" s="9"/>
      <c r="N108" s="9"/>
      <c r="Q108" s="9"/>
      <c r="T108" s="9"/>
      <c r="W108" s="9"/>
      <c r="Z108" s="9"/>
      <c r="AC108" s="9"/>
      <c r="AF108" s="9"/>
      <c r="AI108" s="9"/>
      <c r="AL108" s="9"/>
      <c r="AO108" s="9"/>
      <c r="AR108" s="9"/>
      <c r="AU108" s="9"/>
      <c r="AX108" s="9"/>
      <c r="BA108" s="9"/>
      <c r="BD108" s="9"/>
      <c r="BG108" s="9"/>
      <c r="BJ108" s="9"/>
    </row>
    <row r="109" spans="5:62" x14ac:dyDescent="0.2">
      <c r="E109" s="9"/>
      <c r="H109" s="9"/>
      <c r="K109" s="9"/>
      <c r="N109" s="9"/>
      <c r="Q109" s="9"/>
      <c r="T109" s="9"/>
      <c r="W109" s="9"/>
      <c r="Z109" s="9"/>
      <c r="AC109" s="9"/>
      <c r="AF109" s="9"/>
      <c r="AI109" s="9"/>
      <c r="AL109" s="9"/>
      <c r="AO109" s="9"/>
      <c r="AR109" s="9"/>
      <c r="AU109" s="9"/>
      <c r="AX109" s="9"/>
      <c r="BA109" s="9"/>
      <c r="BD109" s="9"/>
      <c r="BG109" s="9"/>
      <c r="BJ109" s="9"/>
    </row>
    <row r="110" spans="5:62" x14ac:dyDescent="0.2">
      <c r="E110" s="9"/>
      <c r="H110" s="9"/>
      <c r="K110" s="9"/>
      <c r="N110" s="9"/>
      <c r="Q110" s="9"/>
      <c r="T110" s="9"/>
      <c r="W110" s="9"/>
      <c r="Z110" s="9"/>
      <c r="AC110" s="9"/>
      <c r="AF110" s="9"/>
      <c r="AI110" s="9"/>
      <c r="AL110" s="9"/>
      <c r="AO110" s="9"/>
      <c r="AR110" s="9"/>
      <c r="AU110" s="9"/>
      <c r="AX110" s="9"/>
      <c r="BA110" s="9"/>
      <c r="BD110" s="9"/>
      <c r="BG110" s="9"/>
      <c r="BJ110" s="9"/>
    </row>
    <row r="111" spans="5:62" x14ac:dyDescent="0.2">
      <c r="E111" s="9"/>
      <c r="H111" s="9"/>
      <c r="K111" s="9"/>
      <c r="N111" s="9"/>
      <c r="Q111" s="9"/>
      <c r="T111" s="9"/>
      <c r="W111" s="9"/>
      <c r="Z111" s="9"/>
      <c r="AC111" s="9"/>
      <c r="AF111" s="9"/>
      <c r="AI111" s="9"/>
      <c r="AL111" s="9"/>
      <c r="AO111" s="9"/>
      <c r="AR111" s="9"/>
      <c r="AU111" s="9"/>
      <c r="AX111" s="9"/>
      <c r="BA111" s="9"/>
      <c r="BD111" s="9"/>
      <c r="BG111" s="9"/>
      <c r="BJ111" s="9"/>
    </row>
    <row r="112" spans="5:62" x14ac:dyDescent="0.2">
      <c r="E112" s="9"/>
      <c r="H112" s="9"/>
      <c r="K112" s="9"/>
      <c r="N112" s="9"/>
      <c r="Q112" s="9"/>
      <c r="T112" s="9"/>
      <c r="W112" s="9"/>
      <c r="Z112" s="9"/>
      <c r="AC112" s="9"/>
      <c r="AF112" s="9"/>
      <c r="AI112" s="9"/>
      <c r="AL112" s="9"/>
      <c r="AO112" s="9"/>
      <c r="AR112" s="9"/>
      <c r="AU112" s="9"/>
      <c r="AX112" s="9"/>
      <c r="BA112" s="9"/>
      <c r="BD112" s="9"/>
      <c r="BG112" s="9"/>
      <c r="BJ112" s="9"/>
    </row>
    <row r="113" spans="5:62" x14ac:dyDescent="0.2">
      <c r="E113" s="9"/>
      <c r="H113" s="9"/>
      <c r="K113" s="9"/>
      <c r="N113" s="9"/>
      <c r="Q113" s="9"/>
      <c r="T113" s="9"/>
      <c r="W113" s="9"/>
      <c r="Z113" s="9"/>
      <c r="AC113" s="9"/>
      <c r="AF113" s="9"/>
      <c r="AI113" s="9"/>
      <c r="AL113" s="9"/>
      <c r="AO113" s="9"/>
      <c r="AR113" s="9"/>
      <c r="AU113" s="9"/>
      <c r="AX113" s="9"/>
      <c r="BA113" s="9"/>
      <c r="BD113" s="9"/>
      <c r="BG113" s="9"/>
      <c r="BJ113" s="9"/>
    </row>
    <row r="114" spans="5:62" x14ac:dyDescent="0.2">
      <c r="E114" s="9"/>
      <c r="H114" s="9"/>
      <c r="K114" s="9"/>
      <c r="N114" s="9"/>
      <c r="Q114" s="9"/>
      <c r="T114" s="9"/>
      <c r="W114" s="9"/>
      <c r="Z114" s="9"/>
      <c r="AC114" s="9"/>
      <c r="AF114" s="9"/>
      <c r="AI114" s="9"/>
      <c r="AL114" s="9"/>
      <c r="AO114" s="9"/>
      <c r="AR114" s="9"/>
      <c r="AU114" s="9"/>
      <c r="AX114" s="9"/>
      <c r="BA114" s="9"/>
      <c r="BD114" s="9"/>
      <c r="BG114" s="9"/>
      <c r="BJ114" s="9"/>
    </row>
    <row r="115" spans="5:62" x14ac:dyDescent="0.2">
      <c r="E115" s="9"/>
      <c r="H115" s="9"/>
      <c r="K115" s="9"/>
      <c r="N115" s="9"/>
      <c r="Q115" s="9"/>
      <c r="T115" s="9"/>
      <c r="W115" s="9"/>
      <c r="Z115" s="9"/>
      <c r="AC115" s="9"/>
      <c r="AF115" s="9"/>
      <c r="AI115" s="9"/>
      <c r="AL115" s="9"/>
      <c r="AO115" s="9"/>
      <c r="AR115" s="9"/>
      <c r="AU115" s="9"/>
      <c r="AX115" s="9"/>
      <c r="BA115" s="9"/>
      <c r="BD115" s="9"/>
      <c r="BG115" s="9"/>
      <c r="BJ115" s="9"/>
    </row>
    <row r="116" spans="5:62" x14ac:dyDescent="0.2">
      <c r="E116" s="9"/>
      <c r="H116" s="9"/>
      <c r="K116" s="9"/>
      <c r="N116" s="9"/>
      <c r="Q116" s="9"/>
      <c r="T116" s="9"/>
      <c r="W116" s="9"/>
      <c r="Z116" s="9"/>
      <c r="AC116" s="9"/>
      <c r="AF116" s="9"/>
      <c r="AI116" s="9"/>
      <c r="AL116" s="9"/>
      <c r="AO116" s="9"/>
      <c r="AR116" s="9"/>
      <c r="AU116" s="9"/>
      <c r="AX116" s="9"/>
      <c r="BA116" s="9"/>
      <c r="BD116" s="9"/>
      <c r="BG116" s="9"/>
      <c r="BJ116" s="9"/>
    </row>
    <row r="117" spans="5:62" x14ac:dyDescent="0.2">
      <c r="E117" s="9"/>
      <c r="H117" s="9"/>
      <c r="K117" s="9"/>
      <c r="N117" s="9"/>
      <c r="Q117" s="9"/>
      <c r="T117" s="9"/>
      <c r="W117" s="9"/>
      <c r="Z117" s="9"/>
      <c r="AC117" s="9"/>
      <c r="AF117" s="9"/>
      <c r="AI117" s="9"/>
      <c r="AL117" s="9"/>
      <c r="AO117" s="9"/>
      <c r="AR117" s="9"/>
      <c r="AU117" s="9"/>
      <c r="AX117" s="9"/>
      <c r="BA117" s="9"/>
      <c r="BD117" s="9"/>
      <c r="BG117" s="9"/>
      <c r="BJ117" s="9"/>
    </row>
    <row r="118" spans="5:62" x14ac:dyDescent="0.2">
      <c r="E118" s="9"/>
      <c r="H118" s="9"/>
      <c r="K118" s="9"/>
      <c r="N118" s="9"/>
      <c r="Q118" s="9"/>
      <c r="T118" s="9"/>
      <c r="W118" s="9"/>
      <c r="Z118" s="9"/>
      <c r="AC118" s="9"/>
      <c r="AF118" s="9"/>
      <c r="AI118" s="9"/>
      <c r="AL118" s="9"/>
      <c r="AO118" s="9"/>
      <c r="AR118" s="9"/>
      <c r="AU118" s="9"/>
      <c r="AX118" s="9"/>
      <c r="BA118" s="9"/>
      <c r="BD118" s="9"/>
      <c r="BG118" s="9"/>
      <c r="BJ118" s="9"/>
    </row>
    <row r="119" spans="5:62" x14ac:dyDescent="0.2">
      <c r="E119" s="9"/>
      <c r="H119" s="9"/>
      <c r="K119" s="9"/>
      <c r="N119" s="9"/>
      <c r="Q119" s="9"/>
      <c r="T119" s="9"/>
      <c r="W119" s="9"/>
      <c r="Z119" s="9"/>
      <c r="AC119" s="9"/>
      <c r="AF119" s="9"/>
      <c r="AI119" s="9"/>
      <c r="AL119" s="9"/>
      <c r="AO119" s="9"/>
      <c r="AR119" s="9"/>
      <c r="AU119" s="9"/>
      <c r="AX119" s="9"/>
      <c r="BA119" s="9"/>
      <c r="BD119" s="9"/>
      <c r="BG119" s="9"/>
      <c r="BJ119" s="9"/>
    </row>
    <row r="120" spans="5:62" x14ac:dyDescent="0.2">
      <c r="E120" s="9"/>
      <c r="H120" s="9"/>
      <c r="K120" s="9"/>
      <c r="N120" s="9"/>
      <c r="Q120" s="9"/>
      <c r="T120" s="9"/>
      <c r="W120" s="9"/>
      <c r="Z120" s="9"/>
      <c r="AC120" s="9"/>
      <c r="AF120" s="9"/>
      <c r="AI120" s="9"/>
      <c r="AL120" s="9"/>
      <c r="AO120" s="9"/>
      <c r="AR120" s="9"/>
      <c r="AU120" s="9"/>
      <c r="AX120" s="9"/>
      <c r="BA120" s="9"/>
      <c r="BD120" s="9"/>
      <c r="BG120" s="9"/>
      <c r="BJ120" s="9"/>
    </row>
    <row r="121" spans="5:62" x14ac:dyDescent="0.2">
      <c r="E121" s="9"/>
      <c r="H121" s="9"/>
      <c r="K121" s="9"/>
      <c r="N121" s="9"/>
      <c r="Q121" s="9"/>
      <c r="T121" s="9"/>
      <c r="W121" s="9"/>
      <c r="Z121" s="9"/>
      <c r="AC121" s="9"/>
      <c r="AF121" s="9"/>
      <c r="AI121" s="9"/>
      <c r="AL121" s="9"/>
      <c r="AO121" s="9"/>
      <c r="AR121" s="9"/>
      <c r="AU121" s="9"/>
      <c r="AX121" s="9"/>
      <c r="BA121" s="9"/>
      <c r="BD121" s="9"/>
      <c r="BG121" s="9"/>
      <c r="BJ121" s="9"/>
    </row>
    <row r="122" spans="5:62" x14ac:dyDescent="0.2">
      <c r="E122" s="9"/>
      <c r="H122" s="9"/>
      <c r="K122" s="9"/>
      <c r="N122" s="9"/>
      <c r="Q122" s="9"/>
      <c r="T122" s="9"/>
      <c r="W122" s="9"/>
      <c r="Z122" s="9"/>
      <c r="AC122" s="9"/>
      <c r="AF122" s="9"/>
      <c r="AI122" s="9"/>
      <c r="AL122" s="9"/>
      <c r="AO122" s="9"/>
      <c r="AR122" s="9"/>
      <c r="AU122" s="9"/>
      <c r="AX122" s="9"/>
      <c r="BA122" s="9"/>
      <c r="BD122" s="9"/>
      <c r="BG122" s="9"/>
      <c r="BJ122" s="9"/>
    </row>
    <row r="123" spans="5:62" x14ac:dyDescent="0.2">
      <c r="E123" s="9"/>
      <c r="H123" s="9"/>
      <c r="K123" s="9"/>
      <c r="N123" s="9"/>
      <c r="Q123" s="9"/>
      <c r="T123" s="9"/>
      <c r="W123" s="9"/>
      <c r="Z123" s="9"/>
      <c r="AC123" s="9"/>
      <c r="AF123" s="9"/>
      <c r="AI123" s="9"/>
      <c r="AL123" s="9"/>
      <c r="AO123" s="9"/>
      <c r="AR123" s="9"/>
      <c r="AU123" s="9"/>
      <c r="AX123" s="9"/>
      <c r="BA123" s="9"/>
      <c r="BD123" s="9"/>
      <c r="BG123" s="9"/>
      <c r="BJ123" s="9"/>
    </row>
    <row r="124" spans="5:62" x14ac:dyDescent="0.2">
      <c r="E124" s="9"/>
      <c r="H124" s="9"/>
      <c r="K124" s="9"/>
      <c r="N124" s="9"/>
      <c r="Q124" s="9"/>
      <c r="T124" s="9"/>
      <c r="W124" s="9"/>
      <c r="Z124" s="9"/>
      <c r="AC124" s="9"/>
      <c r="AF124" s="9"/>
      <c r="AI124" s="9"/>
      <c r="AL124" s="9"/>
      <c r="AO124" s="9"/>
      <c r="AR124" s="9"/>
      <c r="AU124" s="9"/>
      <c r="AX124" s="9"/>
      <c r="BA124" s="9"/>
      <c r="BD124" s="9"/>
      <c r="BG124" s="9"/>
      <c r="BJ124" s="9"/>
    </row>
    <row r="125" spans="5:62" x14ac:dyDescent="0.2">
      <c r="E125" s="9"/>
      <c r="H125" s="9"/>
      <c r="K125" s="9"/>
      <c r="N125" s="9"/>
      <c r="Q125" s="9"/>
      <c r="T125" s="9"/>
      <c r="W125" s="9"/>
      <c r="Z125" s="9"/>
      <c r="AC125" s="9"/>
      <c r="AF125" s="9"/>
      <c r="AI125" s="9"/>
      <c r="AL125" s="9"/>
      <c r="AO125" s="9"/>
      <c r="AR125" s="9"/>
      <c r="AU125" s="9"/>
      <c r="AX125" s="9"/>
      <c r="BA125" s="9"/>
      <c r="BD125" s="9"/>
      <c r="BG125" s="9"/>
      <c r="BJ125" s="9"/>
    </row>
    <row r="126" spans="5:62" x14ac:dyDescent="0.2">
      <c r="E126" s="9"/>
      <c r="H126" s="9"/>
      <c r="K126" s="9"/>
      <c r="N126" s="9"/>
      <c r="Q126" s="9"/>
      <c r="T126" s="9"/>
      <c r="W126" s="9"/>
      <c r="Z126" s="9"/>
      <c r="AC126" s="9"/>
      <c r="AF126" s="9"/>
      <c r="AI126" s="9"/>
      <c r="AL126" s="9"/>
      <c r="AO126" s="9"/>
      <c r="AR126" s="9"/>
      <c r="AU126" s="9"/>
      <c r="AX126" s="9"/>
      <c r="BA126" s="9"/>
      <c r="BD126" s="9"/>
      <c r="BG126" s="9"/>
      <c r="BJ126" s="9"/>
    </row>
    <row r="127" spans="5:62" x14ac:dyDescent="0.2">
      <c r="E127" s="9"/>
      <c r="H127" s="9"/>
      <c r="K127" s="9"/>
      <c r="N127" s="9"/>
      <c r="Q127" s="9"/>
      <c r="T127" s="9"/>
      <c r="W127" s="9"/>
      <c r="Z127" s="9"/>
      <c r="AC127" s="9"/>
      <c r="AF127" s="9"/>
      <c r="AI127" s="9"/>
      <c r="AL127" s="9"/>
      <c r="AO127" s="9"/>
      <c r="AR127" s="9"/>
      <c r="AU127" s="9"/>
      <c r="AX127" s="9"/>
      <c r="BA127" s="9"/>
      <c r="BD127" s="9"/>
      <c r="BG127" s="9"/>
      <c r="BJ127" s="9"/>
    </row>
    <row r="128" spans="5:62" x14ac:dyDescent="0.2">
      <c r="E128" s="9"/>
      <c r="H128" s="9"/>
      <c r="K128" s="9"/>
      <c r="N128" s="9"/>
      <c r="Q128" s="9"/>
      <c r="T128" s="9"/>
      <c r="W128" s="9"/>
      <c r="Z128" s="9"/>
      <c r="AC128" s="9"/>
      <c r="AF128" s="9"/>
      <c r="AI128" s="9"/>
      <c r="AL128" s="9"/>
      <c r="AO128" s="9"/>
      <c r="AR128" s="9"/>
      <c r="AU128" s="9"/>
      <c r="AX128" s="9"/>
      <c r="BA128" s="9"/>
      <c r="BD128" s="9"/>
      <c r="BG128" s="9"/>
      <c r="BJ128" s="9"/>
    </row>
    <row r="129" spans="5:62" x14ac:dyDescent="0.2">
      <c r="E129" s="9"/>
      <c r="H129" s="9"/>
      <c r="K129" s="9"/>
      <c r="N129" s="9"/>
      <c r="Q129" s="9"/>
      <c r="T129" s="9"/>
      <c r="W129" s="9"/>
      <c r="Z129" s="9"/>
      <c r="AC129" s="9"/>
      <c r="AF129" s="9"/>
      <c r="AI129" s="9"/>
      <c r="AL129" s="9"/>
      <c r="AO129" s="9"/>
      <c r="AR129" s="9"/>
      <c r="AU129" s="9"/>
      <c r="AX129" s="9"/>
      <c r="BA129" s="9"/>
      <c r="BD129" s="9"/>
      <c r="BG129" s="9"/>
      <c r="BJ129" s="9"/>
    </row>
    <row r="130" spans="5:62" x14ac:dyDescent="0.2">
      <c r="E130" s="9"/>
      <c r="H130" s="9"/>
      <c r="K130" s="9"/>
      <c r="N130" s="9"/>
      <c r="Q130" s="9"/>
      <c r="T130" s="9"/>
      <c r="W130" s="9"/>
      <c r="Z130" s="9"/>
      <c r="AC130" s="9"/>
      <c r="AF130" s="9"/>
      <c r="AI130" s="9"/>
      <c r="AL130" s="9"/>
      <c r="AO130" s="9"/>
      <c r="AR130" s="9"/>
      <c r="AU130" s="9"/>
      <c r="AX130" s="9"/>
      <c r="BA130" s="9"/>
      <c r="BD130" s="9"/>
      <c r="BG130" s="9"/>
      <c r="BJ130" s="9"/>
    </row>
    <row r="131" spans="5:62" x14ac:dyDescent="0.2">
      <c r="E131" s="9"/>
      <c r="H131" s="9"/>
      <c r="K131" s="9"/>
      <c r="N131" s="9"/>
      <c r="Q131" s="9"/>
      <c r="T131" s="9"/>
      <c r="W131" s="9"/>
      <c r="Z131" s="9"/>
      <c r="AC131" s="9"/>
      <c r="AF131" s="9"/>
      <c r="AI131" s="9"/>
      <c r="AL131" s="9"/>
      <c r="AO131" s="9"/>
      <c r="AR131" s="9"/>
      <c r="AU131" s="9"/>
      <c r="AX131" s="9"/>
      <c r="BA131" s="9"/>
      <c r="BD131" s="9"/>
      <c r="BG131" s="9"/>
      <c r="BJ131" s="9"/>
    </row>
    <row r="132" spans="5:62" x14ac:dyDescent="0.2">
      <c r="E132" s="9"/>
      <c r="H132" s="9"/>
      <c r="K132" s="9"/>
      <c r="N132" s="9"/>
      <c r="Q132" s="9"/>
      <c r="T132" s="9"/>
      <c r="W132" s="9"/>
      <c r="Z132" s="9"/>
      <c r="AC132" s="9"/>
      <c r="AF132" s="9"/>
      <c r="AI132" s="9"/>
      <c r="AL132" s="9"/>
      <c r="AO132" s="9"/>
      <c r="AR132" s="9"/>
      <c r="AU132" s="9"/>
      <c r="AX132" s="9"/>
      <c r="BA132" s="9"/>
      <c r="BD132" s="9"/>
      <c r="BG132" s="9"/>
      <c r="BJ132" s="9"/>
    </row>
    <row r="133" spans="5:62" x14ac:dyDescent="0.2">
      <c r="E133" s="9"/>
      <c r="H133" s="9"/>
      <c r="K133" s="9"/>
      <c r="N133" s="9"/>
      <c r="Q133" s="9"/>
      <c r="T133" s="9"/>
      <c r="W133" s="9"/>
      <c r="Z133" s="9"/>
      <c r="AC133" s="9"/>
      <c r="AF133" s="9"/>
      <c r="AI133" s="9"/>
      <c r="AL133" s="9"/>
      <c r="AO133" s="9"/>
      <c r="AR133" s="9"/>
      <c r="AU133" s="9"/>
      <c r="AX133" s="9"/>
      <c r="BA133" s="9"/>
      <c r="BD133" s="9"/>
      <c r="BG133" s="9"/>
      <c r="BJ133" s="9"/>
    </row>
    <row r="134" spans="5:62" x14ac:dyDescent="0.2">
      <c r="E134" s="9"/>
      <c r="H134" s="9"/>
      <c r="K134" s="9"/>
      <c r="N134" s="9"/>
      <c r="Q134" s="9"/>
      <c r="T134" s="9"/>
      <c r="W134" s="9"/>
      <c r="Z134" s="9"/>
      <c r="AC134" s="9"/>
      <c r="AF134" s="9"/>
      <c r="AI134" s="9"/>
      <c r="AL134" s="9"/>
      <c r="AO134" s="9"/>
      <c r="AR134" s="9"/>
      <c r="AU134" s="9"/>
      <c r="AX134" s="9"/>
      <c r="BA134" s="9"/>
      <c r="BD134" s="9"/>
      <c r="BG134" s="9"/>
      <c r="BJ134" s="9"/>
    </row>
    <row r="135" spans="5:62" x14ac:dyDescent="0.2">
      <c r="E135" s="9"/>
      <c r="H135" s="9"/>
      <c r="K135" s="9"/>
      <c r="N135" s="9"/>
      <c r="Q135" s="9"/>
      <c r="T135" s="9"/>
      <c r="W135" s="9"/>
      <c r="Z135" s="9"/>
      <c r="AC135" s="9"/>
      <c r="AF135" s="9"/>
      <c r="AI135" s="9"/>
      <c r="AL135" s="9"/>
      <c r="AO135" s="9"/>
      <c r="AR135" s="9"/>
      <c r="AU135" s="9"/>
      <c r="AX135" s="9"/>
      <c r="BA135" s="9"/>
      <c r="BD135" s="9"/>
      <c r="BG135" s="9"/>
      <c r="BJ135" s="9"/>
    </row>
    <row r="136" spans="5:62" x14ac:dyDescent="0.2">
      <c r="E136" s="9"/>
      <c r="H136" s="9"/>
      <c r="K136" s="9"/>
      <c r="N136" s="9"/>
      <c r="Q136" s="9"/>
      <c r="T136" s="9"/>
      <c r="W136" s="9"/>
      <c r="Z136" s="9"/>
      <c r="AC136" s="9"/>
      <c r="AF136" s="9"/>
      <c r="AI136" s="9"/>
      <c r="AL136" s="9"/>
      <c r="AO136" s="9"/>
      <c r="AR136" s="9"/>
      <c r="AU136" s="9"/>
      <c r="AX136" s="9"/>
      <c r="BA136" s="9"/>
      <c r="BD136" s="9"/>
      <c r="BG136" s="9"/>
      <c r="BJ136" s="9"/>
    </row>
    <row r="137" spans="5:62" x14ac:dyDescent="0.2">
      <c r="E137" s="9"/>
      <c r="H137" s="9"/>
      <c r="K137" s="9"/>
      <c r="N137" s="9"/>
      <c r="Q137" s="9"/>
      <c r="T137" s="9"/>
      <c r="W137" s="9"/>
      <c r="Z137" s="9"/>
      <c r="AC137" s="9"/>
      <c r="AF137" s="9"/>
      <c r="AI137" s="9"/>
      <c r="AL137" s="9"/>
      <c r="AO137" s="9"/>
      <c r="AR137" s="9"/>
      <c r="AU137" s="9"/>
      <c r="AX137" s="9"/>
      <c r="BA137" s="9"/>
      <c r="BD137" s="9"/>
      <c r="BG137" s="9"/>
      <c r="BJ137" s="9"/>
    </row>
    <row r="138" spans="5:62" x14ac:dyDescent="0.2">
      <c r="E138" s="9"/>
      <c r="H138" s="9"/>
      <c r="K138" s="9"/>
      <c r="N138" s="9"/>
      <c r="Q138" s="9"/>
      <c r="T138" s="9"/>
      <c r="W138" s="9"/>
      <c r="Z138" s="9"/>
      <c r="AC138" s="9"/>
      <c r="AF138" s="9"/>
      <c r="AI138" s="9"/>
      <c r="AL138" s="9"/>
      <c r="AO138" s="9"/>
      <c r="AR138" s="9"/>
      <c r="AU138" s="9"/>
      <c r="AX138" s="9"/>
      <c r="BA138" s="9"/>
      <c r="BD138" s="9"/>
      <c r="BG138" s="9"/>
      <c r="BJ138" s="9"/>
    </row>
    <row r="139" spans="5:62" x14ac:dyDescent="0.2">
      <c r="E139" s="9"/>
      <c r="H139" s="9"/>
      <c r="K139" s="9"/>
      <c r="N139" s="9"/>
      <c r="Q139" s="9"/>
      <c r="T139" s="9"/>
      <c r="W139" s="9"/>
      <c r="Z139" s="9"/>
      <c r="AC139" s="9"/>
      <c r="AF139" s="9"/>
      <c r="AI139" s="9"/>
      <c r="AL139" s="9"/>
      <c r="AO139" s="9"/>
      <c r="AR139" s="9"/>
      <c r="AU139" s="9"/>
      <c r="AX139" s="9"/>
      <c r="BA139" s="9"/>
      <c r="BD139" s="9"/>
      <c r="BG139" s="9"/>
      <c r="BJ139" s="9"/>
    </row>
    <row r="140" spans="5:62" x14ac:dyDescent="0.2">
      <c r="E140" s="9"/>
      <c r="H140" s="9"/>
      <c r="K140" s="9"/>
      <c r="N140" s="9"/>
      <c r="Q140" s="9"/>
      <c r="T140" s="9"/>
      <c r="W140" s="9"/>
      <c r="Z140" s="9"/>
      <c r="AC140" s="9"/>
      <c r="AF140" s="9"/>
      <c r="AI140" s="9"/>
      <c r="AL140" s="9"/>
      <c r="AO140" s="9"/>
      <c r="AR140" s="9"/>
      <c r="AU140" s="9"/>
      <c r="AX140" s="9"/>
      <c r="BA140" s="9"/>
      <c r="BD140" s="9"/>
      <c r="BG140" s="9"/>
      <c r="BJ140" s="9"/>
    </row>
    <row r="141" spans="5:62" x14ac:dyDescent="0.2">
      <c r="E141" s="9"/>
      <c r="H141" s="9"/>
      <c r="K141" s="9"/>
      <c r="N141" s="9"/>
      <c r="Q141" s="9"/>
      <c r="T141" s="9"/>
      <c r="W141" s="9"/>
      <c r="Z141" s="9"/>
      <c r="AC141" s="9"/>
      <c r="AF141" s="9"/>
      <c r="AI141" s="9"/>
      <c r="AL141" s="9"/>
      <c r="AO141" s="9"/>
      <c r="AR141" s="9"/>
      <c r="AU141" s="9"/>
      <c r="AX141" s="9"/>
      <c r="BA141" s="9"/>
      <c r="BD141" s="9"/>
      <c r="BG141" s="9"/>
      <c r="BJ141" s="9"/>
    </row>
    <row r="142" spans="5:62" x14ac:dyDescent="0.2">
      <c r="E142" s="9"/>
      <c r="H142" s="9"/>
      <c r="K142" s="9"/>
      <c r="N142" s="9"/>
      <c r="Q142" s="9"/>
      <c r="T142" s="9"/>
      <c r="W142" s="9"/>
      <c r="Z142" s="9"/>
      <c r="AC142" s="9"/>
      <c r="AF142" s="9"/>
      <c r="AI142" s="9"/>
      <c r="AL142" s="9"/>
      <c r="AO142" s="9"/>
      <c r="AR142" s="9"/>
      <c r="AU142" s="9"/>
      <c r="AX142" s="9"/>
      <c r="BA142" s="9"/>
      <c r="BD142" s="9"/>
      <c r="BG142" s="9"/>
      <c r="BJ142" s="9"/>
    </row>
    <row r="143" spans="5:62" x14ac:dyDescent="0.2">
      <c r="E143" s="9"/>
      <c r="H143" s="9"/>
      <c r="K143" s="9"/>
      <c r="N143" s="9"/>
      <c r="Q143" s="9"/>
      <c r="T143" s="9"/>
      <c r="W143" s="9"/>
      <c r="Z143" s="9"/>
      <c r="AC143" s="9"/>
      <c r="AF143" s="9"/>
      <c r="AI143" s="9"/>
      <c r="AL143" s="9"/>
      <c r="AO143" s="9"/>
      <c r="AR143" s="9"/>
      <c r="AU143" s="9"/>
      <c r="AX143" s="9"/>
      <c r="BA143" s="9"/>
      <c r="BD143" s="9"/>
      <c r="BG143" s="9"/>
      <c r="BJ143" s="9"/>
    </row>
    <row r="144" spans="5:62" x14ac:dyDescent="0.2">
      <c r="E144" s="9"/>
      <c r="H144" s="9"/>
      <c r="K144" s="9"/>
      <c r="N144" s="9"/>
      <c r="Q144" s="9"/>
      <c r="T144" s="9"/>
      <c r="W144" s="9"/>
      <c r="Z144" s="9"/>
      <c r="AC144" s="9"/>
      <c r="AF144" s="9"/>
      <c r="AI144" s="9"/>
      <c r="AL144" s="9"/>
      <c r="AO144" s="9"/>
      <c r="AR144" s="9"/>
      <c r="AU144" s="9"/>
      <c r="AX144" s="9"/>
      <c r="BA144" s="9"/>
      <c r="BD144" s="9"/>
      <c r="BG144" s="9"/>
      <c r="BJ144" s="9"/>
    </row>
    <row r="145" spans="5:62" x14ac:dyDescent="0.2">
      <c r="E145" s="9"/>
      <c r="H145" s="9"/>
      <c r="K145" s="9"/>
      <c r="N145" s="9"/>
      <c r="Q145" s="9"/>
      <c r="T145" s="9"/>
      <c r="W145" s="9"/>
      <c r="Z145" s="9"/>
      <c r="AC145" s="9"/>
      <c r="AF145" s="9"/>
      <c r="AI145" s="9"/>
      <c r="AL145" s="9"/>
      <c r="AO145" s="9"/>
      <c r="AR145" s="9"/>
      <c r="AU145" s="9"/>
      <c r="AX145" s="9"/>
      <c r="BA145" s="9"/>
      <c r="BD145" s="9"/>
      <c r="BG145" s="9"/>
      <c r="BJ145" s="9"/>
    </row>
    <row r="146" spans="5:62" x14ac:dyDescent="0.2">
      <c r="E146" s="9"/>
      <c r="H146" s="9"/>
      <c r="K146" s="9"/>
      <c r="N146" s="9"/>
      <c r="Q146" s="9"/>
      <c r="T146" s="9"/>
      <c r="W146" s="9"/>
      <c r="Z146" s="9"/>
      <c r="AC146" s="9"/>
      <c r="AF146" s="9"/>
      <c r="AI146" s="9"/>
      <c r="AL146" s="9"/>
      <c r="AO146" s="9"/>
      <c r="AR146" s="9"/>
      <c r="AU146" s="9"/>
      <c r="AX146" s="9"/>
      <c r="BA146" s="9"/>
      <c r="BD146" s="9"/>
      <c r="BG146" s="9"/>
      <c r="BJ146" s="9"/>
    </row>
    <row r="147" spans="5:62" x14ac:dyDescent="0.2">
      <c r="E147" s="9"/>
      <c r="H147" s="9"/>
      <c r="K147" s="9"/>
      <c r="N147" s="9"/>
      <c r="Q147" s="9"/>
      <c r="T147" s="9"/>
      <c r="W147" s="9"/>
      <c r="Z147" s="9"/>
      <c r="AC147" s="9"/>
      <c r="AF147" s="9"/>
      <c r="AI147" s="9"/>
      <c r="AL147" s="9"/>
      <c r="AO147" s="9"/>
      <c r="AR147" s="9"/>
      <c r="AU147" s="9"/>
      <c r="AX147" s="9"/>
      <c r="BA147" s="9"/>
      <c r="BD147" s="9"/>
      <c r="BG147" s="9"/>
      <c r="BJ147" s="9"/>
    </row>
    <row r="148" spans="5:62" x14ac:dyDescent="0.2">
      <c r="E148" s="9"/>
      <c r="H148" s="9"/>
      <c r="K148" s="9"/>
      <c r="N148" s="9"/>
      <c r="Q148" s="9"/>
      <c r="T148" s="9"/>
      <c r="W148" s="9"/>
      <c r="Z148" s="9"/>
      <c r="AC148" s="9"/>
      <c r="AF148" s="9"/>
      <c r="AI148" s="9"/>
      <c r="AL148" s="9"/>
      <c r="AO148" s="9"/>
      <c r="AR148" s="9"/>
      <c r="AU148" s="9"/>
      <c r="AX148" s="9"/>
      <c r="BA148" s="9"/>
      <c r="BD148" s="9"/>
      <c r="BG148" s="9"/>
      <c r="BJ148" s="9"/>
    </row>
    <row r="149" spans="5:62" x14ac:dyDescent="0.2">
      <c r="E149" s="9"/>
      <c r="H149" s="9"/>
      <c r="K149" s="9"/>
      <c r="N149" s="9"/>
      <c r="Q149" s="9"/>
      <c r="T149" s="9"/>
      <c r="W149" s="9"/>
      <c r="Z149" s="9"/>
      <c r="AC149" s="9"/>
      <c r="AF149" s="9"/>
      <c r="AI149" s="9"/>
      <c r="AL149" s="9"/>
      <c r="AO149" s="9"/>
      <c r="AR149" s="9"/>
      <c r="AU149" s="9"/>
      <c r="AX149" s="9"/>
      <c r="BA149" s="9"/>
      <c r="BD149" s="9"/>
      <c r="BG149" s="9"/>
      <c r="BJ149" s="9"/>
    </row>
    <row r="150" spans="5:62" x14ac:dyDescent="0.2">
      <c r="E150" s="9"/>
      <c r="H150" s="9"/>
      <c r="K150" s="9"/>
      <c r="N150" s="9"/>
      <c r="Q150" s="9"/>
      <c r="T150" s="9"/>
      <c r="W150" s="9"/>
      <c r="Z150" s="9"/>
      <c r="AC150" s="9"/>
      <c r="AF150" s="9"/>
      <c r="AI150" s="9"/>
      <c r="AL150" s="9"/>
      <c r="AO150" s="9"/>
      <c r="AR150" s="9"/>
      <c r="AU150" s="9"/>
      <c r="AX150" s="9"/>
      <c r="BA150" s="9"/>
      <c r="BD150" s="9"/>
      <c r="BG150" s="9"/>
      <c r="BJ150" s="9"/>
    </row>
    <row r="151" spans="5:62" x14ac:dyDescent="0.2">
      <c r="E151" s="9"/>
      <c r="H151" s="9"/>
      <c r="K151" s="9"/>
      <c r="N151" s="9"/>
      <c r="Q151" s="9"/>
      <c r="T151" s="9"/>
      <c r="W151" s="9"/>
      <c r="Z151" s="9"/>
      <c r="AC151" s="9"/>
      <c r="AF151" s="9"/>
      <c r="AI151" s="9"/>
      <c r="AL151" s="9"/>
      <c r="AO151" s="9"/>
      <c r="AR151" s="9"/>
      <c r="AU151" s="9"/>
      <c r="AX151" s="9"/>
      <c r="BA151" s="9"/>
      <c r="BD151" s="9"/>
      <c r="BG151" s="9"/>
      <c r="BJ151" s="9"/>
    </row>
  </sheetData>
  <mergeCells count="81">
    <mergeCell ref="BB1:BD1"/>
    <mergeCell ref="BE1:BG1"/>
    <mergeCell ref="BH1:BJ1"/>
    <mergeCell ref="A1:B1"/>
    <mergeCell ref="C2:D2"/>
    <mergeCell ref="F2:G2"/>
    <mergeCell ref="I2:J2"/>
    <mergeCell ref="L2:M2"/>
    <mergeCell ref="O2:P2"/>
    <mergeCell ref="R2:S2"/>
    <mergeCell ref="U2:V2"/>
    <mergeCell ref="X2:Y2"/>
    <mergeCell ref="AA2:AB2"/>
    <mergeCell ref="BB2:BC2"/>
    <mergeCell ref="BE2:BF2"/>
    <mergeCell ref="AD2:AE2"/>
    <mergeCell ref="AG2:AH2"/>
    <mergeCell ref="AJ2:AK2"/>
    <mergeCell ref="AM2:AN2"/>
    <mergeCell ref="AP2:AQ2"/>
    <mergeCell ref="BH2:BI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BB3:BC3"/>
    <mergeCell ref="BE3:BF3"/>
    <mergeCell ref="BH3:BI3"/>
    <mergeCell ref="AM3:AN3"/>
    <mergeCell ref="AP3:AQ3"/>
    <mergeCell ref="AS3:AT3"/>
    <mergeCell ref="AV3:AW3"/>
    <mergeCell ref="AY3:AZ3"/>
    <mergeCell ref="BB4:BC4"/>
    <mergeCell ref="BE4:BF4"/>
    <mergeCell ref="BH4:BI4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G1:AI1"/>
    <mergeCell ref="AJ1:AL1"/>
    <mergeCell ref="AM1:AO1"/>
    <mergeCell ref="AV4:AW4"/>
    <mergeCell ref="AY4:AZ4"/>
    <mergeCell ref="AP4:AQ4"/>
    <mergeCell ref="AS4:AT4"/>
    <mergeCell ref="AP1:AR1"/>
    <mergeCell ref="AS1:AU1"/>
    <mergeCell ref="AV1:AX1"/>
    <mergeCell ref="AY1:BA1"/>
    <mergeCell ref="AG3:AH3"/>
    <mergeCell ref="AJ3:AK3"/>
    <mergeCell ref="AS2:AT2"/>
    <mergeCell ref="AV2:AW2"/>
    <mergeCell ref="AY2:AZ2"/>
    <mergeCell ref="R1:T1"/>
    <mergeCell ref="U1:W1"/>
    <mergeCell ref="X1:Z1"/>
    <mergeCell ref="AA1:AC1"/>
    <mergeCell ref="AD1:AF1"/>
    <mergeCell ref="C1:E1"/>
    <mergeCell ref="F1:H1"/>
    <mergeCell ref="I1:K1"/>
    <mergeCell ref="L1:N1"/>
    <mergeCell ref="O1:Q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E6EB-81E8-4949-86F5-1D9AA30BBC6F}">
  <dimension ref="A1:BS151"/>
  <sheetViews>
    <sheetView zoomScale="130" zoomScaleNormal="130" workbookViewId="0">
      <selection activeCell="F14" sqref="F14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" customWidth="1"/>
    <col min="5" max="5" width="9" style="6"/>
    <col min="6" max="7" width="9" style="1" customWidth="1"/>
    <col min="8" max="8" width="9" style="6"/>
    <col min="9" max="10" width="9" style="1" customWidth="1"/>
    <col min="11" max="11" width="9" style="6"/>
    <col min="12" max="12" width="9.5" style="1" customWidth="1"/>
    <col min="13" max="13" width="9" style="1" customWidth="1"/>
    <col min="14" max="14" width="9" style="6"/>
    <col min="15" max="16" width="9" style="1" customWidth="1"/>
    <col min="17" max="17" width="9" style="6"/>
    <col min="18" max="19" width="9" style="1" customWidth="1"/>
    <col min="20" max="20" width="9" style="6"/>
    <col min="21" max="22" width="9" style="1" customWidth="1"/>
    <col min="23" max="23" width="9" style="6"/>
    <col min="24" max="25" width="9" style="1" customWidth="1"/>
    <col min="26" max="26" width="9" style="6"/>
    <col min="27" max="27" width="9.5" style="1" customWidth="1"/>
    <col min="28" max="28" width="9" style="1" customWidth="1"/>
    <col min="29" max="29" width="9" style="6"/>
    <col min="30" max="30" width="9.5" style="1" customWidth="1"/>
    <col min="31" max="31" width="9" style="1" customWidth="1"/>
    <col min="32" max="32" width="9" style="6"/>
    <col min="33" max="34" width="9" style="1" customWidth="1"/>
    <col min="35" max="35" width="9" style="6"/>
    <col min="36" max="37" width="9" style="1" customWidth="1"/>
    <col min="38" max="38" width="9" style="6"/>
    <col min="39" max="40" width="9" style="1" customWidth="1"/>
    <col min="41" max="41" width="9" style="6"/>
    <col min="42" max="43" width="9" style="1" customWidth="1"/>
    <col min="44" max="44" width="9" style="6"/>
    <col min="45" max="46" width="9" style="1" customWidth="1"/>
    <col min="47" max="47" width="9" style="6"/>
    <col min="48" max="49" width="9" style="1" customWidth="1"/>
    <col min="50" max="50" width="9" style="6"/>
    <col min="51" max="52" width="9" style="1" customWidth="1"/>
    <col min="53" max="53" width="9" style="6"/>
    <col min="54" max="55" width="9" style="1" customWidth="1"/>
    <col min="56" max="56" width="9" style="6"/>
    <col min="57" max="58" width="9" style="1" customWidth="1"/>
    <col min="59" max="59" width="9" style="6"/>
    <col min="60" max="61" width="9" style="1" customWidth="1"/>
    <col min="62" max="62" width="9" style="6"/>
    <col min="63" max="64" width="9" style="1" customWidth="1"/>
    <col min="65" max="65" width="9" style="6"/>
    <col min="66" max="67" width="9" style="1" customWidth="1"/>
    <col min="68" max="68" width="9" style="6"/>
    <col min="69" max="70" width="9" style="1" customWidth="1"/>
    <col min="71" max="71" width="9" style="6"/>
    <col min="72" max="16384" width="9" style="1"/>
  </cols>
  <sheetData>
    <row r="1" spans="1:71" s="5" customFormat="1" x14ac:dyDescent="0.2">
      <c r="A1" s="22" t="s">
        <v>52</v>
      </c>
      <c r="B1" s="22"/>
      <c r="C1" s="18" t="s">
        <v>12</v>
      </c>
      <c r="D1" s="18"/>
      <c r="E1" s="18"/>
      <c r="F1" s="18" t="s">
        <v>41</v>
      </c>
      <c r="G1" s="18"/>
      <c r="H1" s="18"/>
      <c r="I1" s="18" t="s">
        <v>44</v>
      </c>
      <c r="J1" s="18"/>
      <c r="K1" s="18"/>
      <c r="L1" s="18" t="s">
        <v>20</v>
      </c>
      <c r="M1" s="18"/>
      <c r="N1" s="18"/>
      <c r="O1" s="18" t="s">
        <v>19</v>
      </c>
      <c r="P1" s="18"/>
      <c r="Q1" s="18"/>
      <c r="R1" s="18" t="s">
        <v>21</v>
      </c>
      <c r="S1" s="18"/>
      <c r="T1" s="18"/>
      <c r="U1" s="18" t="s">
        <v>30</v>
      </c>
      <c r="V1" s="18"/>
      <c r="W1" s="18"/>
      <c r="X1" s="18" t="s">
        <v>40</v>
      </c>
      <c r="Y1" s="18"/>
      <c r="Z1" s="18"/>
      <c r="AA1" s="18" t="s">
        <v>13</v>
      </c>
      <c r="AB1" s="18"/>
      <c r="AC1" s="18"/>
      <c r="AD1" s="18" t="s">
        <v>9</v>
      </c>
      <c r="AE1" s="18"/>
      <c r="AF1" s="18"/>
      <c r="AG1" s="18" t="s">
        <v>8</v>
      </c>
      <c r="AH1" s="18"/>
      <c r="AI1" s="18"/>
      <c r="AJ1" s="18" t="s">
        <v>27</v>
      </c>
      <c r="AK1" s="18"/>
      <c r="AL1" s="18"/>
      <c r="AM1" s="18" t="s">
        <v>28</v>
      </c>
      <c r="AN1" s="18"/>
      <c r="AO1" s="18"/>
      <c r="AP1" s="18" t="s">
        <v>33</v>
      </c>
      <c r="AQ1" s="18"/>
      <c r="AR1" s="18"/>
      <c r="AS1" s="18" t="s">
        <v>18</v>
      </c>
      <c r="AT1" s="18"/>
      <c r="AU1" s="18"/>
      <c r="AV1" s="18" t="s">
        <v>42</v>
      </c>
      <c r="AW1" s="18"/>
      <c r="AX1" s="18"/>
      <c r="AY1" s="18" t="s">
        <v>43</v>
      </c>
      <c r="AZ1" s="18"/>
      <c r="BA1" s="18"/>
      <c r="BB1" s="18" t="s">
        <v>25</v>
      </c>
      <c r="BC1" s="18"/>
      <c r="BD1" s="18"/>
      <c r="BE1" s="18" t="s">
        <v>29</v>
      </c>
      <c r="BF1" s="18"/>
      <c r="BG1" s="18"/>
      <c r="BH1" s="18" t="s">
        <v>10</v>
      </c>
      <c r="BI1" s="18"/>
      <c r="BJ1" s="18"/>
      <c r="BK1" s="18" t="s">
        <v>22</v>
      </c>
      <c r="BL1" s="18"/>
      <c r="BM1" s="18"/>
      <c r="BN1" s="18" t="s">
        <v>32</v>
      </c>
      <c r="BO1" s="18"/>
      <c r="BP1" s="18"/>
      <c r="BQ1" s="18" t="s">
        <v>34</v>
      </c>
      <c r="BR1" s="18"/>
      <c r="BS1" s="18"/>
    </row>
    <row r="2" spans="1:71" s="10" customFormat="1" x14ac:dyDescent="0.2">
      <c r="A2" s="1" t="s">
        <v>5</v>
      </c>
      <c r="B2" s="1">
        <f>SUM(C2:XC2)</f>
        <v>74</v>
      </c>
      <c r="C2" s="19" t="s">
        <v>5</v>
      </c>
      <c r="D2" s="19"/>
      <c r="E2" s="8">
        <f>COUNT(E6:E300)</f>
        <v>6</v>
      </c>
      <c r="F2" s="19" t="s">
        <v>5</v>
      </c>
      <c r="G2" s="19"/>
      <c r="H2" s="8">
        <f>COUNT(H6:H300)</f>
        <v>5</v>
      </c>
      <c r="I2" s="19" t="s">
        <v>5</v>
      </c>
      <c r="J2" s="19"/>
      <c r="K2" s="8">
        <f>COUNT(K6:K300)</f>
        <v>5</v>
      </c>
      <c r="L2" s="19" t="s">
        <v>5</v>
      </c>
      <c r="M2" s="19"/>
      <c r="N2" s="8">
        <f>COUNT(N6:N300)</f>
        <v>15</v>
      </c>
      <c r="O2" s="19" t="s">
        <v>5</v>
      </c>
      <c r="P2" s="19"/>
      <c r="Q2" s="8">
        <f>COUNT(Q6:Q300)</f>
        <v>2</v>
      </c>
      <c r="R2" s="19" t="s">
        <v>5</v>
      </c>
      <c r="S2" s="19"/>
      <c r="T2" s="8">
        <f>COUNT(T6:T300)</f>
        <v>2</v>
      </c>
      <c r="U2" s="19" t="s">
        <v>5</v>
      </c>
      <c r="V2" s="19"/>
      <c r="W2" s="8">
        <f>COUNT(W6:W300)</f>
        <v>3</v>
      </c>
      <c r="X2" s="19" t="s">
        <v>5</v>
      </c>
      <c r="Y2" s="19"/>
      <c r="Z2" s="8">
        <f>COUNT(Z6:Z300)</f>
        <v>2</v>
      </c>
      <c r="AA2" s="19" t="s">
        <v>5</v>
      </c>
      <c r="AB2" s="19"/>
      <c r="AC2" s="8">
        <f>COUNT(AC6:AC300)</f>
        <v>5</v>
      </c>
      <c r="AD2" s="19" t="s">
        <v>5</v>
      </c>
      <c r="AE2" s="19"/>
      <c r="AF2" s="8">
        <f>COUNT(AF6:AF300)</f>
        <v>6</v>
      </c>
      <c r="AG2" s="19" t="s">
        <v>5</v>
      </c>
      <c r="AH2" s="19"/>
      <c r="AI2" s="8">
        <f>COUNT(AI6:AI300)</f>
        <v>3</v>
      </c>
      <c r="AJ2" s="19" t="s">
        <v>5</v>
      </c>
      <c r="AK2" s="19"/>
      <c r="AL2" s="8">
        <f>COUNT(AL6:AL300)</f>
        <v>1</v>
      </c>
      <c r="AM2" s="19" t="s">
        <v>5</v>
      </c>
      <c r="AN2" s="19"/>
      <c r="AO2" s="8">
        <f>COUNT(AO6:AO300)</f>
        <v>1</v>
      </c>
      <c r="AP2" s="19" t="s">
        <v>5</v>
      </c>
      <c r="AQ2" s="19"/>
      <c r="AR2" s="8">
        <f>COUNT(AR6:AR300)</f>
        <v>3</v>
      </c>
      <c r="AS2" s="19" t="s">
        <v>5</v>
      </c>
      <c r="AT2" s="19"/>
      <c r="AU2" s="8">
        <f>COUNT(AU6:AU300)</f>
        <v>1</v>
      </c>
      <c r="AV2" s="19" t="s">
        <v>5</v>
      </c>
      <c r="AW2" s="19"/>
      <c r="AX2" s="8">
        <f>COUNT(AX6:AX300)</f>
        <v>1</v>
      </c>
      <c r="AY2" s="19" t="s">
        <v>5</v>
      </c>
      <c r="AZ2" s="19"/>
      <c r="BA2" s="8">
        <f>COUNT(BA6:BA300)</f>
        <v>1</v>
      </c>
      <c r="BB2" s="19" t="s">
        <v>5</v>
      </c>
      <c r="BC2" s="19"/>
      <c r="BD2" s="8">
        <f>COUNT(BD6:BD300)</f>
        <v>4</v>
      </c>
      <c r="BE2" s="19" t="s">
        <v>5</v>
      </c>
      <c r="BF2" s="19"/>
      <c r="BG2" s="8">
        <f>COUNT(BG6:BG300)</f>
        <v>3</v>
      </c>
      <c r="BH2" s="19" t="s">
        <v>5</v>
      </c>
      <c r="BI2" s="19"/>
      <c r="BJ2" s="8">
        <f>COUNT(BJ6:BJ300)</f>
        <v>1</v>
      </c>
      <c r="BK2" s="19" t="s">
        <v>5</v>
      </c>
      <c r="BL2" s="19"/>
      <c r="BM2" s="8">
        <f>COUNT(BM6:BM300)</f>
        <v>1</v>
      </c>
      <c r="BN2" s="19" t="s">
        <v>5</v>
      </c>
      <c r="BO2" s="19"/>
      <c r="BP2" s="8">
        <f>COUNT(BP6:BP300)</f>
        <v>1</v>
      </c>
      <c r="BQ2" s="19" t="s">
        <v>5</v>
      </c>
      <c r="BR2" s="19"/>
      <c r="BS2" s="8">
        <f>COUNT(BS6:BS300)</f>
        <v>2</v>
      </c>
    </row>
    <row r="3" spans="1:71" s="10" customFormat="1" x14ac:dyDescent="0.2">
      <c r="A3" s="1" t="s">
        <v>4</v>
      </c>
      <c r="B3" s="1">
        <f>SUM(C3:XC3)</f>
        <v>26.332339439827503</v>
      </c>
      <c r="C3" s="19" t="s">
        <v>4</v>
      </c>
      <c r="D3" s="19"/>
      <c r="E3" s="8">
        <f>SUM(E6:E300)</f>
        <v>0.21132008669562499</v>
      </c>
      <c r="F3" s="19" t="s">
        <v>4</v>
      </c>
      <c r="G3" s="19"/>
      <c r="H3" s="8">
        <f>SUM(H6:H300)</f>
        <v>0.21668657446375</v>
      </c>
      <c r="I3" s="19" t="s">
        <v>4</v>
      </c>
      <c r="J3" s="19"/>
      <c r="K3" s="8">
        <f>SUM(K6:K300)</f>
        <v>0.59046993439500006</v>
      </c>
      <c r="L3" s="19" t="s">
        <v>4</v>
      </c>
      <c r="M3" s="19"/>
      <c r="N3" s="8">
        <f>SUM(N6:N300)</f>
        <v>4.8205556220031243</v>
      </c>
      <c r="O3" s="19" t="s">
        <v>4</v>
      </c>
      <c r="P3" s="19"/>
      <c r="Q3" s="8">
        <f>SUM(Q6:Q300)</f>
        <v>0.16015124319937502</v>
      </c>
      <c r="R3" s="19" t="s">
        <v>4</v>
      </c>
      <c r="S3" s="19"/>
      <c r="T3" s="8">
        <f>SUM(T6:T300)</f>
        <v>7.6397173833749998E-2</v>
      </c>
      <c r="U3" s="19" t="s">
        <v>4</v>
      </c>
      <c r="V3" s="19"/>
      <c r="W3" s="8">
        <f>SUM(W6:W300)</f>
        <v>0.260451180599375</v>
      </c>
      <c r="X3" s="19" t="s">
        <v>4</v>
      </c>
      <c r="Y3" s="19"/>
      <c r="Z3" s="8">
        <f>SUM(Z6:Z300)</f>
        <v>0.48624145276874997</v>
      </c>
      <c r="AA3" s="19" t="s">
        <v>4</v>
      </c>
      <c r="AB3" s="19"/>
      <c r="AC3" s="8">
        <f>SUM(AC6:AC300)</f>
        <v>15.236416781673753</v>
      </c>
      <c r="AD3" s="19" t="s">
        <v>4</v>
      </c>
      <c r="AE3" s="19"/>
      <c r="AF3" s="8">
        <f>SUM(AF6:AF300)</f>
        <v>2.6291487834306246</v>
      </c>
      <c r="AG3" s="19" t="s">
        <v>4</v>
      </c>
      <c r="AH3" s="19"/>
      <c r="AI3" s="8">
        <f>SUM(AI6:AI300)</f>
        <v>0.17527000683687499</v>
      </c>
      <c r="AJ3" s="19" t="s">
        <v>4</v>
      </c>
      <c r="AK3" s="19"/>
      <c r="AL3" s="8">
        <f>SUM(AL6:AL300)</f>
        <v>4.352159374999999E-2</v>
      </c>
      <c r="AM3" s="19" t="s">
        <v>4</v>
      </c>
      <c r="AN3" s="19"/>
      <c r="AO3" s="8">
        <f>SUM(AO6:AO300)</f>
        <v>4.0951912679999994E-2</v>
      </c>
      <c r="AP3" s="19" t="s">
        <v>4</v>
      </c>
      <c r="AQ3" s="19"/>
      <c r="AR3" s="8">
        <f>SUM(AR6:AR300)</f>
        <v>7.4109828836875002E-2</v>
      </c>
      <c r="AS3" s="19" t="s">
        <v>4</v>
      </c>
      <c r="AT3" s="19"/>
      <c r="AU3" s="8">
        <f>SUM(AU6:AU300)</f>
        <v>0.52182557616375014</v>
      </c>
      <c r="AV3" s="19" t="s">
        <v>4</v>
      </c>
      <c r="AW3" s="19"/>
      <c r="AX3" s="8">
        <f>SUM(AX6:AX300)</f>
        <v>9.305456580000003E-3</v>
      </c>
      <c r="AY3" s="19" t="s">
        <v>4</v>
      </c>
      <c r="AZ3" s="19"/>
      <c r="BA3" s="8">
        <f>SUM(BA6:BA300)</f>
        <v>6.2957102050000005E-2</v>
      </c>
      <c r="BB3" s="19" t="s">
        <v>4</v>
      </c>
      <c r="BC3" s="19"/>
      <c r="BD3" s="8">
        <f>SUM(BD6:BD300)</f>
        <v>0.15156461938937502</v>
      </c>
      <c r="BE3" s="19" t="s">
        <v>4</v>
      </c>
      <c r="BF3" s="19"/>
      <c r="BG3" s="8">
        <f>SUM(BG6:BG300)</f>
        <v>0.126591454779375</v>
      </c>
      <c r="BH3" s="19" t="s">
        <v>4</v>
      </c>
      <c r="BI3" s="19"/>
      <c r="BJ3" s="8">
        <f>SUM(BJ6:BJ300)</f>
        <v>7.4357844531249981E-2</v>
      </c>
      <c r="BK3" s="19" t="s">
        <v>4</v>
      </c>
      <c r="BL3" s="19"/>
      <c r="BM3" s="8">
        <f>SUM(BM6:BM300)</f>
        <v>6.594270859375001E-2</v>
      </c>
      <c r="BN3" s="19" t="s">
        <v>4</v>
      </c>
      <c r="BO3" s="19"/>
      <c r="BP3" s="8">
        <f>SUM(BP6:BP300)</f>
        <v>0.13833471984750001</v>
      </c>
      <c r="BQ3" s="19" t="s">
        <v>4</v>
      </c>
      <c r="BR3" s="19"/>
      <c r="BS3" s="8">
        <f>SUM(BS6:BS300)</f>
        <v>0.15976778272562495</v>
      </c>
    </row>
    <row r="4" spans="1:71" s="10" customFormat="1" x14ac:dyDescent="0.2">
      <c r="A4" s="1"/>
      <c r="B4" s="1"/>
      <c r="C4" s="19" t="s">
        <v>3</v>
      </c>
      <c r="D4" s="19"/>
      <c r="E4" s="8">
        <f>AVERAGE(E6:E300)</f>
        <v>3.522001444927083E-2</v>
      </c>
      <c r="F4" s="19" t="s">
        <v>3</v>
      </c>
      <c r="G4" s="19"/>
      <c r="H4" s="8">
        <f>AVERAGE(H6:H300)</f>
        <v>4.3337314892750001E-2</v>
      </c>
      <c r="I4" s="19" t="s">
        <v>3</v>
      </c>
      <c r="J4" s="19"/>
      <c r="K4" s="8">
        <f>AVERAGE(K6:K300)</f>
        <v>0.11809398687900001</v>
      </c>
      <c r="L4" s="19" t="s">
        <v>3</v>
      </c>
      <c r="M4" s="19"/>
      <c r="N4" s="8">
        <f>AVERAGE(N6:N300)</f>
        <v>0.3213703748002083</v>
      </c>
      <c r="O4" s="19" t="s">
        <v>3</v>
      </c>
      <c r="P4" s="19"/>
      <c r="Q4" s="8">
        <f>AVERAGE(Q6:Q300)</f>
        <v>8.0075621599687508E-2</v>
      </c>
      <c r="R4" s="19" t="s">
        <v>3</v>
      </c>
      <c r="S4" s="19"/>
      <c r="T4" s="8">
        <f>AVERAGE(T6:T300)</f>
        <v>3.8198586916874999E-2</v>
      </c>
      <c r="U4" s="19" t="s">
        <v>3</v>
      </c>
      <c r="V4" s="19"/>
      <c r="W4" s="8">
        <f>AVERAGE(W6:W300)</f>
        <v>8.6817060199791671E-2</v>
      </c>
      <c r="X4" s="19" t="s">
        <v>3</v>
      </c>
      <c r="Y4" s="19"/>
      <c r="Z4" s="8">
        <f>AVERAGE(Z6:Z300)</f>
        <v>0.24312072638437499</v>
      </c>
      <c r="AA4" s="19" t="s">
        <v>3</v>
      </c>
      <c r="AB4" s="19"/>
      <c r="AC4" s="8">
        <f>AVERAGE(AC6:AC300)</f>
        <v>3.0472833563347508</v>
      </c>
      <c r="AD4" s="19" t="s">
        <v>3</v>
      </c>
      <c r="AE4" s="19"/>
      <c r="AF4" s="8">
        <f>AVERAGE(AF6:AF300)</f>
        <v>0.43819146390510411</v>
      </c>
      <c r="AG4" s="19" t="s">
        <v>3</v>
      </c>
      <c r="AH4" s="19"/>
      <c r="AI4" s="8">
        <f>AVERAGE(AI6:AI300)</f>
        <v>5.8423335612291662E-2</v>
      </c>
      <c r="AJ4" s="19" t="s">
        <v>3</v>
      </c>
      <c r="AK4" s="19"/>
      <c r="AL4" s="8">
        <f>AVERAGE(AL6:AL300)</f>
        <v>4.352159374999999E-2</v>
      </c>
      <c r="AM4" s="19" t="s">
        <v>3</v>
      </c>
      <c r="AN4" s="19"/>
      <c r="AO4" s="8">
        <f>AVERAGE(AO6:AO300)</f>
        <v>4.0951912679999994E-2</v>
      </c>
      <c r="AP4" s="19" t="s">
        <v>3</v>
      </c>
      <c r="AQ4" s="19"/>
      <c r="AR4" s="8">
        <f>AVERAGE(AR6:AR300)</f>
        <v>2.4703276278958335E-2</v>
      </c>
      <c r="AS4" s="19" t="s">
        <v>3</v>
      </c>
      <c r="AT4" s="19"/>
      <c r="AU4" s="8">
        <f>AVERAGE(AU6:AU300)</f>
        <v>0.52182557616375014</v>
      </c>
      <c r="AV4" s="19" t="s">
        <v>3</v>
      </c>
      <c r="AW4" s="19"/>
      <c r="AX4" s="8">
        <f>AVERAGE(AX6:AX300)</f>
        <v>9.305456580000003E-3</v>
      </c>
      <c r="AY4" s="19" t="s">
        <v>3</v>
      </c>
      <c r="AZ4" s="19"/>
      <c r="BA4" s="8">
        <f>AVERAGE(BA6:BA300)</f>
        <v>6.2957102050000005E-2</v>
      </c>
      <c r="BB4" s="19" t="s">
        <v>3</v>
      </c>
      <c r="BC4" s="19"/>
      <c r="BD4" s="8">
        <f>AVERAGE(BD6:BD300)</f>
        <v>3.7891154847343754E-2</v>
      </c>
      <c r="BE4" s="19" t="s">
        <v>3</v>
      </c>
      <c r="BF4" s="19"/>
      <c r="BG4" s="8">
        <f>AVERAGE(BG6:BG300)</f>
        <v>4.2197151593125003E-2</v>
      </c>
      <c r="BH4" s="19" t="s">
        <v>3</v>
      </c>
      <c r="BI4" s="19"/>
      <c r="BJ4" s="8">
        <f>AVERAGE(BJ6:BJ300)</f>
        <v>7.4357844531249981E-2</v>
      </c>
      <c r="BK4" s="19" t="s">
        <v>3</v>
      </c>
      <c r="BL4" s="19"/>
      <c r="BM4" s="8">
        <f>AVERAGE(BM6:BM300)</f>
        <v>6.594270859375001E-2</v>
      </c>
      <c r="BN4" s="19" t="s">
        <v>3</v>
      </c>
      <c r="BO4" s="19"/>
      <c r="BP4" s="8">
        <f>AVERAGE(BP6:BP300)</f>
        <v>0.13833471984750001</v>
      </c>
      <c r="BQ4" s="19" t="s">
        <v>3</v>
      </c>
      <c r="BR4" s="19"/>
      <c r="BS4" s="8">
        <f>AVERAGE(BS6:BS300)</f>
        <v>7.9883891362812473E-2</v>
      </c>
    </row>
    <row r="5" spans="1:71" x14ac:dyDescent="0.2">
      <c r="A5" s="1"/>
      <c r="B5" s="1"/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  <c r="BK5" s="8" t="s">
        <v>2</v>
      </c>
      <c r="BL5" s="8" t="s">
        <v>1</v>
      </c>
      <c r="BM5" s="8" t="s">
        <v>0</v>
      </c>
      <c r="BN5" s="8" t="s">
        <v>2</v>
      </c>
      <c r="BO5" s="8" t="s">
        <v>1</v>
      </c>
      <c r="BP5" s="8" t="s">
        <v>0</v>
      </c>
      <c r="BQ5" s="8" t="s">
        <v>2</v>
      </c>
      <c r="BR5" s="8" t="s">
        <v>1</v>
      </c>
      <c r="BS5" s="8" t="s">
        <v>0</v>
      </c>
    </row>
    <row r="6" spans="1:71" x14ac:dyDescent="0.2">
      <c r="C6" s="3">
        <v>184.19</v>
      </c>
      <c r="D6" s="3">
        <v>14.69</v>
      </c>
      <c r="E6" s="2">
        <f t="shared" ref="E6:E11" si="0">(C6*D6*D6)/1600000</f>
        <v>2.4842177286874999E-2</v>
      </c>
      <c r="F6" s="3">
        <v>257.5</v>
      </c>
      <c r="G6" s="3">
        <v>10.37</v>
      </c>
      <c r="H6" s="2">
        <f t="shared" ref="H6:H10" si="1">(F6*G6*G6)/1600000</f>
        <v>1.7306719843749999E-2</v>
      </c>
      <c r="I6" s="3">
        <v>405.18</v>
      </c>
      <c r="J6" s="3">
        <v>10.18</v>
      </c>
      <c r="K6" s="2">
        <f t="shared" ref="K6:K10" si="2">(I6*J6*J6)/1600000</f>
        <v>2.6243609894999999E-2</v>
      </c>
      <c r="L6" s="3">
        <v>686.38</v>
      </c>
      <c r="M6" s="3">
        <v>24.45</v>
      </c>
      <c r="N6" s="2">
        <f t="shared" ref="N6:N20" si="3">(L6*M6*M6)/1600000</f>
        <v>0.25644979996875</v>
      </c>
      <c r="O6" s="3">
        <v>448.15</v>
      </c>
      <c r="P6" s="3">
        <v>16.73</v>
      </c>
      <c r="Q6" s="2">
        <f t="shared" ref="Q6:Q7" si="4">(O6*P6*P6)/1600000</f>
        <v>7.839625195937501E-2</v>
      </c>
      <c r="R6" s="3">
        <v>373.74</v>
      </c>
      <c r="S6" s="3">
        <v>13.37</v>
      </c>
      <c r="T6" s="2">
        <f t="shared" ref="T6:T7" si="5">(R6*S6*S6)/1600000</f>
        <v>4.175537737875E-2</v>
      </c>
      <c r="U6" s="3">
        <v>733.35</v>
      </c>
      <c r="V6" s="3">
        <v>21.77</v>
      </c>
      <c r="W6" s="2">
        <f t="shared" ref="W6:W8" si="6">(U6*V6*V6)/1600000</f>
        <v>0.21722418263437498</v>
      </c>
      <c r="X6" s="3">
        <v>998.16</v>
      </c>
      <c r="Y6" s="3">
        <v>25.97</v>
      </c>
      <c r="Z6" s="2">
        <f t="shared" ref="Z6:Z7" si="7">(X6*Y6*Y6)/1600000</f>
        <v>0.42074995546499994</v>
      </c>
      <c r="AA6" s="3">
        <v>1468.47</v>
      </c>
      <c r="AB6" s="3">
        <v>46.74</v>
      </c>
      <c r="AC6" s="2">
        <f t="shared" ref="AC6:AC10" si="8">(AA6*AB6*AB6)/1600000</f>
        <v>2.0050375573575003</v>
      </c>
      <c r="AD6" s="3">
        <v>710.64</v>
      </c>
      <c r="AE6" s="3">
        <v>24.91</v>
      </c>
      <c r="AF6" s="2">
        <f t="shared" ref="AF6:AF11" si="9">(AD6*AE6*AE6)/1600000</f>
        <v>0.27559867261499998</v>
      </c>
      <c r="AG6" s="3">
        <v>442.32</v>
      </c>
      <c r="AH6" s="3">
        <v>10.55</v>
      </c>
      <c r="AI6" s="2">
        <f t="shared" ref="AI6:AI8" si="10">(AG6*AH6*AH6)/1600000</f>
        <v>3.0769576125000007E-2</v>
      </c>
      <c r="AJ6" s="3">
        <v>240.95</v>
      </c>
      <c r="AK6" s="3">
        <v>17</v>
      </c>
      <c r="AL6" s="2">
        <f t="shared" ref="AL6" si="11">(AJ6*AK6*AK6)/1600000</f>
        <v>4.352159374999999E-2</v>
      </c>
      <c r="AM6" s="3">
        <v>321.32</v>
      </c>
      <c r="AN6" s="3">
        <v>14.28</v>
      </c>
      <c r="AO6" s="2">
        <f t="shared" ref="AO6" si="12">(AM6*AN6*AN6)/1600000</f>
        <v>4.0951912679999994E-2</v>
      </c>
      <c r="AP6" s="3">
        <v>254.7</v>
      </c>
      <c r="AQ6" s="3">
        <v>13.66</v>
      </c>
      <c r="AR6" s="2">
        <f t="shared" ref="AR6:AR8" si="13">(AP6*AQ6*AQ6)/1600000</f>
        <v>2.9703687074999999E-2</v>
      </c>
      <c r="AS6" s="3">
        <v>641.02</v>
      </c>
      <c r="AT6" s="3">
        <v>36.090000000000003</v>
      </c>
      <c r="AU6" s="2">
        <f t="shared" ref="AU6" si="14">(AS6*AT6*AT6)/1600000</f>
        <v>0.52182557616375014</v>
      </c>
      <c r="AV6" s="3">
        <v>544.32000000000005</v>
      </c>
      <c r="AW6" s="3">
        <v>5.23</v>
      </c>
      <c r="AX6" s="2">
        <f t="shared" ref="AX6" si="15">(AV6*AW6*AW6)/1600000</f>
        <v>9.305456580000003E-3</v>
      </c>
      <c r="AY6" s="3">
        <v>416.05</v>
      </c>
      <c r="AZ6" s="3">
        <v>15.56</v>
      </c>
      <c r="BA6" s="2">
        <f t="shared" ref="BA6" si="16">(AY6*AZ6*AZ6)/1600000</f>
        <v>6.2957102050000005E-2</v>
      </c>
      <c r="BB6" s="3">
        <v>260.75</v>
      </c>
      <c r="BC6" s="3">
        <v>8.81</v>
      </c>
      <c r="BD6" s="2">
        <f t="shared" ref="BD6:BD9" si="17">(BB6*BC6*BC6)/1600000</f>
        <v>1.2648998796875E-2</v>
      </c>
      <c r="BE6" s="3">
        <v>335.11</v>
      </c>
      <c r="BF6" s="3">
        <v>11.33</v>
      </c>
      <c r="BG6" s="2">
        <f t="shared" ref="BG6:BG8" si="18">(BE6*BF6*BF6)/1600000</f>
        <v>2.6886063799375002E-2</v>
      </c>
      <c r="BH6" s="3">
        <v>404.5</v>
      </c>
      <c r="BI6" s="3">
        <v>17.149999999999999</v>
      </c>
      <c r="BJ6" s="2">
        <f t="shared" ref="BJ6" si="19">(BH6*BI6*BI6)/1600000</f>
        <v>7.4357844531249981E-2</v>
      </c>
      <c r="BK6" s="3">
        <v>376.06</v>
      </c>
      <c r="BL6" s="3">
        <v>16.75</v>
      </c>
      <c r="BM6" s="2">
        <f t="shared" ref="BM6" si="20">(BK6*BL6*BL6)/1600000</f>
        <v>6.594270859375001E-2</v>
      </c>
      <c r="BN6" s="3">
        <v>466.59</v>
      </c>
      <c r="BO6" s="3">
        <v>21.78</v>
      </c>
      <c r="BP6" s="2">
        <f t="shared" ref="BP6" si="21">(BN6*BO6*BO6)/1600000</f>
        <v>0.13833471984750001</v>
      </c>
      <c r="BQ6" s="3">
        <v>320.3</v>
      </c>
      <c r="BR6" s="3">
        <v>11.36</v>
      </c>
      <c r="BS6" s="2">
        <f t="shared" ref="BS6:BS7" si="22">(BQ6*BR6*BR6)/1600000</f>
        <v>2.5834116799999998E-2</v>
      </c>
    </row>
    <row r="7" spans="1:71" x14ac:dyDescent="0.2">
      <c r="C7" s="3">
        <v>243.48</v>
      </c>
      <c r="D7" s="3">
        <v>13.55</v>
      </c>
      <c r="E7" s="2">
        <f t="shared" si="0"/>
        <v>2.7939710437500001E-2</v>
      </c>
      <c r="F7" s="3">
        <v>368.02</v>
      </c>
      <c r="G7" s="3">
        <v>17.5</v>
      </c>
      <c r="H7" s="2">
        <f t="shared" si="1"/>
        <v>7.0441328124999994E-2</v>
      </c>
      <c r="I7" s="3">
        <v>312.27</v>
      </c>
      <c r="J7" s="3">
        <v>13.46</v>
      </c>
      <c r="K7" s="2">
        <f t="shared" si="2"/>
        <v>3.5359034707500001E-2</v>
      </c>
      <c r="L7" s="3">
        <v>748.62</v>
      </c>
      <c r="M7" s="3">
        <v>23.88</v>
      </c>
      <c r="N7" s="2">
        <f t="shared" si="3"/>
        <v>0.26681490557999993</v>
      </c>
      <c r="O7" s="3">
        <v>295.49</v>
      </c>
      <c r="P7" s="3">
        <v>21.04</v>
      </c>
      <c r="Q7" s="2">
        <f t="shared" si="4"/>
        <v>8.1754991239999991E-2</v>
      </c>
      <c r="R7" s="3">
        <v>399.42</v>
      </c>
      <c r="S7" s="3">
        <v>11.78</v>
      </c>
      <c r="T7" s="2">
        <f t="shared" si="5"/>
        <v>3.4641796454999992E-2</v>
      </c>
      <c r="U7" s="3">
        <v>196.09</v>
      </c>
      <c r="V7" s="3">
        <v>12.86</v>
      </c>
      <c r="W7" s="2">
        <f t="shared" si="6"/>
        <v>2.0268303602499999E-2</v>
      </c>
      <c r="X7" s="3">
        <v>333.34</v>
      </c>
      <c r="Y7" s="3">
        <v>17.73</v>
      </c>
      <c r="Z7" s="4">
        <f t="shared" si="7"/>
        <v>6.5491497303750007E-2</v>
      </c>
      <c r="AA7" s="3">
        <v>1131.02</v>
      </c>
      <c r="AB7" s="3">
        <v>40.29</v>
      </c>
      <c r="AC7" s="2">
        <f t="shared" si="8"/>
        <v>1.1474792392387501</v>
      </c>
      <c r="AD7" s="3">
        <v>629.28</v>
      </c>
      <c r="AE7" s="3">
        <v>25.32</v>
      </c>
      <c r="AF7" s="2">
        <f t="shared" si="9"/>
        <v>0.25214557391999998</v>
      </c>
      <c r="AG7" s="3">
        <v>597.99</v>
      </c>
      <c r="AH7" s="3">
        <v>18.690000000000001</v>
      </c>
      <c r="AI7" s="2">
        <f t="shared" si="10"/>
        <v>0.130554709149375</v>
      </c>
      <c r="AJ7" s="3"/>
      <c r="AK7" s="3"/>
      <c r="AL7" s="2"/>
      <c r="AM7" s="3"/>
      <c r="AN7" s="3"/>
      <c r="AO7" s="2"/>
      <c r="AP7" s="3">
        <v>242.11</v>
      </c>
      <c r="AQ7" s="3">
        <v>12.52</v>
      </c>
      <c r="AR7" s="2">
        <f t="shared" si="13"/>
        <v>2.3719274589999999E-2</v>
      </c>
      <c r="AS7" s="3"/>
      <c r="AT7" s="3"/>
      <c r="AU7" s="2"/>
      <c r="AV7" s="3"/>
      <c r="AW7" s="3"/>
      <c r="AX7" s="2"/>
      <c r="AY7" s="3"/>
      <c r="AZ7" s="3"/>
      <c r="BA7" s="2"/>
      <c r="BB7" s="3">
        <v>389.9</v>
      </c>
      <c r="BC7" s="3">
        <v>11.57</v>
      </c>
      <c r="BD7" s="2">
        <f t="shared" si="17"/>
        <v>3.262120281875E-2</v>
      </c>
      <c r="BE7" s="3">
        <v>372.38</v>
      </c>
      <c r="BF7" s="3">
        <v>11.4</v>
      </c>
      <c r="BG7" s="2">
        <f t="shared" si="18"/>
        <v>3.0246565500000006E-2</v>
      </c>
      <c r="BH7" s="3"/>
      <c r="BI7" s="3"/>
      <c r="BJ7" s="2"/>
      <c r="BK7" s="3"/>
      <c r="BL7" s="3"/>
      <c r="BM7" s="2"/>
      <c r="BN7" s="3"/>
      <c r="BO7" s="3"/>
      <c r="BP7" s="2"/>
      <c r="BQ7" s="3">
        <v>626.80999999999995</v>
      </c>
      <c r="BR7" s="3">
        <v>18.489999999999998</v>
      </c>
      <c r="BS7" s="2">
        <f t="shared" si="22"/>
        <v>0.13393366592562495</v>
      </c>
    </row>
    <row r="8" spans="1:71" x14ac:dyDescent="0.2">
      <c r="C8" s="3">
        <v>205.05</v>
      </c>
      <c r="D8" s="3">
        <v>15.36</v>
      </c>
      <c r="E8" s="2">
        <f t="shared" si="0"/>
        <v>3.0235852800000001E-2</v>
      </c>
      <c r="F8" s="3">
        <v>346.34</v>
      </c>
      <c r="G8" s="3">
        <v>13.13</v>
      </c>
      <c r="H8" s="2">
        <f t="shared" si="1"/>
        <v>3.7317463966249999E-2</v>
      </c>
      <c r="I8" s="3">
        <v>349.18</v>
      </c>
      <c r="J8" s="3">
        <v>10.33</v>
      </c>
      <c r="K8" s="2">
        <f t="shared" si="2"/>
        <v>2.328788356375E-2</v>
      </c>
      <c r="L8" s="3">
        <v>1261.98</v>
      </c>
      <c r="M8" s="3">
        <v>32.32</v>
      </c>
      <c r="N8" s="2">
        <f t="shared" si="3"/>
        <v>0.82390131072000006</v>
      </c>
      <c r="O8" s="3"/>
      <c r="P8" s="3"/>
      <c r="Q8" s="2"/>
      <c r="R8" s="3"/>
      <c r="S8" s="3"/>
      <c r="T8" s="2"/>
      <c r="U8" s="3">
        <v>193.45</v>
      </c>
      <c r="V8" s="3">
        <v>13.78</v>
      </c>
      <c r="W8" s="2">
        <f t="shared" si="6"/>
        <v>2.2958694362499997E-2</v>
      </c>
      <c r="X8" s="3"/>
      <c r="Y8" s="3"/>
      <c r="Z8" s="2"/>
      <c r="AA8" s="3">
        <v>2100.39</v>
      </c>
      <c r="AB8" s="3">
        <v>78.84</v>
      </c>
      <c r="AC8" s="2">
        <f t="shared" si="8"/>
        <v>8.1596811879900013</v>
      </c>
      <c r="AD8" s="3">
        <v>1025.4000000000001</v>
      </c>
      <c r="AE8" s="3">
        <v>35.26</v>
      </c>
      <c r="AF8" s="2">
        <f t="shared" si="9"/>
        <v>0.79677912314999999</v>
      </c>
      <c r="AG8" s="3">
        <v>269.45</v>
      </c>
      <c r="AH8" s="3">
        <v>9.1</v>
      </c>
      <c r="AI8" s="2">
        <f t="shared" si="10"/>
        <v>1.3945721562499997E-2</v>
      </c>
      <c r="AJ8" s="3"/>
      <c r="AK8" s="3"/>
      <c r="AL8" s="2"/>
      <c r="AM8" s="3"/>
      <c r="AN8" s="3"/>
      <c r="AO8" s="2"/>
      <c r="AP8" s="3">
        <v>235.71</v>
      </c>
      <c r="AQ8" s="3">
        <v>11.85</v>
      </c>
      <c r="AR8" s="2">
        <f t="shared" si="13"/>
        <v>2.0686867171875001E-2</v>
      </c>
      <c r="AS8" s="3"/>
      <c r="AT8" s="3"/>
      <c r="AU8" s="2"/>
      <c r="AV8" s="3"/>
      <c r="AW8" s="3"/>
      <c r="AX8" s="2"/>
      <c r="AY8" s="3"/>
      <c r="AZ8" s="3"/>
      <c r="BA8" s="2"/>
      <c r="BB8" s="3">
        <v>428.28</v>
      </c>
      <c r="BC8" s="3">
        <v>14.64</v>
      </c>
      <c r="BD8" s="2">
        <f t="shared" si="17"/>
        <v>5.7370675680000004E-2</v>
      </c>
      <c r="BE8" s="3">
        <v>430.88</v>
      </c>
      <c r="BF8" s="3">
        <v>16.059999999999999</v>
      </c>
      <c r="BG8" s="2">
        <f t="shared" si="18"/>
        <v>6.9458825479999986E-2</v>
      </c>
      <c r="BH8" s="3"/>
      <c r="BI8" s="3"/>
      <c r="BJ8" s="2"/>
      <c r="BK8" s="3"/>
      <c r="BL8" s="3"/>
      <c r="BM8" s="2"/>
      <c r="BN8" s="3"/>
      <c r="BO8" s="3"/>
      <c r="BP8" s="2"/>
      <c r="BQ8" s="3"/>
      <c r="BR8" s="3"/>
      <c r="BS8" s="2"/>
    </row>
    <row r="9" spans="1:71" x14ac:dyDescent="0.2">
      <c r="C9" s="3">
        <v>278.13</v>
      </c>
      <c r="D9" s="3">
        <v>17.29</v>
      </c>
      <c r="E9" s="2">
        <f t="shared" si="0"/>
        <v>5.1965826583124999E-2</v>
      </c>
      <c r="F9" s="3">
        <v>347.85</v>
      </c>
      <c r="G9" s="3">
        <v>14.46</v>
      </c>
      <c r="H9" s="2">
        <f t="shared" si="1"/>
        <v>4.5457820662500009E-2</v>
      </c>
      <c r="I9" s="3">
        <v>792.95</v>
      </c>
      <c r="J9" s="3">
        <v>30.48</v>
      </c>
      <c r="K9" s="2">
        <f t="shared" si="2"/>
        <v>0.46042165980000005</v>
      </c>
      <c r="L9" s="3">
        <v>892.35</v>
      </c>
      <c r="M9" s="3">
        <v>31.46</v>
      </c>
      <c r="N9" s="2">
        <f t="shared" si="3"/>
        <v>0.55199187078750012</v>
      </c>
      <c r="O9" s="3"/>
      <c r="P9" s="3"/>
      <c r="Q9" s="2"/>
      <c r="R9" s="3"/>
      <c r="S9" s="3"/>
      <c r="T9" s="2"/>
      <c r="U9" s="3"/>
      <c r="V9" s="3"/>
      <c r="W9" s="2"/>
      <c r="X9" s="3"/>
      <c r="Y9" s="3"/>
      <c r="Z9" s="2"/>
      <c r="AA9" s="3">
        <v>1547.55</v>
      </c>
      <c r="AB9" s="3">
        <v>61.26</v>
      </c>
      <c r="AC9" s="2">
        <f t="shared" si="8"/>
        <v>3.6297665314875003</v>
      </c>
      <c r="AD9" s="3">
        <v>918.82</v>
      </c>
      <c r="AE9" s="3">
        <v>35.29</v>
      </c>
      <c r="AF9" s="2">
        <f t="shared" si="9"/>
        <v>0.71517738672624998</v>
      </c>
      <c r="AG9" s="3"/>
      <c r="AH9" s="3"/>
      <c r="AI9" s="2"/>
      <c r="AJ9" s="3"/>
      <c r="AK9" s="3"/>
      <c r="AL9" s="2"/>
      <c r="AM9" s="3"/>
      <c r="AN9" s="3"/>
      <c r="AO9" s="2"/>
      <c r="AP9" s="3"/>
      <c r="AQ9" s="3"/>
      <c r="AR9" s="2"/>
      <c r="AS9" s="3"/>
      <c r="AT9" s="3"/>
      <c r="AU9" s="2"/>
      <c r="AV9" s="3"/>
      <c r="AW9" s="3"/>
      <c r="AX9" s="2"/>
      <c r="AY9" s="3"/>
      <c r="AZ9" s="3"/>
      <c r="BA9" s="2"/>
      <c r="BB9" s="3">
        <v>396.54</v>
      </c>
      <c r="BC9" s="3">
        <v>14.05</v>
      </c>
      <c r="BD9" s="2">
        <f t="shared" si="17"/>
        <v>4.8923742093750007E-2</v>
      </c>
      <c r="BE9" s="3"/>
      <c r="BF9" s="3"/>
      <c r="BG9" s="2"/>
      <c r="BH9" s="3"/>
      <c r="BI9" s="3"/>
      <c r="BJ9" s="2"/>
      <c r="BK9" s="3"/>
      <c r="BL9" s="3"/>
      <c r="BM9" s="2"/>
      <c r="BN9" s="3"/>
      <c r="BO9" s="3"/>
      <c r="BP9" s="2"/>
      <c r="BQ9" s="3"/>
      <c r="BR9" s="3"/>
      <c r="BS9" s="2"/>
    </row>
    <row r="10" spans="1:71" x14ac:dyDescent="0.2">
      <c r="C10" s="3">
        <v>236.37</v>
      </c>
      <c r="D10" s="3">
        <v>14.11</v>
      </c>
      <c r="E10" s="2">
        <f t="shared" si="0"/>
        <v>2.9412124798124998E-2</v>
      </c>
      <c r="F10" s="3">
        <v>383.94</v>
      </c>
      <c r="G10" s="3">
        <v>13.87</v>
      </c>
      <c r="H10" s="2">
        <f t="shared" si="1"/>
        <v>4.6163241866250003E-2</v>
      </c>
      <c r="I10" s="3">
        <v>324.14</v>
      </c>
      <c r="J10" s="3">
        <v>14.93</v>
      </c>
      <c r="K10" s="2">
        <f t="shared" si="2"/>
        <v>4.5157746428749999E-2</v>
      </c>
      <c r="L10" s="3">
        <v>626.45000000000005</v>
      </c>
      <c r="M10" s="3">
        <v>22.34</v>
      </c>
      <c r="N10" s="2">
        <f t="shared" si="3"/>
        <v>0.1954036935125</v>
      </c>
      <c r="O10" s="3"/>
      <c r="P10" s="3"/>
      <c r="Q10" s="2"/>
      <c r="R10" s="3"/>
      <c r="S10" s="3"/>
      <c r="T10" s="2"/>
      <c r="U10" s="3"/>
      <c r="V10" s="3"/>
      <c r="W10" s="2"/>
      <c r="X10" s="3"/>
      <c r="Y10" s="3"/>
      <c r="Z10" s="2"/>
      <c r="AA10" s="3">
        <v>607.85</v>
      </c>
      <c r="AB10" s="3">
        <v>27.84</v>
      </c>
      <c r="AC10" s="2">
        <f t="shared" si="8"/>
        <v>0.29445226560000004</v>
      </c>
      <c r="AD10" s="3">
        <v>628.14</v>
      </c>
      <c r="AE10" s="3">
        <v>23.51</v>
      </c>
      <c r="AF10" s="2">
        <f t="shared" si="9"/>
        <v>0.21699100225875001</v>
      </c>
      <c r="AG10" s="3"/>
      <c r="AH10" s="3"/>
      <c r="AI10" s="2"/>
      <c r="AJ10" s="3"/>
      <c r="AK10" s="3"/>
      <c r="AL10" s="2"/>
      <c r="AM10" s="3"/>
      <c r="AN10" s="3"/>
      <c r="AO10" s="2"/>
      <c r="AP10" s="3"/>
      <c r="AQ10" s="3"/>
      <c r="AR10" s="2"/>
      <c r="AS10" s="3"/>
      <c r="AT10" s="3"/>
      <c r="AU10" s="2"/>
      <c r="AV10" s="3"/>
      <c r="AW10" s="3"/>
      <c r="AX10" s="2"/>
      <c r="AY10" s="3"/>
      <c r="AZ10" s="3"/>
      <c r="BA10" s="2"/>
      <c r="BB10" s="3"/>
      <c r="BC10" s="3"/>
      <c r="BD10" s="2"/>
      <c r="BE10" s="3"/>
      <c r="BF10" s="3"/>
      <c r="BG10" s="2"/>
      <c r="BH10" s="3"/>
      <c r="BI10" s="3"/>
      <c r="BJ10" s="2"/>
      <c r="BK10" s="3"/>
      <c r="BL10" s="3"/>
      <c r="BM10" s="2"/>
      <c r="BN10" s="3"/>
      <c r="BO10" s="3"/>
      <c r="BP10" s="2"/>
      <c r="BQ10" s="3"/>
      <c r="BR10" s="3"/>
      <c r="BS10" s="2"/>
    </row>
    <row r="11" spans="1:71" x14ac:dyDescent="0.2">
      <c r="C11" s="3">
        <v>305.76</v>
      </c>
      <c r="D11" s="3">
        <v>15.67</v>
      </c>
      <c r="E11" s="2">
        <f t="shared" si="0"/>
        <v>4.6924394789999997E-2</v>
      </c>
      <c r="F11" s="3"/>
      <c r="G11" s="3"/>
      <c r="H11" s="2"/>
      <c r="I11" s="3"/>
      <c r="J11" s="3"/>
      <c r="K11" s="2"/>
      <c r="L11" s="3">
        <v>616.01</v>
      </c>
      <c r="M11" s="3">
        <v>20.91</v>
      </c>
      <c r="N11" s="2">
        <f t="shared" si="3"/>
        <v>0.16833555117562501</v>
      </c>
      <c r="O11" s="3"/>
      <c r="P11" s="3"/>
      <c r="Q11" s="2"/>
      <c r="R11" s="3"/>
      <c r="S11" s="3"/>
      <c r="T11" s="2"/>
      <c r="U11" s="3"/>
      <c r="V11" s="3"/>
      <c r="W11" s="2"/>
      <c r="X11" s="3"/>
      <c r="Y11" s="3"/>
      <c r="Z11" s="2"/>
      <c r="AA11" s="3"/>
      <c r="AB11" s="3"/>
      <c r="AC11" s="2"/>
      <c r="AD11" s="3">
        <v>756.33</v>
      </c>
      <c r="AE11" s="3">
        <v>28.07</v>
      </c>
      <c r="AF11" s="2">
        <f t="shared" si="9"/>
        <v>0.37245702476062509</v>
      </c>
      <c r="AG11" s="3"/>
      <c r="AH11" s="3"/>
      <c r="AI11" s="2"/>
      <c r="AJ11" s="3"/>
      <c r="AK11" s="3"/>
      <c r="AL11" s="2"/>
      <c r="AM11" s="3"/>
      <c r="AN11" s="3"/>
      <c r="AO11" s="2"/>
      <c r="AP11" s="3"/>
      <c r="AQ11" s="3"/>
      <c r="AR11" s="2"/>
      <c r="AS11" s="3"/>
      <c r="AT11" s="3"/>
      <c r="AU11" s="2"/>
      <c r="AV11" s="3"/>
      <c r="AW11" s="3"/>
      <c r="AX11" s="2"/>
      <c r="AY11" s="3"/>
      <c r="AZ11" s="3"/>
      <c r="BA11" s="2"/>
      <c r="BB11" s="3"/>
      <c r="BC11" s="3"/>
      <c r="BD11" s="2"/>
      <c r="BE11" s="3"/>
      <c r="BF11" s="3"/>
      <c r="BG11" s="2"/>
      <c r="BH11" s="3"/>
      <c r="BI11" s="3"/>
      <c r="BJ11" s="2"/>
      <c r="BK11" s="3"/>
      <c r="BL11" s="3"/>
      <c r="BM11" s="2"/>
      <c r="BN11" s="3"/>
      <c r="BO11" s="3"/>
      <c r="BP11" s="2"/>
      <c r="BQ11" s="3"/>
      <c r="BR11" s="3"/>
      <c r="BS11" s="2"/>
    </row>
    <row r="12" spans="1:71" x14ac:dyDescent="0.2">
      <c r="C12" s="3"/>
      <c r="D12" s="3"/>
      <c r="E12" s="2"/>
      <c r="F12" s="3"/>
      <c r="G12" s="3"/>
      <c r="H12" s="2"/>
      <c r="I12" s="3"/>
      <c r="J12" s="3"/>
      <c r="K12" s="2"/>
      <c r="L12" s="3">
        <v>842.98</v>
      </c>
      <c r="M12" s="3">
        <v>28.52</v>
      </c>
      <c r="N12" s="2">
        <f t="shared" si="3"/>
        <v>0.42854489961999997</v>
      </c>
      <c r="O12" s="3"/>
      <c r="P12" s="3"/>
      <c r="Q12" s="2"/>
      <c r="R12" s="3"/>
      <c r="S12" s="3"/>
      <c r="T12" s="2"/>
      <c r="U12" s="3"/>
      <c r="V12" s="3"/>
      <c r="W12" s="2"/>
      <c r="X12" s="3"/>
      <c r="Y12" s="3"/>
      <c r="Z12" s="2"/>
      <c r="AA12" s="3"/>
      <c r="AB12" s="3"/>
      <c r="AC12" s="2"/>
      <c r="AD12" s="3"/>
      <c r="AE12" s="3"/>
      <c r="AF12" s="2"/>
      <c r="AG12" s="3"/>
      <c r="AH12" s="3"/>
      <c r="AI12" s="2"/>
      <c r="AJ12" s="3"/>
      <c r="AK12" s="3"/>
      <c r="AL12" s="2"/>
      <c r="AM12" s="3"/>
      <c r="AN12" s="3"/>
      <c r="AO12" s="2"/>
      <c r="AP12" s="3"/>
      <c r="AQ12" s="3"/>
      <c r="AR12" s="2"/>
      <c r="AS12" s="3"/>
      <c r="AT12" s="3"/>
      <c r="AU12" s="2"/>
      <c r="AV12" s="3"/>
      <c r="AW12" s="3"/>
      <c r="AX12" s="2"/>
      <c r="AY12" s="3"/>
      <c r="AZ12" s="3"/>
      <c r="BA12" s="2"/>
      <c r="BB12" s="3"/>
      <c r="BC12" s="3"/>
      <c r="BD12" s="2"/>
      <c r="BE12" s="3"/>
      <c r="BF12" s="3"/>
      <c r="BG12" s="2"/>
      <c r="BH12" s="3"/>
      <c r="BI12" s="3"/>
      <c r="BJ12" s="2"/>
      <c r="BK12" s="3"/>
      <c r="BL12" s="3"/>
      <c r="BM12" s="2"/>
      <c r="BN12" s="3"/>
      <c r="BO12" s="3"/>
      <c r="BP12" s="2"/>
      <c r="BQ12" s="3"/>
      <c r="BR12" s="3"/>
      <c r="BS12" s="2"/>
    </row>
    <row r="13" spans="1:71" x14ac:dyDescent="0.2">
      <c r="C13" s="3"/>
      <c r="D13" s="3"/>
      <c r="E13" s="2"/>
      <c r="F13" s="3"/>
      <c r="G13" s="3"/>
      <c r="H13" s="2"/>
      <c r="I13" s="3"/>
      <c r="J13" s="3"/>
      <c r="K13" s="2"/>
      <c r="L13" s="3">
        <v>466.23</v>
      </c>
      <c r="M13" s="3">
        <v>20.11</v>
      </c>
      <c r="N13" s="2">
        <f t="shared" si="3"/>
        <v>0.11784315836437499</v>
      </c>
      <c r="O13" s="3"/>
      <c r="P13" s="3"/>
      <c r="Q13" s="2"/>
      <c r="R13" s="3"/>
      <c r="S13" s="3"/>
      <c r="T13" s="2"/>
      <c r="U13" s="3"/>
      <c r="V13" s="3"/>
      <c r="W13" s="2"/>
      <c r="X13" s="3"/>
      <c r="Y13" s="3"/>
      <c r="Z13" s="2"/>
      <c r="AA13" s="3"/>
      <c r="AB13" s="3"/>
      <c r="AC13" s="2"/>
      <c r="AD13" s="3"/>
      <c r="AE13" s="3"/>
      <c r="AF13" s="2"/>
      <c r="AG13" s="3"/>
      <c r="AH13" s="3"/>
      <c r="AI13" s="2"/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/>
      <c r="AW13" s="3"/>
      <c r="AX13" s="2"/>
      <c r="AY13" s="3"/>
      <c r="AZ13" s="3"/>
      <c r="BA13" s="2"/>
      <c r="BB13" s="3"/>
      <c r="BC13" s="3"/>
      <c r="BD13" s="2"/>
      <c r="BE13" s="3"/>
      <c r="BF13" s="3"/>
      <c r="BG13" s="2"/>
      <c r="BH13" s="3"/>
      <c r="BI13" s="3"/>
      <c r="BJ13" s="2"/>
      <c r="BK13" s="3"/>
      <c r="BL13" s="3"/>
      <c r="BM13" s="2"/>
      <c r="BN13" s="3"/>
      <c r="BO13" s="3"/>
      <c r="BP13" s="2"/>
      <c r="BQ13" s="3"/>
      <c r="BR13" s="3"/>
      <c r="BS13" s="2"/>
    </row>
    <row r="14" spans="1:71" x14ac:dyDescent="0.2">
      <c r="C14" s="3"/>
      <c r="D14" s="3"/>
      <c r="E14" s="2"/>
      <c r="F14" s="3"/>
      <c r="G14" s="3"/>
      <c r="H14" s="2"/>
      <c r="I14" s="3"/>
      <c r="J14" s="3"/>
      <c r="K14" s="2"/>
      <c r="L14" s="3">
        <v>926.64</v>
      </c>
      <c r="M14" s="3">
        <v>29.21</v>
      </c>
      <c r="N14" s="2">
        <f t="shared" si="3"/>
        <v>0.49414473751499999</v>
      </c>
      <c r="O14" s="3"/>
      <c r="P14" s="3"/>
      <c r="Q14" s="2"/>
      <c r="R14" s="3"/>
      <c r="S14" s="3"/>
      <c r="T14" s="2"/>
      <c r="U14" s="3"/>
      <c r="V14" s="3"/>
      <c r="W14" s="2"/>
      <c r="X14" s="3"/>
      <c r="Y14" s="3"/>
      <c r="Z14" s="2"/>
      <c r="AA14" s="3"/>
      <c r="AB14" s="3"/>
      <c r="AC14" s="2"/>
      <c r="AD14" s="3"/>
      <c r="AE14" s="3"/>
      <c r="AF14" s="2"/>
      <c r="AG14" s="3"/>
      <c r="AH14" s="3"/>
      <c r="AI14" s="2"/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/>
      <c r="AW14" s="3"/>
      <c r="AX14" s="2"/>
      <c r="AY14" s="3"/>
      <c r="AZ14" s="3"/>
      <c r="BA14" s="2"/>
      <c r="BB14" s="3"/>
      <c r="BC14" s="3"/>
      <c r="BD14" s="2"/>
      <c r="BE14" s="3"/>
      <c r="BF14" s="3"/>
      <c r="BG14" s="2"/>
      <c r="BH14" s="3"/>
      <c r="BI14" s="3"/>
      <c r="BJ14" s="2"/>
      <c r="BK14" s="3"/>
      <c r="BL14" s="3"/>
      <c r="BM14" s="2"/>
      <c r="BN14" s="3"/>
      <c r="BO14" s="3"/>
      <c r="BP14" s="2"/>
      <c r="BQ14" s="3"/>
      <c r="BR14" s="3"/>
      <c r="BS14" s="2"/>
    </row>
    <row r="15" spans="1:71" x14ac:dyDescent="0.2">
      <c r="C15" s="3"/>
      <c r="D15" s="3"/>
      <c r="E15" s="2"/>
      <c r="F15" s="3"/>
      <c r="G15" s="3"/>
      <c r="H15" s="2"/>
      <c r="I15" s="3"/>
      <c r="J15" s="3"/>
      <c r="K15" s="2"/>
      <c r="L15" s="3">
        <v>774.14</v>
      </c>
      <c r="M15" s="3">
        <v>27.6</v>
      </c>
      <c r="N15" s="2">
        <f t="shared" si="3"/>
        <v>0.36856805399999998</v>
      </c>
      <c r="O15" s="3"/>
      <c r="P15" s="3"/>
      <c r="Q15" s="2"/>
      <c r="R15" s="3"/>
      <c r="S15" s="3"/>
      <c r="T15" s="2"/>
      <c r="U15" s="3"/>
      <c r="V15" s="3"/>
      <c r="W15" s="2"/>
      <c r="X15" s="3"/>
      <c r="Y15" s="3"/>
      <c r="Z15" s="2"/>
      <c r="AA15" s="3"/>
      <c r="AB15" s="3"/>
      <c r="AC15" s="2"/>
      <c r="AD15" s="3"/>
      <c r="AE15" s="3"/>
      <c r="AF15" s="2"/>
      <c r="AG15" s="3"/>
      <c r="AH15" s="3"/>
      <c r="AI15" s="2"/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/>
      <c r="AW15" s="3"/>
      <c r="AX15" s="2"/>
      <c r="AY15" s="3"/>
      <c r="AZ15" s="3"/>
      <c r="BA15" s="2"/>
      <c r="BB15" s="3"/>
      <c r="BC15" s="3"/>
      <c r="BD15" s="2"/>
      <c r="BE15" s="3"/>
      <c r="BF15" s="3"/>
      <c r="BG15" s="2"/>
      <c r="BH15" s="3"/>
      <c r="BI15" s="3"/>
      <c r="BJ15" s="2"/>
      <c r="BK15" s="3"/>
      <c r="BL15" s="3"/>
      <c r="BM15" s="2"/>
      <c r="BN15" s="3"/>
      <c r="BO15" s="3"/>
      <c r="BP15" s="2"/>
      <c r="BQ15" s="3"/>
      <c r="BR15" s="3"/>
      <c r="BS15" s="2"/>
    </row>
    <row r="16" spans="1:71" x14ac:dyDescent="0.2">
      <c r="C16" s="3"/>
      <c r="D16" s="3"/>
      <c r="E16" s="2"/>
      <c r="F16" s="3"/>
      <c r="G16" s="3"/>
      <c r="H16" s="2"/>
      <c r="I16" s="3"/>
      <c r="J16" s="3"/>
      <c r="K16" s="2"/>
      <c r="L16" s="3">
        <v>880.42</v>
      </c>
      <c r="M16" s="3">
        <v>29.05</v>
      </c>
      <c r="N16" s="2">
        <f t="shared" si="3"/>
        <v>0.46436789940625001</v>
      </c>
      <c r="O16" s="3"/>
      <c r="P16" s="3"/>
      <c r="Q16" s="2"/>
      <c r="R16" s="3"/>
      <c r="S16" s="3"/>
      <c r="T16" s="2"/>
      <c r="U16" s="3"/>
      <c r="V16" s="3"/>
      <c r="W16" s="2"/>
      <c r="X16" s="3"/>
      <c r="Y16" s="3"/>
      <c r="Z16" s="2"/>
      <c r="AA16" s="3"/>
      <c r="AB16" s="3"/>
      <c r="AC16" s="2"/>
      <c r="AD16" s="3"/>
      <c r="AE16" s="3"/>
      <c r="AF16" s="2"/>
      <c r="AG16" s="3"/>
      <c r="AH16" s="3"/>
      <c r="AI16" s="2"/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/>
      <c r="AW16" s="3"/>
      <c r="AX16" s="2"/>
      <c r="AY16" s="3"/>
      <c r="AZ16" s="3"/>
      <c r="BA16" s="2"/>
      <c r="BB16" s="3"/>
      <c r="BC16" s="3"/>
      <c r="BD16" s="2"/>
      <c r="BE16" s="3"/>
      <c r="BF16" s="3"/>
      <c r="BG16" s="2"/>
      <c r="BH16" s="3"/>
      <c r="BI16" s="3"/>
      <c r="BJ16" s="2"/>
      <c r="BK16" s="3"/>
      <c r="BL16" s="3"/>
      <c r="BM16" s="2"/>
      <c r="BN16" s="3"/>
      <c r="BO16" s="3"/>
      <c r="BP16" s="2"/>
      <c r="BQ16" s="3"/>
      <c r="BR16" s="3"/>
      <c r="BS16" s="2"/>
    </row>
    <row r="17" spans="3:71" x14ac:dyDescent="0.2">
      <c r="C17" s="3"/>
      <c r="D17" s="3"/>
      <c r="E17" s="2"/>
      <c r="F17" s="3"/>
      <c r="G17" s="3"/>
      <c r="H17" s="2"/>
      <c r="I17" s="3"/>
      <c r="J17" s="3"/>
      <c r="K17" s="2"/>
      <c r="L17" s="3">
        <v>385.21</v>
      </c>
      <c r="M17" s="3">
        <v>14.59</v>
      </c>
      <c r="N17" s="2">
        <f t="shared" si="3"/>
        <v>5.1249325500624998E-2</v>
      </c>
      <c r="O17" s="3"/>
      <c r="P17" s="3"/>
      <c r="Q17" s="2"/>
      <c r="R17" s="3"/>
      <c r="S17" s="3"/>
      <c r="T17" s="2"/>
      <c r="U17" s="3"/>
      <c r="V17" s="3"/>
      <c r="W17" s="2"/>
      <c r="X17" s="3"/>
      <c r="Y17" s="3"/>
      <c r="Z17" s="2"/>
      <c r="AA17" s="3"/>
      <c r="AB17" s="3"/>
      <c r="AC17" s="2"/>
      <c r="AD17" s="3"/>
      <c r="AE17" s="3"/>
      <c r="AF17" s="2"/>
      <c r="AG17" s="3"/>
      <c r="AH17" s="3"/>
      <c r="AI17" s="2"/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/>
      <c r="AW17" s="3"/>
      <c r="AX17" s="2"/>
      <c r="AY17" s="3"/>
      <c r="AZ17" s="3"/>
      <c r="BA17" s="2"/>
      <c r="BB17" s="3"/>
      <c r="BC17" s="3"/>
      <c r="BD17" s="2"/>
      <c r="BE17" s="3"/>
      <c r="BF17" s="3"/>
      <c r="BG17" s="2"/>
      <c r="BH17" s="3"/>
      <c r="BI17" s="3"/>
      <c r="BJ17" s="2"/>
      <c r="BK17" s="3"/>
      <c r="BL17" s="3"/>
      <c r="BM17" s="2"/>
      <c r="BN17" s="3"/>
      <c r="BO17" s="3"/>
      <c r="BP17" s="2"/>
      <c r="BQ17" s="3"/>
      <c r="BR17" s="3"/>
      <c r="BS17" s="2"/>
    </row>
    <row r="18" spans="3:71" x14ac:dyDescent="0.2">
      <c r="C18" s="3"/>
      <c r="D18" s="3"/>
      <c r="E18" s="2"/>
      <c r="F18" s="3"/>
      <c r="G18" s="3"/>
      <c r="H18" s="2"/>
      <c r="I18" s="3"/>
      <c r="J18" s="3"/>
      <c r="K18" s="2"/>
      <c r="L18" s="3">
        <v>549.29</v>
      </c>
      <c r="M18" s="3">
        <v>19.2</v>
      </c>
      <c r="N18" s="2">
        <f t="shared" si="3"/>
        <v>0.12655641599999998</v>
      </c>
      <c r="O18" s="3"/>
      <c r="P18" s="3"/>
      <c r="Q18" s="2"/>
      <c r="R18" s="3"/>
      <c r="S18" s="3"/>
      <c r="T18" s="2"/>
      <c r="U18" s="3"/>
      <c r="V18" s="3"/>
      <c r="W18" s="2"/>
      <c r="X18" s="3"/>
      <c r="Y18" s="3"/>
      <c r="Z18" s="2"/>
      <c r="AA18" s="3"/>
      <c r="AB18" s="3"/>
      <c r="AC18" s="2"/>
      <c r="AD18" s="3"/>
      <c r="AE18" s="3"/>
      <c r="AF18" s="2"/>
      <c r="AG18" s="3"/>
      <c r="AH18" s="3"/>
      <c r="AI18" s="2"/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/>
      <c r="AW18" s="3"/>
      <c r="AX18" s="2"/>
      <c r="AY18" s="3"/>
      <c r="AZ18" s="3"/>
      <c r="BA18" s="2"/>
      <c r="BB18" s="3"/>
      <c r="BC18" s="3"/>
      <c r="BD18" s="2"/>
      <c r="BE18" s="3"/>
      <c r="BF18" s="3"/>
      <c r="BG18" s="2"/>
      <c r="BH18" s="3"/>
      <c r="BI18" s="3"/>
      <c r="BJ18" s="2"/>
      <c r="BK18" s="3"/>
      <c r="BL18" s="3"/>
      <c r="BM18" s="2"/>
      <c r="BN18" s="3"/>
      <c r="BO18" s="3"/>
      <c r="BP18" s="2"/>
      <c r="BQ18" s="3"/>
      <c r="BR18" s="3"/>
      <c r="BS18" s="2"/>
    </row>
    <row r="19" spans="3:71" x14ac:dyDescent="0.2">
      <c r="C19" s="3"/>
      <c r="D19" s="3"/>
      <c r="E19" s="2"/>
      <c r="F19" s="3"/>
      <c r="G19" s="3"/>
      <c r="H19" s="2"/>
      <c r="I19" s="3"/>
      <c r="J19" s="3"/>
      <c r="K19" s="2"/>
      <c r="L19" s="3">
        <v>670.14</v>
      </c>
      <c r="M19" s="3">
        <v>24.1</v>
      </c>
      <c r="N19" s="2">
        <f t="shared" si="3"/>
        <v>0.24326500837500001</v>
      </c>
      <c r="O19" s="3"/>
      <c r="P19" s="3"/>
      <c r="Q19" s="2"/>
      <c r="R19" s="3"/>
      <c r="S19" s="3"/>
      <c r="T19" s="2"/>
      <c r="U19" s="3"/>
      <c r="V19" s="3"/>
      <c r="W19" s="2"/>
      <c r="X19" s="3"/>
      <c r="Y19" s="3"/>
      <c r="Z19" s="2"/>
      <c r="AA19" s="3"/>
      <c r="AB19" s="3"/>
      <c r="AC19" s="2"/>
      <c r="AD19" s="3"/>
      <c r="AE19" s="3"/>
      <c r="AF19" s="2"/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/>
      <c r="AW19" s="3"/>
      <c r="AX19" s="2"/>
      <c r="AY19" s="3"/>
      <c r="AZ19" s="3"/>
      <c r="BA19" s="2"/>
      <c r="BB19" s="3"/>
      <c r="BC19" s="3"/>
      <c r="BD19" s="2"/>
      <c r="BE19" s="3"/>
      <c r="BF19" s="3"/>
      <c r="BG19" s="2"/>
      <c r="BH19" s="3"/>
      <c r="BI19" s="3"/>
      <c r="BJ19" s="2"/>
      <c r="BK19" s="3"/>
      <c r="BL19" s="3"/>
      <c r="BM19" s="2"/>
      <c r="BN19" s="3"/>
      <c r="BO19" s="3"/>
      <c r="BP19" s="2"/>
      <c r="BQ19" s="3"/>
      <c r="BR19" s="3"/>
      <c r="BS19" s="2"/>
    </row>
    <row r="20" spans="3:71" x14ac:dyDescent="0.2">
      <c r="C20" s="3"/>
      <c r="D20" s="3"/>
      <c r="E20" s="2"/>
      <c r="F20" s="3"/>
      <c r="G20" s="3"/>
      <c r="H20" s="2"/>
      <c r="I20" s="3"/>
      <c r="J20" s="3"/>
      <c r="K20" s="2"/>
      <c r="L20" s="3">
        <v>651.51</v>
      </c>
      <c r="M20" s="3">
        <v>25.42</v>
      </c>
      <c r="N20" s="2">
        <f t="shared" si="3"/>
        <v>0.26311899147750001</v>
      </c>
      <c r="O20" s="3"/>
      <c r="P20" s="3"/>
      <c r="Q20" s="2"/>
      <c r="R20" s="3"/>
      <c r="S20" s="3"/>
      <c r="T20" s="2"/>
      <c r="U20" s="3"/>
      <c r="V20" s="3"/>
      <c r="W20" s="2"/>
      <c r="X20" s="3"/>
      <c r="Y20" s="3"/>
      <c r="Z20" s="2"/>
      <c r="AA20" s="3"/>
      <c r="AB20" s="3"/>
      <c r="AC20" s="2"/>
      <c r="AD20" s="3"/>
      <c r="AE20" s="3"/>
      <c r="AF20" s="2"/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  <c r="BE20" s="3"/>
      <c r="BF20" s="3"/>
      <c r="BG20" s="2"/>
      <c r="BH20" s="3"/>
      <c r="BI20" s="3"/>
      <c r="BJ20" s="2"/>
      <c r="BK20" s="3"/>
      <c r="BL20" s="3"/>
      <c r="BM20" s="2"/>
      <c r="BN20" s="3"/>
      <c r="BO20" s="3"/>
      <c r="BP20" s="2"/>
      <c r="BQ20" s="3"/>
      <c r="BR20" s="3"/>
      <c r="BS20" s="2"/>
    </row>
    <row r="21" spans="3:71" x14ac:dyDescent="0.2">
      <c r="E21" s="2"/>
      <c r="H21" s="2"/>
      <c r="K21" s="2"/>
      <c r="N21" s="2"/>
      <c r="Q21" s="2"/>
      <c r="T21" s="2"/>
      <c r="W21" s="2"/>
      <c r="Z21" s="2"/>
      <c r="AC21" s="2"/>
      <c r="AF21" s="2"/>
      <c r="AI21" s="2"/>
      <c r="AL21" s="2"/>
      <c r="AO21" s="2"/>
      <c r="AR21" s="2"/>
      <c r="AU21" s="2"/>
      <c r="AX21" s="2"/>
      <c r="BA21" s="2"/>
      <c r="BD21" s="2"/>
      <c r="BG21" s="2"/>
      <c r="BJ21" s="2"/>
      <c r="BM21" s="2"/>
      <c r="BP21" s="2"/>
      <c r="BS21" s="2"/>
    </row>
    <row r="22" spans="3:71" x14ac:dyDescent="0.2">
      <c r="E22" s="2"/>
      <c r="H22" s="2"/>
      <c r="K22" s="2"/>
      <c r="N22" s="2"/>
      <c r="Q22" s="2"/>
      <c r="T22" s="2"/>
      <c r="W22" s="2"/>
      <c r="Z22" s="2"/>
      <c r="AC22" s="2"/>
      <c r="AF22" s="2"/>
      <c r="AI22" s="2"/>
      <c r="AL22" s="2"/>
      <c r="AO22" s="2"/>
      <c r="AR22" s="2"/>
      <c r="AU22" s="2"/>
      <c r="AX22" s="2"/>
      <c r="BA22" s="2"/>
      <c r="BD22" s="2"/>
      <c r="BG22" s="2"/>
      <c r="BJ22" s="2"/>
      <c r="BM22" s="2"/>
      <c r="BP22" s="2"/>
      <c r="BS22" s="2"/>
    </row>
    <row r="23" spans="3:71" x14ac:dyDescent="0.2">
      <c r="E23" s="2"/>
      <c r="H23" s="2"/>
      <c r="K23" s="2"/>
      <c r="N23" s="2"/>
      <c r="Q23" s="2"/>
      <c r="T23" s="2"/>
      <c r="W23" s="2"/>
      <c r="Z23" s="2"/>
      <c r="AC23" s="2"/>
      <c r="AF23" s="2"/>
      <c r="AI23" s="2"/>
      <c r="AL23" s="2"/>
      <c r="AO23" s="2"/>
      <c r="AR23" s="2"/>
      <c r="AU23" s="2"/>
      <c r="AX23" s="2"/>
      <c r="BA23" s="2"/>
      <c r="BD23" s="2"/>
      <c r="BG23" s="2"/>
      <c r="BJ23" s="2"/>
      <c r="BM23" s="2"/>
      <c r="BP23" s="2"/>
      <c r="BS23" s="2"/>
    </row>
    <row r="24" spans="3:71" x14ac:dyDescent="0.2">
      <c r="E24" s="2"/>
      <c r="H24" s="2"/>
      <c r="K24" s="2"/>
      <c r="N24" s="2"/>
      <c r="Q24" s="2"/>
      <c r="T24" s="2"/>
      <c r="W24" s="2"/>
      <c r="Z24" s="2"/>
      <c r="AC24" s="2"/>
      <c r="AF24" s="2"/>
      <c r="AI24" s="2"/>
      <c r="AL24" s="2"/>
      <c r="AO24" s="2"/>
      <c r="AR24" s="2"/>
      <c r="AU24" s="2"/>
      <c r="AX24" s="2"/>
      <c r="BA24" s="2"/>
      <c r="BD24" s="2"/>
      <c r="BG24" s="2"/>
      <c r="BJ24" s="2"/>
      <c r="BM24" s="2"/>
      <c r="BP24" s="2"/>
      <c r="BS24" s="2"/>
    </row>
    <row r="25" spans="3:71" x14ac:dyDescent="0.2">
      <c r="E25" s="2"/>
      <c r="H25" s="2"/>
      <c r="K25" s="2"/>
      <c r="N25" s="2"/>
      <c r="Q25" s="2"/>
      <c r="T25" s="2"/>
      <c r="W25" s="2"/>
      <c r="Z25" s="2"/>
      <c r="AC25" s="2"/>
      <c r="AF25" s="2"/>
      <c r="AI25" s="2"/>
      <c r="AL25" s="2"/>
      <c r="AO25" s="2"/>
      <c r="AR25" s="2"/>
      <c r="AU25" s="2"/>
      <c r="AX25" s="2"/>
      <c r="BA25" s="2"/>
      <c r="BD25" s="2"/>
      <c r="BG25" s="2"/>
      <c r="BJ25" s="2"/>
      <c r="BM25" s="2"/>
      <c r="BP25" s="2"/>
      <c r="BS25" s="2"/>
    </row>
    <row r="26" spans="3:71" x14ac:dyDescent="0.2">
      <c r="E26" s="2"/>
      <c r="H26" s="2"/>
      <c r="K26" s="2"/>
      <c r="N26" s="2"/>
      <c r="Q26" s="2"/>
      <c r="T26" s="2"/>
      <c r="W26" s="2"/>
      <c r="Z26" s="2"/>
      <c r="AC26" s="2"/>
      <c r="AF26" s="2"/>
      <c r="AI26" s="2"/>
      <c r="AL26" s="2"/>
      <c r="AO26" s="2"/>
      <c r="AR26" s="2"/>
      <c r="AU26" s="2"/>
      <c r="AX26" s="2"/>
      <c r="BA26" s="2"/>
      <c r="BD26" s="2"/>
      <c r="BG26" s="2"/>
      <c r="BJ26" s="2"/>
      <c r="BM26" s="2"/>
      <c r="BP26" s="2"/>
      <c r="BS26" s="2"/>
    </row>
    <row r="27" spans="3:71" x14ac:dyDescent="0.2">
      <c r="E27" s="2"/>
      <c r="H27" s="2"/>
      <c r="K27" s="2"/>
      <c r="N27" s="2"/>
      <c r="Q27" s="2"/>
      <c r="T27" s="2"/>
      <c r="W27" s="2"/>
      <c r="Z27" s="2"/>
      <c r="AC27" s="2"/>
      <c r="AF27" s="2"/>
      <c r="AI27" s="2"/>
      <c r="AL27" s="2"/>
      <c r="AO27" s="2"/>
      <c r="AR27" s="2"/>
      <c r="AU27" s="2"/>
      <c r="AX27" s="2"/>
      <c r="BA27" s="2"/>
      <c r="BD27" s="2"/>
      <c r="BG27" s="2"/>
      <c r="BJ27" s="2"/>
      <c r="BM27" s="2"/>
      <c r="BP27" s="2"/>
      <c r="BS27" s="2"/>
    </row>
    <row r="28" spans="3:71" x14ac:dyDescent="0.2">
      <c r="E28" s="2"/>
      <c r="H28" s="2"/>
      <c r="K28" s="2"/>
      <c r="N28" s="2"/>
      <c r="Q28" s="2"/>
      <c r="T28" s="2"/>
      <c r="W28" s="2"/>
      <c r="Z28" s="2"/>
      <c r="AC28" s="2"/>
      <c r="AF28" s="2"/>
      <c r="AI28" s="2"/>
      <c r="AL28" s="2"/>
      <c r="AO28" s="2"/>
      <c r="AR28" s="2"/>
      <c r="AU28" s="2"/>
      <c r="AX28" s="2"/>
      <c r="BA28" s="2"/>
      <c r="BD28" s="2"/>
      <c r="BG28" s="2"/>
      <c r="BJ28" s="2"/>
      <c r="BM28" s="2"/>
      <c r="BP28" s="2"/>
      <c r="BS28" s="2"/>
    </row>
    <row r="29" spans="3:71" x14ac:dyDescent="0.2">
      <c r="E29" s="2"/>
      <c r="H29" s="2"/>
      <c r="K29" s="2"/>
      <c r="N29" s="2"/>
      <c r="Q29" s="2"/>
      <c r="T29" s="2"/>
      <c r="W29" s="2"/>
      <c r="Z29" s="2"/>
      <c r="AC29" s="2"/>
      <c r="AF29" s="2"/>
      <c r="AI29" s="2"/>
      <c r="AL29" s="2"/>
      <c r="AO29" s="2"/>
      <c r="AR29" s="2"/>
      <c r="AU29" s="2"/>
      <c r="AX29" s="2"/>
      <c r="BA29" s="2"/>
      <c r="BD29" s="2"/>
      <c r="BG29" s="2"/>
      <c r="BJ29" s="2"/>
      <c r="BM29" s="2"/>
      <c r="BP29" s="2"/>
      <c r="BS29" s="2"/>
    </row>
    <row r="30" spans="3:71" x14ac:dyDescent="0.2">
      <c r="E30" s="2"/>
      <c r="H30" s="2"/>
      <c r="K30" s="2"/>
      <c r="N30" s="2"/>
      <c r="Q30" s="2"/>
      <c r="T30" s="2"/>
      <c r="W30" s="2"/>
      <c r="Z30" s="2"/>
      <c r="AC30" s="2"/>
      <c r="AF30" s="2"/>
      <c r="AI30" s="2"/>
      <c r="AL30" s="2"/>
      <c r="AO30" s="2"/>
      <c r="AR30" s="2"/>
      <c r="AU30" s="2"/>
      <c r="AX30" s="2"/>
      <c r="BA30" s="2"/>
      <c r="BD30" s="2"/>
      <c r="BG30" s="2"/>
      <c r="BJ30" s="2"/>
      <c r="BM30" s="2"/>
      <c r="BP30" s="2"/>
      <c r="BS30" s="2"/>
    </row>
    <row r="31" spans="3:71" x14ac:dyDescent="0.2">
      <c r="E31" s="2"/>
      <c r="H31" s="2"/>
      <c r="K31" s="2"/>
      <c r="N31" s="2"/>
      <c r="Q31" s="2"/>
      <c r="T31" s="2"/>
      <c r="W31" s="2"/>
      <c r="Z31" s="2"/>
      <c r="AC31" s="2"/>
      <c r="AF31" s="2"/>
      <c r="AI31" s="2"/>
      <c r="AL31" s="2"/>
      <c r="AO31" s="2"/>
      <c r="AR31" s="2"/>
      <c r="AU31" s="2"/>
      <c r="AX31" s="2"/>
      <c r="BA31" s="2"/>
      <c r="BD31" s="2"/>
      <c r="BG31" s="2"/>
      <c r="BJ31" s="2"/>
      <c r="BM31" s="2"/>
      <c r="BP31" s="2"/>
      <c r="BS31" s="2"/>
    </row>
    <row r="32" spans="3:71" x14ac:dyDescent="0.2">
      <c r="E32" s="2"/>
      <c r="H32" s="2"/>
      <c r="K32" s="2"/>
      <c r="N32" s="2"/>
      <c r="Q32" s="2"/>
      <c r="T32" s="2"/>
      <c r="W32" s="2"/>
      <c r="Z32" s="2"/>
      <c r="AC32" s="2"/>
      <c r="AF32" s="2"/>
      <c r="AI32" s="2"/>
      <c r="AL32" s="2"/>
      <c r="AO32" s="2"/>
      <c r="AR32" s="2"/>
      <c r="AU32" s="2"/>
      <c r="AX32" s="2"/>
      <c r="BA32" s="2"/>
      <c r="BD32" s="2"/>
      <c r="BG32" s="2"/>
      <c r="BJ32" s="2"/>
      <c r="BM32" s="2"/>
      <c r="BP32" s="2"/>
      <c r="BS32" s="2"/>
    </row>
    <row r="33" spans="5:71" x14ac:dyDescent="0.2">
      <c r="E33" s="2"/>
      <c r="H33" s="2"/>
      <c r="K33" s="2"/>
      <c r="N33" s="2"/>
      <c r="Q33" s="2"/>
      <c r="T33" s="2"/>
      <c r="W33" s="2"/>
      <c r="Z33" s="2"/>
      <c r="AC33" s="2"/>
      <c r="AF33" s="2"/>
      <c r="AI33" s="2"/>
      <c r="AL33" s="2"/>
      <c r="AO33" s="2"/>
      <c r="AR33" s="2"/>
      <c r="AU33" s="2"/>
      <c r="AX33" s="2"/>
      <c r="BA33" s="2"/>
      <c r="BD33" s="2"/>
      <c r="BG33" s="2"/>
      <c r="BJ33" s="2"/>
      <c r="BM33" s="2"/>
      <c r="BP33" s="2"/>
      <c r="BS33" s="2"/>
    </row>
    <row r="34" spans="5:71" x14ac:dyDescent="0.2">
      <c r="E34" s="2"/>
      <c r="H34" s="2"/>
      <c r="K34" s="2"/>
      <c r="N34" s="2"/>
      <c r="Q34" s="2"/>
      <c r="T34" s="2"/>
      <c r="W34" s="2"/>
      <c r="Z34" s="2"/>
      <c r="AC34" s="2"/>
      <c r="AF34" s="2"/>
      <c r="AI34" s="2"/>
      <c r="AL34" s="2"/>
      <c r="AO34" s="2"/>
      <c r="AR34" s="2"/>
      <c r="AU34" s="2"/>
      <c r="AX34" s="2"/>
      <c r="BA34" s="2"/>
      <c r="BD34" s="2"/>
      <c r="BG34" s="2"/>
      <c r="BJ34" s="2"/>
      <c r="BM34" s="2"/>
      <c r="BP34" s="2"/>
      <c r="BS34" s="2"/>
    </row>
    <row r="35" spans="5:71" x14ac:dyDescent="0.2">
      <c r="E35" s="2"/>
      <c r="H35" s="2"/>
      <c r="K35" s="2"/>
      <c r="N35" s="2"/>
      <c r="Q35" s="2"/>
      <c r="T35" s="2"/>
      <c r="W35" s="2"/>
      <c r="Z35" s="2"/>
      <c r="AC35" s="2"/>
      <c r="AF35" s="2"/>
      <c r="AI35" s="2"/>
      <c r="AL35" s="2"/>
      <c r="AO35" s="2"/>
      <c r="AR35" s="2"/>
      <c r="AU35" s="2"/>
      <c r="AX35" s="2"/>
      <c r="BA35" s="2"/>
      <c r="BD35" s="2"/>
      <c r="BG35" s="2"/>
      <c r="BJ35" s="2"/>
      <c r="BM35" s="2"/>
      <c r="BP35" s="2"/>
      <c r="BS35" s="2"/>
    </row>
    <row r="36" spans="5:71" x14ac:dyDescent="0.2">
      <c r="E36" s="2"/>
      <c r="H36" s="2"/>
      <c r="K36" s="2"/>
      <c r="N36" s="2"/>
      <c r="Q36" s="2"/>
      <c r="T36" s="2"/>
      <c r="W36" s="2"/>
      <c r="Z36" s="2"/>
      <c r="AC36" s="2"/>
      <c r="AF36" s="2"/>
      <c r="AI36" s="2"/>
      <c r="AL36" s="2"/>
      <c r="AO36" s="2"/>
      <c r="AR36" s="2"/>
      <c r="AU36" s="2"/>
      <c r="AX36" s="2"/>
      <c r="BA36" s="2"/>
      <c r="BD36" s="2"/>
      <c r="BG36" s="2"/>
      <c r="BJ36" s="2"/>
      <c r="BM36" s="2"/>
      <c r="BP36" s="2"/>
      <c r="BS36" s="2"/>
    </row>
    <row r="37" spans="5:71" x14ac:dyDescent="0.2">
      <c r="E37" s="2"/>
      <c r="H37" s="2"/>
      <c r="K37" s="2"/>
      <c r="N37" s="2"/>
      <c r="Q37" s="2"/>
      <c r="T37" s="2"/>
      <c r="W37" s="2"/>
      <c r="Z37" s="2"/>
      <c r="AC37" s="2"/>
      <c r="AF37" s="2"/>
      <c r="AI37" s="2"/>
      <c r="AL37" s="2"/>
      <c r="AO37" s="2"/>
      <c r="AR37" s="2"/>
      <c r="AU37" s="2"/>
      <c r="AX37" s="2"/>
      <c r="BA37" s="2"/>
      <c r="BD37" s="2"/>
      <c r="BG37" s="2"/>
      <c r="BJ37" s="2"/>
      <c r="BM37" s="2"/>
      <c r="BP37" s="2"/>
      <c r="BS37" s="2"/>
    </row>
    <row r="38" spans="5:71" x14ac:dyDescent="0.2">
      <c r="E38" s="2"/>
      <c r="H38" s="2"/>
      <c r="K38" s="2"/>
      <c r="N38" s="2"/>
      <c r="Q38" s="2"/>
      <c r="T38" s="2"/>
      <c r="W38" s="2"/>
      <c r="Z38" s="2"/>
      <c r="AC38" s="2"/>
      <c r="AF38" s="2"/>
      <c r="AI38" s="2"/>
      <c r="AL38" s="2"/>
      <c r="AO38" s="2"/>
      <c r="AR38" s="2"/>
      <c r="AU38" s="2"/>
      <c r="AX38" s="2"/>
      <c r="BA38" s="2"/>
      <c r="BD38" s="2"/>
      <c r="BG38" s="2"/>
      <c r="BJ38" s="2"/>
      <c r="BM38" s="2"/>
      <c r="BP38" s="2"/>
      <c r="BS38" s="2"/>
    </row>
    <row r="39" spans="5:71" x14ac:dyDescent="0.2">
      <c r="E39" s="2"/>
      <c r="H39" s="2"/>
      <c r="K39" s="2"/>
      <c r="N39" s="2"/>
      <c r="Q39" s="2"/>
      <c r="T39" s="2"/>
      <c r="W39" s="2"/>
      <c r="Z39" s="2"/>
      <c r="AC39" s="2"/>
      <c r="AF39" s="2"/>
      <c r="AI39" s="2"/>
      <c r="AL39" s="2"/>
      <c r="AO39" s="2"/>
      <c r="AR39" s="2"/>
      <c r="AU39" s="2"/>
      <c r="AX39" s="2"/>
      <c r="BA39" s="2"/>
      <c r="BD39" s="2"/>
      <c r="BG39" s="2"/>
      <c r="BJ39" s="2"/>
      <c r="BM39" s="2"/>
      <c r="BP39" s="2"/>
      <c r="BS39" s="2"/>
    </row>
    <row r="40" spans="5:71" x14ac:dyDescent="0.2">
      <c r="E40" s="2"/>
      <c r="H40" s="2"/>
      <c r="K40" s="2"/>
      <c r="N40" s="2"/>
      <c r="Q40" s="2"/>
      <c r="T40" s="2"/>
      <c r="W40" s="2"/>
      <c r="Z40" s="2"/>
      <c r="AC40" s="2"/>
      <c r="AF40" s="2"/>
      <c r="AI40" s="2"/>
      <c r="AL40" s="2"/>
      <c r="AO40" s="2"/>
      <c r="AR40" s="2"/>
      <c r="AU40" s="2"/>
      <c r="AX40" s="2"/>
      <c r="BA40" s="2"/>
      <c r="BD40" s="2"/>
      <c r="BG40" s="2"/>
      <c r="BJ40" s="2"/>
      <c r="BM40" s="2"/>
      <c r="BP40" s="2"/>
      <c r="BS40" s="2"/>
    </row>
    <row r="41" spans="5:71" x14ac:dyDescent="0.2">
      <c r="E41" s="2"/>
      <c r="H41" s="2"/>
      <c r="K41" s="2"/>
      <c r="N41" s="2"/>
      <c r="Q41" s="2"/>
      <c r="T41" s="2"/>
      <c r="W41" s="2"/>
      <c r="Z41" s="2"/>
      <c r="AC41" s="2"/>
      <c r="AF41" s="2"/>
      <c r="AI41" s="2"/>
      <c r="AL41" s="2"/>
      <c r="AO41" s="2"/>
      <c r="AR41" s="2"/>
      <c r="AU41" s="2"/>
      <c r="AX41" s="2"/>
      <c r="BA41" s="2"/>
      <c r="BD41" s="2"/>
      <c r="BG41" s="2"/>
      <c r="BJ41" s="2"/>
      <c r="BM41" s="2"/>
      <c r="BP41" s="2"/>
      <c r="BS41" s="2"/>
    </row>
    <row r="42" spans="5:71" x14ac:dyDescent="0.2"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  <c r="BJ42" s="2"/>
      <c r="BM42" s="2"/>
      <c r="BP42" s="2"/>
      <c r="BS42" s="2"/>
    </row>
    <row r="43" spans="5:71" x14ac:dyDescent="0.2"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  <c r="BJ43" s="2"/>
      <c r="BM43" s="2"/>
      <c r="BP43" s="2"/>
      <c r="BS43" s="2"/>
    </row>
    <row r="44" spans="5:71" x14ac:dyDescent="0.2"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  <c r="BJ44" s="2"/>
      <c r="BM44" s="2"/>
      <c r="BP44" s="2"/>
      <c r="BS44" s="2"/>
    </row>
    <row r="45" spans="5:71" x14ac:dyDescent="0.2"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  <c r="BJ45" s="2"/>
      <c r="BM45" s="2"/>
      <c r="BP45" s="2"/>
      <c r="BS45" s="2"/>
    </row>
    <row r="46" spans="5:71" x14ac:dyDescent="0.2"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  <c r="BJ46" s="2"/>
      <c r="BM46" s="2"/>
      <c r="BP46" s="2"/>
      <c r="BS46" s="2"/>
    </row>
    <row r="47" spans="5:71" x14ac:dyDescent="0.2"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  <c r="BJ47" s="2"/>
      <c r="BM47" s="2"/>
      <c r="BP47" s="2"/>
      <c r="BS47" s="2"/>
    </row>
    <row r="48" spans="5:71" x14ac:dyDescent="0.2"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  <c r="BJ48" s="2"/>
      <c r="BM48" s="2"/>
      <c r="BP48" s="2"/>
      <c r="BS48" s="2"/>
    </row>
    <row r="49" spans="5:71" x14ac:dyDescent="0.2"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  <c r="BJ49" s="2"/>
      <c r="BM49" s="2"/>
      <c r="BP49" s="2"/>
      <c r="BS49" s="2"/>
    </row>
    <row r="50" spans="5:71" x14ac:dyDescent="0.2"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  <c r="BM50" s="2"/>
      <c r="BP50" s="2"/>
      <c r="BS50" s="2"/>
    </row>
    <row r="51" spans="5:71" x14ac:dyDescent="0.2"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  <c r="BM51" s="2"/>
      <c r="BP51" s="2"/>
      <c r="BS51" s="2"/>
    </row>
    <row r="52" spans="5:71" x14ac:dyDescent="0.2"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  <c r="BM52" s="2"/>
      <c r="BP52" s="2"/>
      <c r="BS52" s="2"/>
    </row>
    <row r="53" spans="5:71" x14ac:dyDescent="0.2"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  <c r="BM53" s="2"/>
      <c r="BP53" s="2"/>
      <c r="BS53" s="2"/>
    </row>
    <row r="54" spans="5:71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  <c r="BM54" s="2"/>
      <c r="BP54" s="2"/>
      <c r="BS54" s="2"/>
    </row>
    <row r="55" spans="5:71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  <c r="BM55" s="2"/>
      <c r="BP55" s="2"/>
      <c r="BS55" s="2"/>
    </row>
    <row r="56" spans="5:71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  <c r="BM56" s="2"/>
      <c r="BP56" s="2"/>
      <c r="BS56" s="2"/>
    </row>
    <row r="57" spans="5:71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  <c r="BM57" s="2"/>
      <c r="BP57" s="2"/>
      <c r="BS57" s="2"/>
    </row>
    <row r="58" spans="5:71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  <c r="BM58" s="2"/>
      <c r="BP58" s="2"/>
      <c r="BS58" s="2"/>
    </row>
    <row r="59" spans="5:71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  <c r="BM59" s="2"/>
      <c r="BP59" s="2"/>
      <c r="BS59" s="2"/>
    </row>
    <row r="60" spans="5:71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  <c r="BM60" s="2"/>
      <c r="BP60" s="2"/>
      <c r="BS60" s="2"/>
    </row>
    <row r="61" spans="5:71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  <c r="BM61" s="2"/>
      <c r="BP61" s="2"/>
      <c r="BS61" s="2"/>
    </row>
    <row r="62" spans="5:71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  <c r="BM62" s="2"/>
      <c r="BP62" s="2"/>
      <c r="BS62" s="2"/>
    </row>
    <row r="63" spans="5:71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  <c r="BM63" s="2"/>
      <c r="BP63" s="2"/>
      <c r="BS63" s="2"/>
    </row>
    <row r="64" spans="5:71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  <c r="BM64" s="2"/>
      <c r="BP64" s="2"/>
      <c r="BS64" s="2"/>
    </row>
    <row r="65" spans="5:71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  <c r="BM65" s="2"/>
      <c r="BP65" s="2"/>
      <c r="BS65" s="2"/>
    </row>
    <row r="66" spans="5:71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  <c r="BM66" s="2"/>
      <c r="BP66" s="2"/>
      <c r="BS66" s="2"/>
    </row>
    <row r="67" spans="5:71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  <c r="BM67" s="2"/>
      <c r="BP67" s="2"/>
      <c r="BS67" s="2"/>
    </row>
    <row r="68" spans="5:71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  <c r="BM68" s="2"/>
      <c r="BP68" s="2"/>
      <c r="BS68" s="2"/>
    </row>
    <row r="69" spans="5:71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  <c r="BM69" s="2"/>
      <c r="BP69" s="2"/>
      <c r="BS69" s="2"/>
    </row>
    <row r="70" spans="5:71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  <c r="BM70" s="2"/>
      <c r="BP70" s="2"/>
      <c r="BS70" s="2"/>
    </row>
    <row r="71" spans="5:71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  <c r="BM71" s="2"/>
      <c r="BP71" s="2"/>
      <c r="BS71" s="2"/>
    </row>
    <row r="72" spans="5:71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  <c r="BM72" s="2"/>
      <c r="BP72" s="2"/>
      <c r="BS72" s="2"/>
    </row>
    <row r="73" spans="5:71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  <c r="BP73" s="2"/>
      <c r="BS73" s="2"/>
    </row>
    <row r="74" spans="5:71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  <c r="BP74" s="2"/>
      <c r="BS74" s="2"/>
    </row>
    <row r="75" spans="5:71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  <c r="BP75" s="2"/>
      <c r="BS75" s="2"/>
    </row>
    <row r="76" spans="5:71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  <c r="BP76" s="2"/>
      <c r="BS76" s="2"/>
    </row>
    <row r="77" spans="5:71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  <c r="BP77" s="2"/>
      <c r="BS77" s="2"/>
    </row>
    <row r="78" spans="5:71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  <c r="BP78" s="2"/>
      <c r="BS78" s="2"/>
    </row>
    <row r="79" spans="5:71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  <c r="BP79" s="2"/>
      <c r="BS79" s="2"/>
    </row>
    <row r="80" spans="5:71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  <c r="BP80" s="2"/>
      <c r="BS80" s="2"/>
    </row>
    <row r="81" spans="5:71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  <c r="BP81" s="2"/>
      <c r="BS81" s="2"/>
    </row>
    <row r="82" spans="5:71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  <c r="BP82" s="2"/>
      <c r="BS82" s="2"/>
    </row>
    <row r="83" spans="5:71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  <c r="BP83" s="2"/>
      <c r="BS83" s="2"/>
    </row>
    <row r="84" spans="5:71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  <c r="BP84" s="2"/>
      <c r="BS84" s="2"/>
    </row>
    <row r="85" spans="5:71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  <c r="BP85" s="2"/>
      <c r="BS85" s="2"/>
    </row>
    <row r="86" spans="5:71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  <c r="BP86" s="2"/>
      <c r="BS86" s="2"/>
    </row>
    <row r="87" spans="5:71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  <c r="BP87" s="2"/>
      <c r="BS87" s="2"/>
    </row>
    <row r="88" spans="5:71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  <c r="BP88" s="2"/>
      <c r="BS88" s="2"/>
    </row>
    <row r="89" spans="5:71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  <c r="BP89" s="2"/>
      <c r="BS89" s="2"/>
    </row>
    <row r="90" spans="5:71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  <c r="BP90" s="2"/>
      <c r="BS90" s="2"/>
    </row>
    <row r="91" spans="5:71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  <c r="BP91" s="2"/>
      <c r="BS91" s="2"/>
    </row>
    <row r="92" spans="5:71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  <c r="BP92" s="2"/>
      <c r="BS92" s="2"/>
    </row>
    <row r="93" spans="5:71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  <c r="BP93" s="2"/>
      <c r="BS93" s="2"/>
    </row>
    <row r="94" spans="5:71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  <c r="BP94" s="2"/>
      <c r="BS94" s="2"/>
    </row>
    <row r="95" spans="5:71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  <c r="BP95" s="2"/>
      <c r="BS95" s="2"/>
    </row>
    <row r="96" spans="5:71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  <c r="BP96" s="2"/>
      <c r="BS96" s="2"/>
    </row>
    <row r="97" spans="5:71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  <c r="BP97" s="2"/>
      <c r="BS97" s="2"/>
    </row>
    <row r="98" spans="5:71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  <c r="BP98" s="2"/>
      <c r="BS98" s="2"/>
    </row>
    <row r="99" spans="5:71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  <c r="BP99" s="2"/>
      <c r="BS99" s="2"/>
    </row>
    <row r="100" spans="5:71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  <c r="BP100" s="2"/>
      <c r="BS100" s="2"/>
    </row>
    <row r="101" spans="5:71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  <c r="BP101" s="2"/>
      <c r="BS101" s="2"/>
    </row>
    <row r="102" spans="5:71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  <c r="BP102" s="2"/>
      <c r="BS102" s="2"/>
    </row>
    <row r="103" spans="5:71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  <c r="BP103" s="2"/>
      <c r="BS103" s="2"/>
    </row>
    <row r="104" spans="5:71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  <c r="BP104" s="2"/>
      <c r="BS104" s="2"/>
    </row>
    <row r="105" spans="5:71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  <c r="BP105" s="2"/>
      <c r="BS105" s="2"/>
    </row>
    <row r="106" spans="5:71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  <c r="BP106" s="2"/>
      <c r="BS106" s="2"/>
    </row>
    <row r="107" spans="5:71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  <c r="BP107" s="2"/>
      <c r="BS107" s="2"/>
    </row>
    <row r="108" spans="5:71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  <c r="BP108" s="2"/>
      <c r="BS108" s="2"/>
    </row>
    <row r="109" spans="5:71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  <c r="BP109" s="2"/>
      <c r="BS109" s="2"/>
    </row>
    <row r="110" spans="5:71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  <c r="BP110" s="2"/>
      <c r="BS110" s="2"/>
    </row>
    <row r="111" spans="5:71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  <c r="BP111" s="2"/>
      <c r="BS111" s="2"/>
    </row>
    <row r="112" spans="5:71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  <c r="BP112" s="2"/>
      <c r="BS112" s="2"/>
    </row>
    <row r="113" spans="5:71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  <c r="BP113" s="2"/>
      <c r="BS113" s="2"/>
    </row>
    <row r="114" spans="5:71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  <c r="BP114" s="2"/>
      <c r="BS114" s="2"/>
    </row>
    <row r="115" spans="5:71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  <c r="BP115" s="2"/>
      <c r="BS115" s="2"/>
    </row>
    <row r="116" spans="5:71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  <c r="BP116" s="2"/>
      <c r="BS116" s="2"/>
    </row>
    <row r="117" spans="5:71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  <c r="BP117" s="2"/>
      <c r="BS117" s="2"/>
    </row>
    <row r="118" spans="5:71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  <c r="BP118" s="2"/>
      <c r="BS118" s="2"/>
    </row>
    <row r="119" spans="5:71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  <c r="BP119" s="2"/>
      <c r="BS119" s="2"/>
    </row>
    <row r="120" spans="5:71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  <c r="BP120" s="2"/>
      <c r="BS120" s="2"/>
    </row>
    <row r="121" spans="5:71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  <c r="BP121" s="2"/>
      <c r="BS121" s="2"/>
    </row>
    <row r="122" spans="5:71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  <c r="BM122" s="2"/>
      <c r="BP122" s="2"/>
      <c r="BS122" s="2"/>
    </row>
    <row r="123" spans="5:71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  <c r="BM123" s="2"/>
      <c r="BP123" s="2"/>
      <c r="BS123" s="2"/>
    </row>
    <row r="124" spans="5:71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  <c r="BM124" s="2"/>
      <c r="BP124" s="2"/>
      <c r="BS124" s="2"/>
    </row>
    <row r="125" spans="5:71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  <c r="BM125" s="2"/>
      <c r="BP125" s="2"/>
      <c r="BS125" s="2"/>
    </row>
    <row r="126" spans="5:71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  <c r="BM126" s="2"/>
      <c r="BP126" s="2"/>
      <c r="BS126" s="2"/>
    </row>
    <row r="127" spans="5:71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  <c r="BM127" s="2"/>
      <c r="BP127" s="2"/>
      <c r="BS127" s="2"/>
    </row>
    <row r="128" spans="5:71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  <c r="BM128" s="2"/>
      <c r="BP128" s="2"/>
      <c r="BS128" s="2"/>
    </row>
    <row r="129" spans="5:71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  <c r="BM129" s="2"/>
      <c r="BP129" s="2"/>
      <c r="BS129" s="2"/>
    </row>
    <row r="130" spans="5:71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  <c r="BM130" s="2"/>
      <c r="BP130" s="2"/>
      <c r="BS130" s="2"/>
    </row>
    <row r="131" spans="5:71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  <c r="BM131" s="2"/>
      <c r="BP131" s="2"/>
      <c r="BS131" s="2"/>
    </row>
    <row r="132" spans="5:71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  <c r="BM132" s="2"/>
      <c r="BP132" s="2"/>
      <c r="BS132" s="2"/>
    </row>
    <row r="133" spans="5:71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  <c r="BM133" s="2"/>
      <c r="BP133" s="2"/>
      <c r="BS133" s="2"/>
    </row>
    <row r="134" spans="5:71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  <c r="BM134" s="2"/>
      <c r="BP134" s="2"/>
      <c r="BS134" s="2"/>
    </row>
    <row r="135" spans="5:71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  <c r="BM135" s="2"/>
      <c r="BP135" s="2"/>
      <c r="BS135" s="2"/>
    </row>
    <row r="136" spans="5:71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  <c r="BM136" s="2"/>
      <c r="BP136" s="2"/>
      <c r="BS136" s="2"/>
    </row>
    <row r="137" spans="5:71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  <c r="BM137" s="2"/>
      <c r="BP137" s="2"/>
      <c r="BS137" s="2"/>
    </row>
    <row r="138" spans="5:71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  <c r="BM138" s="2"/>
      <c r="BP138" s="2"/>
      <c r="BS138" s="2"/>
    </row>
    <row r="139" spans="5:71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  <c r="BM139" s="2"/>
      <c r="BP139" s="2"/>
      <c r="BS139" s="2"/>
    </row>
    <row r="140" spans="5:71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  <c r="BM140" s="2"/>
      <c r="BP140" s="2"/>
      <c r="BS140" s="2"/>
    </row>
    <row r="141" spans="5:71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  <c r="BM141" s="2"/>
      <c r="BP141" s="2"/>
      <c r="BS141" s="2"/>
    </row>
    <row r="142" spans="5:71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  <c r="BM142" s="2"/>
      <c r="BP142" s="2"/>
      <c r="BS142" s="2"/>
    </row>
    <row r="143" spans="5:71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  <c r="BJ143" s="2"/>
      <c r="BM143" s="2"/>
      <c r="BP143" s="2"/>
      <c r="BS143" s="2"/>
    </row>
    <row r="144" spans="5:71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  <c r="BJ144" s="2"/>
      <c r="BM144" s="2"/>
      <c r="BP144" s="2"/>
      <c r="BS144" s="2"/>
    </row>
    <row r="145" spans="5:71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  <c r="BJ145" s="2"/>
      <c r="BM145" s="2"/>
      <c r="BP145" s="2"/>
      <c r="BS145" s="2"/>
    </row>
    <row r="146" spans="5:71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D146" s="2"/>
      <c r="BG146" s="2"/>
      <c r="BJ146" s="2"/>
      <c r="BM146" s="2"/>
      <c r="BP146" s="2"/>
      <c r="BS146" s="2"/>
    </row>
    <row r="147" spans="5:71" x14ac:dyDescent="0.2"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  <c r="AU147" s="2"/>
      <c r="AX147" s="2"/>
      <c r="BA147" s="2"/>
      <c r="BD147" s="2"/>
      <c r="BG147" s="2"/>
      <c r="BJ147" s="2"/>
      <c r="BM147" s="2"/>
      <c r="BP147" s="2"/>
      <c r="BS147" s="2"/>
    </row>
    <row r="148" spans="5:71" x14ac:dyDescent="0.2"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  <c r="AU148" s="2"/>
      <c r="AX148" s="2"/>
      <c r="BA148" s="2"/>
      <c r="BD148" s="2"/>
      <c r="BG148" s="2"/>
      <c r="BJ148" s="2"/>
      <c r="BM148" s="2"/>
      <c r="BP148" s="2"/>
      <c r="BS148" s="2"/>
    </row>
    <row r="149" spans="5:71" x14ac:dyDescent="0.2"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  <c r="AU149" s="2"/>
      <c r="AX149" s="2"/>
      <c r="BA149" s="2"/>
      <c r="BD149" s="2"/>
      <c r="BG149" s="2"/>
      <c r="BJ149" s="2"/>
      <c r="BM149" s="2"/>
      <c r="BP149" s="2"/>
      <c r="BS149" s="2"/>
    </row>
    <row r="150" spans="5:71" x14ac:dyDescent="0.2">
      <c r="E150" s="2"/>
      <c r="H150" s="2"/>
      <c r="K150" s="2"/>
      <c r="N150" s="2"/>
      <c r="Q150" s="2"/>
      <c r="T150" s="2"/>
      <c r="W150" s="2"/>
      <c r="Z150" s="2"/>
      <c r="AC150" s="2"/>
      <c r="AF150" s="2"/>
      <c r="AI150" s="2"/>
      <c r="AL150" s="2"/>
      <c r="AO150" s="2"/>
      <c r="AR150" s="2"/>
      <c r="AU150" s="2"/>
      <c r="AX150" s="2"/>
      <c r="BA150" s="2"/>
      <c r="BD150" s="2"/>
      <c r="BG150" s="2"/>
      <c r="BJ150" s="2"/>
      <c r="BM150" s="2"/>
      <c r="BP150" s="2"/>
      <c r="BS150" s="2"/>
    </row>
    <row r="151" spans="5:71" x14ac:dyDescent="0.2">
      <c r="E151" s="2"/>
      <c r="H151" s="2"/>
      <c r="K151" s="2"/>
      <c r="N151" s="2"/>
      <c r="Q151" s="2"/>
      <c r="T151" s="2"/>
      <c r="W151" s="2"/>
      <c r="Z151" s="2"/>
      <c r="AC151" s="2"/>
      <c r="AF151" s="2"/>
      <c r="AI151" s="2"/>
      <c r="AL151" s="2"/>
      <c r="AO151" s="2"/>
      <c r="AR151" s="2"/>
      <c r="AU151" s="2"/>
      <c r="AX151" s="2"/>
      <c r="BA151" s="2"/>
      <c r="BD151" s="2"/>
      <c r="BG151" s="2"/>
      <c r="BJ151" s="2"/>
      <c r="BM151" s="2"/>
      <c r="BP151" s="2"/>
      <c r="BS151" s="2"/>
    </row>
  </sheetData>
  <mergeCells count="93">
    <mergeCell ref="AD2:AE2"/>
    <mergeCell ref="AG2:AH2"/>
    <mergeCell ref="AJ2:AK2"/>
    <mergeCell ref="AM2:AN2"/>
    <mergeCell ref="AP2:AQ2"/>
    <mergeCell ref="O2:P2"/>
    <mergeCell ref="R2:S2"/>
    <mergeCell ref="U2:V2"/>
    <mergeCell ref="X2:Y2"/>
    <mergeCell ref="AA2:AB2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O3:P3"/>
    <mergeCell ref="R3:S3"/>
    <mergeCell ref="U3:V3"/>
    <mergeCell ref="X3:Y3"/>
    <mergeCell ref="AV3:AW3"/>
    <mergeCell ref="AA3:AB3"/>
    <mergeCell ref="AM3:AN3"/>
    <mergeCell ref="AP3:AQ3"/>
    <mergeCell ref="AS3:AT3"/>
    <mergeCell ref="AD3:AE3"/>
    <mergeCell ref="AG3:AH3"/>
    <mergeCell ref="AJ3:AK3"/>
    <mergeCell ref="C3:D3"/>
    <mergeCell ref="F3:G3"/>
    <mergeCell ref="I3:J3"/>
    <mergeCell ref="AV4:AW4"/>
    <mergeCell ref="AY4:AZ4"/>
    <mergeCell ref="R4:S4"/>
    <mergeCell ref="U4:V4"/>
    <mergeCell ref="X4:Y4"/>
    <mergeCell ref="AA4:AB4"/>
    <mergeCell ref="AD4:AE4"/>
    <mergeCell ref="C4:D4"/>
    <mergeCell ref="F4:G4"/>
    <mergeCell ref="I4:J4"/>
    <mergeCell ref="L4:M4"/>
    <mergeCell ref="O4:P4"/>
    <mergeCell ref="L3:M3"/>
    <mergeCell ref="BK1:BM1"/>
    <mergeCell ref="BB4:BC4"/>
    <mergeCell ref="BE4:BF4"/>
    <mergeCell ref="AG4:AH4"/>
    <mergeCell ref="AJ4:AK4"/>
    <mergeCell ref="AM4:AN4"/>
    <mergeCell ref="AP4:AQ4"/>
    <mergeCell ref="AS4:AT4"/>
    <mergeCell ref="AY3:AZ3"/>
    <mergeCell ref="BB3:BC3"/>
    <mergeCell ref="BE3:BF3"/>
    <mergeCell ref="AG1:AI1"/>
    <mergeCell ref="AJ1:AL1"/>
    <mergeCell ref="BH2:BI2"/>
    <mergeCell ref="BK2:BL2"/>
    <mergeCell ref="AV2:AW2"/>
    <mergeCell ref="BE2:BF2"/>
    <mergeCell ref="AY1:BA1"/>
    <mergeCell ref="BB1:BD1"/>
    <mergeCell ref="BE1:BG1"/>
    <mergeCell ref="AM1:AO1"/>
    <mergeCell ref="AP1:AR1"/>
    <mergeCell ref="AS1:AU1"/>
    <mergeCell ref="AV1:AX1"/>
    <mergeCell ref="AS2:AT2"/>
    <mergeCell ref="O1:Q1"/>
    <mergeCell ref="R1:T1"/>
    <mergeCell ref="U1:W1"/>
    <mergeCell ref="X1:Z1"/>
    <mergeCell ref="AA1:AC1"/>
    <mergeCell ref="AD1:AF1"/>
    <mergeCell ref="BQ1:BS1"/>
    <mergeCell ref="BH4:BI4"/>
    <mergeCell ref="BK4:BL4"/>
    <mergeCell ref="BN4:BO4"/>
    <mergeCell ref="BQ4:BR4"/>
    <mergeCell ref="BQ2:BR2"/>
    <mergeCell ref="BH3:BI3"/>
    <mergeCell ref="BK3:BL3"/>
    <mergeCell ref="BN3:BO3"/>
    <mergeCell ref="BQ3:BR3"/>
    <mergeCell ref="BN2:BO2"/>
    <mergeCell ref="BH1:BJ1"/>
    <mergeCell ref="BN1:BP1"/>
    <mergeCell ref="AY2:AZ2"/>
    <mergeCell ref="BB2:BC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2327-ABF9-433A-9A45-F7654A4A6280}">
  <dimension ref="A1:CH151"/>
  <sheetViews>
    <sheetView workbookViewId="0">
      <selection activeCell="C21" sqref="C21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" customWidth="1"/>
    <col min="5" max="5" width="9" style="6"/>
    <col min="6" max="7" width="9" style="1" customWidth="1"/>
    <col min="8" max="8" width="9" style="6"/>
    <col min="9" max="10" width="9" style="1" customWidth="1"/>
    <col min="11" max="11" width="9" style="6"/>
    <col min="12" max="13" width="9" style="1" customWidth="1"/>
    <col min="14" max="14" width="9" style="6"/>
    <col min="15" max="15" width="9.5" style="1" customWidth="1"/>
    <col min="16" max="16" width="9" style="1" customWidth="1"/>
    <col min="17" max="17" width="9" style="6"/>
    <col min="18" max="19" width="9" style="1" customWidth="1"/>
    <col min="20" max="20" width="9" style="6"/>
    <col min="21" max="22" width="9" style="1" customWidth="1"/>
    <col min="23" max="23" width="9" style="6"/>
    <col min="24" max="25" width="9" style="1" customWidth="1"/>
    <col min="26" max="26" width="9" style="6"/>
    <col min="27" max="28" width="9" style="1" customWidth="1"/>
    <col min="29" max="29" width="9" style="6"/>
    <col min="30" max="31" width="9" style="1" customWidth="1"/>
    <col min="32" max="32" width="9" style="6"/>
    <col min="33" max="34" width="9" style="1" customWidth="1"/>
    <col min="35" max="35" width="9" style="6"/>
    <col min="36" max="37" width="9" style="1" customWidth="1"/>
    <col min="38" max="38" width="9" style="6"/>
    <col min="39" max="39" width="9.5" style="1" customWidth="1"/>
    <col min="40" max="40" width="9" style="1" customWidth="1"/>
    <col min="41" max="41" width="9" style="6"/>
    <col min="42" max="43" width="9" style="1" customWidth="1"/>
    <col min="44" max="44" width="9" style="6"/>
    <col min="45" max="46" width="9" style="1" customWidth="1"/>
    <col min="47" max="47" width="9" style="6"/>
    <col min="48" max="49" width="9" style="1" customWidth="1"/>
    <col min="50" max="50" width="9" style="6"/>
    <col min="51" max="52" width="9" style="1" customWidth="1"/>
    <col min="53" max="53" width="9" style="6"/>
    <col min="54" max="55" width="9" style="1" customWidth="1"/>
    <col min="56" max="56" width="9" style="6"/>
    <col min="57" max="58" width="9" style="1" customWidth="1"/>
    <col min="59" max="59" width="9" style="6"/>
    <col min="60" max="61" width="9" style="1" customWidth="1"/>
    <col min="62" max="62" width="9" style="6"/>
    <col min="63" max="64" width="9" style="1" customWidth="1"/>
    <col min="65" max="65" width="9" style="6"/>
    <col min="66" max="67" width="9" style="1" customWidth="1"/>
    <col min="68" max="68" width="9" style="6"/>
    <col min="69" max="70" width="9" style="1" customWidth="1"/>
    <col min="71" max="71" width="9" style="6"/>
    <col min="72" max="73" width="9" style="1" customWidth="1"/>
    <col min="74" max="74" width="9" style="6"/>
    <col min="75" max="76" width="9" style="1" customWidth="1"/>
    <col min="77" max="77" width="9" style="6"/>
    <col min="78" max="79" width="9" style="1" customWidth="1"/>
    <col min="80" max="80" width="9" style="6"/>
    <col min="81" max="81" width="9.5" style="1" customWidth="1"/>
    <col min="82" max="82" width="9" style="1" customWidth="1"/>
    <col min="83" max="83" width="9" style="6"/>
    <col min="84" max="85" width="9" style="1" customWidth="1"/>
    <col min="86" max="86" width="9" style="6"/>
    <col min="87" max="16384" width="9" style="1"/>
  </cols>
  <sheetData>
    <row r="1" spans="1:86" s="5" customFormat="1" x14ac:dyDescent="0.2">
      <c r="A1" s="22" t="s">
        <v>59</v>
      </c>
      <c r="B1" s="22"/>
      <c r="C1" s="18" t="s">
        <v>9</v>
      </c>
      <c r="D1" s="18"/>
      <c r="E1" s="18"/>
      <c r="F1" s="18" t="s">
        <v>25</v>
      </c>
      <c r="G1" s="18"/>
      <c r="H1" s="18"/>
      <c r="I1" s="18" t="s">
        <v>12</v>
      </c>
      <c r="J1" s="18"/>
      <c r="K1" s="18"/>
      <c r="L1" s="18" t="s">
        <v>41</v>
      </c>
      <c r="M1" s="18"/>
      <c r="N1" s="18"/>
      <c r="O1" s="18" t="s">
        <v>20</v>
      </c>
      <c r="P1" s="18"/>
      <c r="Q1" s="18"/>
      <c r="R1" s="18" t="s">
        <v>29</v>
      </c>
      <c r="S1" s="18"/>
      <c r="T1" s="18"/>
      <c r="U1" s="18" t="s">
        <v>22</v>
      </c>
      <c r="V1" s="18"/>
      <c r="W1" s="18"/>
      <c r="X1" s="18" t="s">
        <v>28</v>
      </c>
      <c r="Y1" s="18"/>
      <c r="Z1" s="18"/>
      <c r="AA1" s="18" t="s">
        <v>46</v>
      </c>
      <c r="AB1" s="18"/>
      <c r="AC1" s="18"/>
      <c r="AD1" s="18" t="s">
        <v>10</v>
      </c>
      <c r="AE1" s="18"/>
      <c r="AF1" s="18"/>
      <c r="AG1" s="18" t="s">
        <v>19</v>
      </c>
      <c r="AH1" s="18"/>
      <c r="AI1" s="18"/>
      <c r="AJ1" s="18" t="s">
        <v>53</v>
      </c>
      <c r="AK1" s="18"/>
      <c r="AL1" s="18"/>
      <c r="AM1" s="18" t="s">
        <v>13</v>
      </c>
      <c r="AN1" s="18"/>
      <c r="AO1" s="18"/>
      <c r="AP1" s="18" t="s">
        <v>8</v>
      </c>
      <c r="AQ1" s="18"/>
      <c r="AR1" s="18"/>
      <c r="AS1" s="18" t="s">
        <v>6</v>
      </c>
      <c r="AT1" s="18"/>
      <c r="AU1" s="18"/>
      <c r="AV1" s="18" t="s">
        <v>17</v>
      </c>
      <c r="AW1" s="18"/>
      <c r="AX1" s="18"/>
      <c r="AY1" s="18" t="s">
        <v>48</v>
      </c>
      <c r="AZ1" s="18"/>
      <c r="BA1" s="18"/>
      <c r="BB1" s="18" t="s">
        <v>21</v>
      </c>
      <c r="BC1" s="18"/>
      <c r="BD1" s="18"/>
      <c r="BE1" s="18" t="s">
        <v>43</v>
      </c>
      <c r="BF1" s="18"/>
      <c r="BG1" s="18"/>
      <c r="BH1" s="18" t="s">
        <v>18</v>
      </c>
      <c r="BI1" s="18"/>
      <c r="BJ1" s="18"/>
      <c r="BK1" s="18" t="s">
        <v>11</v>
      </c>
      <c r="BL1" s="18"/>
      <c r="BM1" s="18"/>
      <c r="BN1" s="18" t="s">
        <v>34</v>
      </c>
      <c r="BO1" s="18"/>
      <c r="BP1" s="18"/>
      <c r="BQ1" s="18" t="s">
        <v>33</v>
      </c>
      <c r="BR1" s="18"/>
      <c r="BS1" s="18"/>
      <c r="BT1" s="18" t="s">
        <v>54</v>
      </c>
      <c r="BU1" s="18"/>
      <c r="BV1" s="18"/>
      <c r="BW1" s="18" t="s">
        <v>27</v>
      </c>
      <c r="BX1" s="18"/>
      <c r="BY1" s="18"/>
      <c r="BZ1" s="18" t="s">
        <v>16</v>
      </c>
      <c r="CA1" s="18"/>
      <c r="CB1" s="18"/>
      <c r="CC1" s="18" t="s">
        <v>40</v>
      </c>
      <c r="CD1" s="18"/>
      <c r="CE1" s="18"/>
      <c r="CF1" s="18" t="s">
        <v>44</v>
      </c>
      <c r="CG1" s="18"/>
      <c r="CH1" s="18"/>
    </row>
    <row r="2" spans="1:86" s="10" customFormat="1" x14ac:dyDescent="0.2">
      <c r="A2" s="1" t="s">
        <v>5</v>
      </c>
      <c r="B2" s="1">
        <f>SUM(C2:XR2)</f>
        <v>146</v>
      </c>
      <c r="C2" s="19" t="s">
        <v>5</v>
      </c>
      <c r="D2" s="19"/>
      <c r="E2" s="8">
        <f>COUNT(E6:E300)</f>
        <v>6</v>
      </c>
      <c r="F2" s="19" t="s">
        <v>5</v>
      </c>
      <c r="G2" s="19"/>
      <c r="H2" s="8">
        <f>COUNT(H6:H300)</f>
        <v>3</v>
      </c>
      <c r="I2" s="19" t="s">
        <v>5</v>
      </c>
      <c r="J2" s="19"/>
      <c r="K2" s="8">
        <f>COUNT(K6:K300)</f>
        <v>18</v>
      </c>
      <c r="L2" s="19" t="s">
        <v>5</v>
      </c>
      <c r="M2" s="19"/>
      <c r="N2" s="8">
        <f>COUNT(N6:N300)</f>
        <v>4</v>
      </c>
      <c r="O2" s="19" t="s">
        <v>5</v>
      </c>
      <c r="P2" s="19"/>
      <c r="Q2" s="8">
        <f>COUNT(Q6:Q300)</f>
        <v>17</v>
      </c>
      <c r="R2" s="19" t="s">
        <v>5</v>
      </c>
      <c r="S2" s="19"/>
      <c r="T2" s="8">
        <f>COUNT(T6:T300)</f>
        <v>10</v>
      </c>
      <c r="U2" s="19" t="s">
        <v>5</v>
      </c>
      <c r="V2" s="19"/>
      <c r="W2" s="8">
        <f>COUNT(W6:W300)</f>
        <v>5</v>
      </c>
      <c r="X2" s="19" t="s">
        <v>5</v>
      </c>
      <c r="Y2" s="19"/>
      <c r="Z2" s="8">
        <f>COUNT(Z6:Z300)</f>
        <v>4</v>
      </c>
      <c r="AA2" s="19" t="s">
        <v>5</v>
      </c>
      <c r="AB2" s="19"/>
      <c r="AC2" s="8">
        <f>COUNT(AC6:AC300)</f>
        <v>10</v>
      </c>
      <c r="AD2" s="19" t="s">
        <v>5</v>
      </c>
      <c r="AE2" s="19"/>
      <c r="AF2" s="8">
        <f>COUNT(AF6:AF300)</f>
        <v>15</v>
      </c>
      <c r="AG2" s="19" t="s">
        <v>5</v>
      </c>
      <c r="AH2" s="19"/>
      <c r="AI2" s="8">
        <f>COUNT(AI6:AI300)</f>
        <v>9</v>
      </c>
      <c r="AJ2" s="19" t="s">
        <v>5</v>
      </c>
      <c r="AK2" s="19"/>
      <c r="AL2" s="8">
        <f>COUNT(AL6:AL300)</f>
        <v>1</v>
      </c>
      <c r="AM2" s="19" t="s">
        <v>5</v>
      </c>
      <c r="AN2" s="19"/>
      <c r="AO2" s="8">
        <f>COUNT(AO6:AO300)</f>
        <v>4</v>
      </c>
      <c r="AP2" s="19" t="s">
        <v>5</v>
      </c>
      <c r="AQ2" s="19"/>
      <c r="AR2" s="8">
        <f>COUNT(AR6:AR300)</f>
        <v>6</v>
      </c>
      <c r="AS2" s="19" t="s">
        <v>5</v>
      </c>
      <c r="AT2" s="19"/>
      <c r="AU2" s="8">
        <f>COUNT(AU6:AU300)</f>
        <v>1</v>
      </c>
      <c r="AV2" s="19" t="s">
        <v>5</v>
      </c>
      <c r="AW2" s="19"/>
      <c r="AX2" s="8">
        <f>COUNT(AX6:AX300)</f>
        <v>13</v>
      </c>
      <c r="AY2" s="19" t="s">
        <v>5</v>
      </c>
      <c r="AZ2" s="19"/>
      <c r="BA2" s="8">
        <f>COUNT(BA6:BA300)</f>
        <v>1</v>
      </c>
      <c r="BB2" s="19" t="s">
        <v>5</v>
      </c>
      <c r="BC2" s="19"/>
      <c r="BD2" s="8">
        <f>COUNT(BD6:BD300)</f>
        <v>3</v>
      </c>
      <c r="BE2" s="19" t="s">
        <v>5</v>
      </c>
      <c r="BF2" s="19"/>
      <c r="BG2" s="8">
        <f>COUNT(BG6:BG300)</f>
        <v>1</v>
      </c>
      <c r="BH2" s="19" t="s">
        <v>5</v>
      </c>
      <c r="BI2" s="19"/>
      <c r="BJ2" s="8">
        <f>COUNT(BJ6:BJ300)</f>
        <v>2</v>
      </c>
      <c r="BK2" s="19" t="s">
        <v>5</v>
      </c>
      <c r="BL2" s="19"/>
      <c r="BM2" s="8">
        <f>COUNT(BM6:BM300)</f>
        <v>1</v>
      </c>
      <c r="BN2" s="19" t="s">
        <v>5</v>
      </c>
      <c r="BO2" s="19"/>
      <c r="BP2" s="8">
        <f>COUNT(BP6:BP300)</f>
        <v>2</v>
      </c>
      <c r="BQ2" s="19" t="s">
        <v>5</v>
      </c>
      <c r="BR2" s="19"/>
      <c r="BS2" s="8">
        <f>COUNT(BS6:BS300)</f>
        <v>2</v>
      </c>
      <c r="BT2" s="19" t="s">
        <v>5</v>
      </c>
      <c r="BU2" s="19"/>
      <c r="BV2" s="8">
        <f>COUNT(BV6:BV300)</f>
        <v>2</v>
      </c>
      <c r="BW2" s="19" t="s">
        <v>5</v>
      </c>
      <c r="BX2" s="19"/>
      <c r="BY2" s="8">
        <f>COUNT(BY6:BY300)</f>
        <v>2</v>
      </c>
      <c r="BZ2" s="19" t="s">
        <v>5</v>
      </c>
      <c r="CA2" s="19"/>
      <c r="CB2" s="8">
        <f>COUNT(CB6:CB300)</f>
        <v>2</v>
      </c>
      <c r="CC2" s="19" t="s">
        <v>5</v>
      </c>
      <c r="CD2" s="19"/>
      <c r="CE2" s="8">
        <f>COUNT(CE6:CE300)</f>
        <v>1</v>
      </c>
      <c r="CF2" s="19" t="s">
        <v>5</v>
      </c>
      <c r="CG2" s="19"/>
      <c r="CH2" s="8">
        <f>COUNT(CH6:CH300)</f>
        <v>1</v>
      </c>
    </row>
    <row r="3" spans="1:86" s="10" customFormat="1" x14ac:dyDescent="0.2">
      <c r="A3" s="1" t="s">
        <v>4</v>
      </c>
      <c r="B3" s="1">
        <f>SUM(C3:XR3)</f>
        <v>56.670290839653383</v>
      </c>
      <c r="C3" s="19" t="s">
        <v>4</v>
      </c>
      <c r="D3" s="19"/>
      <c r="E3" s="8">
        <f>SUM(E6:E300)</f>
        <v>1.1760998138100001</v>
      </c>
      <c r="F3" s="19" t="s">
        <v>4</v>
      </c>
      <c r="G3" s="19"/>
      <c r="H3" s="8">
        <f>SUM(H6:H300)</f>
        <v>7.3760990332499998E-2</v>
      </c>
      <c r="I3" s="19" t="s">
        <v>4</v>
      </c>
      <c r="J3" s="19"/>
      <c r="K3" s="8">
        <f>SUM(K6:K300)</f>
        <v>1.1580342385787503</v>
      </c>
      <c r="L3" s="19" t="s">
        <v>4</v>
      </c>
      <c r="M3" s="19"/>
      <c r="N3" s="8">
        <f>SUM(N6:N300)</f>
        <v>0.16580683495999998</v>
      </c>
      <c r="O3" s="19" t="s">
        <v>4</v>
      </c>
      <c r="P3" s="19"/>
      <c r="Q3" s="8">
        <f>SUM(Q6:Q300)</f>
        <v>6.1188310463008744</v>
      </c>
      <c r="R3" s="19" t="s">
        <v>4</v>
      </c>
      <c r="S3" s="19"/>
      <c r="T3" s="8">
        <f>SUM(T6:T300)</f>
        <v>0.73748061652687491</v>
      </c>
      <c r="U3" s="19" t="s">
        <v>4</v>
      </c>
      <c r="V3" s="19"/>
      <c r="W3" s="8">
        <f>SUM(W6:W300)</f>
        <v>3.105946332379375</v>
      </c>
      <c r="X3" s="19" t="s">
        <v>4</v>
      </c>
      <c r="Y3" s="19"/>
      <c r="Z3" s="8">
        <f>SUM(Z6:Z300)</f>
        <v>0.1607310595675</v>
      </c>
      <c r="AA3" s="19" t="s">
        <v>4</v>
      </c>
      <c r="AB3" s="19"/>
      <c r="AC3" s="8">
        <f>SUM(AC6:AC300)</f>
        <v>1.0690679363675</v>
      </c>
      <c r="AD3" s="19" t="s">
        <v>4</v>
      </c>
      <c r="AE3" s="19"/>
      <c r="AF3" s="8">
        <f>SUM(AF6:AF300)</f>
        <v>0.89368583592812512</v>
      </c>
      <c r="AG3" s="19" t="s">
        <v>4</v>
      </c>
      <c r="AH3" s="19"/>
      <c r="AI3" s="8">
        <f>SUM(AI6:AI300)</f>
        <v>23.559557360935624</v>
      </c>
      <c r="AJ3" s="19" t="s">
        <v>4</v>
      </c>
      <c r="AK3" s="19"/>
      <c r="AL3" s="8">
        <f>SUM(AL6:AL300)</f>
        <v>2.6665407601875E-2</v>
      </c>
      <c r="AM3" s="19" t="s">
        <v>4</v>
      </c>
      <c r="AN3" s="19"/>
      <c r="AO3" s="8">
        <f>SUM(AO6:AO300)</f>
        <v>11.905759009620628</v>
      </c>
      <c r="AP3" s="19" t="s">
        <v>4</v>
      </c>
      <c r="AQ3" s="19"/>
      <c r="AR3" s="8">
        <f>SUM(AR6:AR300)</f>
        <v>0.37741793218062497</v>
      </c>
      <c r="AS3" s="19" t="s">
        <v>4</v>
      </c>
      <c r="AT3" s="19"/>
      <c r="AU3" s="8">
        <f>SUM(AU6:AU300)</f>
        <v>0.16506643036000002</v>
      </c>
      <c r="AV3" s="19" t="s">
        <v>4</v>
      </c>
      <c r="AW3" s="19"/>
      <c r="AX3" s="8">
        <f>SUM(AX6:AX300)</f>
        <v>1.4177182603681249</v>
      </c>
      <c r="AY3" s="19" t="s">
        <v>4</v>
      </c>
      <c r="AZ3" s="19"/>
      <c r="BA3" s="8">
        <f>SUM(BA6:BA300)</f>
        <v>7.0804734799375005E-2</v>
      </c>
      <c r="BB3" s="19" t="s">
        <v>4</v>
      </c>
      <c r="BC3" s="19"/>
      <c r="BD3" s="8">
        <f>SUM(BD6:BD300)</f>
        <v>9.6369904620000002E-2</v>
      </c>
      <c r="BE3" s="19" t="s">
        <v>4</v>
      </c>
      <c r="BF3" s="19"/>
      <c r="BG3" s="8">
        <f>SUM(BG6:BG300)</f>
        <v>3.6390648753750005E-2</v>
      </c>
      <c r="BH3" s="19" t="s">
        <v>4</v>
      </c>
      <c r="BI3" s="19"/>
      <c r="BJ3" s="8">
        <f>SUM(BJ6:BJ300)</f>
        <v>1.4316110745593749</v>
      </c>
      <c r="BK3" s="19" t="s">
        <v>4</v>
      </c>
      <c r="BL3" s="19"/>
      <c r="BM3" s="8">
        <f>SUM(BM6:BM300)</f>
        <v>5.3070026714999996E-2</v>
      </c>
      <c r="BN3" s="19" t="s">
        <v>4</v>
      </c>
      <c r="BO3" s="19"/>
      <c r="BP3" s="8">
        <f>SUM(BP6:BP300)</f>
        <v>0.22576069742249999</v>
      </c>
      <c r="BQ3" s="19" t="s">
        <v>4</v>
      </c>
      <c r="BR3" s="19"/>
      <c r="BS3" s="8">
        <f>SUM(BS6:BS300)</f>
        <v>0.49336129361250003</v>
      </c>
      <c r="BT3" s="19" t="s">
        <v>4</v>
      </c>
      <c r="BU3" s="19"/>
      <c r="BV3" s="8">
        <f>SUM(BV6:BV300)</f>
        <v>0.14449107329937499</v>
      </c>
      <c r="BW3" s="19" t="s">
        <v>4</v>
      </c>
      <c r="BX3" s="19"/>
      <c r="BY3" s="8">
        <f>SUM(BY6:BY300)</f>
        <v>0.72754303120937491</v>
      </c>
      <c r="BZ3" s="19" t="s">
        <v>4</v>
      </c>
      <c r="CA3" s="19"/>
      <c r="CB3" s="8">
        <f>SUM(CB6:CB300)</f>
        <v>0.54434102116750005</v>
      </c>
      <c r="CC3" s="19" t="s">
        <v>4</v>
      </c>
      <c r="CD3" s="19"/>
      <c r="CE3" s="8">
        <f>SUM(CE6:CE300)</f>
        <v>0.69590026705000008</v>
      </c>
      <c r="CF3" s="19" t="s">
        <v>4</v>
      </c>
      <c r="CG3" s="19"/>
      <c r="CH3" s="8">
        <f>SUM(CH6:CH300)</f>
        <v>3.9017960626250001E-2</v>
      </c>
    </row>
    <row r="4" spans="1:86" s="10" customFormat="1" x14ac:dyDescent="0.2">
      <c r="A4" s="1"/>
      <c r="B4" s="1"/>
      <c r="C4" s="19" t="s">
        <v>3</v>
      </c>
      <c r="D4" s="19"/>
      <c r="E4" s="8">
        <f>AVERAGE(E6:E300)</f>
        <v>0.19601663563500002</v>
      </c>
      <c r="F4" s="19" t="s">
        <v>3</v>
      </c>
      <c r="G4" s="19"/>
      <c r="H4" s="8">
        <f>AVERAGE(H6:H300)</f>
        <v>2.4586996777499998E-2</v>
      </c>
      <c r="I4" s="19" t="s">
        <v>3</v>
      </c>
      <c r="J4" s="19"/>
      <c r="K4" s="8">
        <f>AVERAGE(K6:K300)</f>
        <v>6.4335235476597238E-2</v>
      </c>
      <c r="L4" s="19" t="s">
        <v>3</v>
      </c>
      <c r="M4" s="19"/>
      <c r="N4" s="8">
        <f>AVERAGE(N6:N300)</f>
        <v>4.1451708739999996E-2</v>
      </c>
      <c r="O4" s="19" t="s">
        <v>3</v>
      </c>
      <c r="P4" s="19"/>
      <c r="Q4" s="8">
        <f>AVERAGE(Q6:Q300)</f>
        <v>0.3599312380176985</v>
      </c>
      <c r="R4" s="19" t="s">
        <v>3</v>
      </c>
      <c r="S4" s="19"/>
      <c r="T4" s="8">
        <f>AVERAGE(T6:T300)</f>
        <v>7.3748061652687491E-2</v>
      </c>
      <c r="U4" s="19" t="s">
        <v>3</v>
      </c>
      <c r="V4" s="19"/>
      <c r="W4" s="8">
        <f>AVERAGE(W6:W300)</f>
        <v>0.62118926647587502</v>
      </c>
      <c r="X4" s="19" t="s">
        <v>3</v>
      </c>
      <c r="Y4" s="19"/>
      <c r="Z4" s="8">
        <f>AVERAGE(Z6:Z300)</f>
        <v>4.0182764891875E-2</v>
      </c>
      <c r="AA4" s="19" t="s">
        <v>3</v>
      </c>
      <c r="AB4" s="19"/>
      <c r="AC4" s="8">
        <f>AVERAGE(AC6:AC300)</f>
        <v>0.10690679363675</v>
      </c>
      <c r="AD4" s="19" t="s">
        <v>3</v>
      </c>
      <c r="AE4" s="19"/>
      <c r="AF4" s="8">
        <f>AVERAGE(AF6:AF300)</f>
        <v>5.9579055728541677E-2</v>
      </c>
      <c r="AG4" s="19" t="s">
        <v>3</v>
      </c>
      <c r="AH4" s="19"/>
      <c r="AI4" s="8">
        <f>AVERAGE(AI6:AI300)</f>
        <v>2.6177285956595138</v>
      </c>
      <c r="AJ4" s="19" t="s">
        <v>3</v>
      </c>
      <c r="AK4" s="19"/>
      <c r="AL4" s="8">
        <f>AVERAGE(AL6:AL300)</f>
        <v>2.6665407601875E-2</v>
      </c>
      <c r="AM4" s="19" t="s">
        <v>3</v>
      </c>
      <c r="AN4" s="19"/>
      <c r="AO4" s="8">
        <f>AVERAGE(AO6:AO300)</f>
        <v>2.9764397524051569</v>
      </c>
      <c r="AP4" s="19" t="s">
        <v>3</v>
      </c>
      <c r="AQ4" s="19"/>
      <c r="AR4" s="8">
        <f>AVERAGE(AR6:AR300)</f>
        <v>6.2902988696770828E-2</v>
      </c>
      <c r="AS4" s="19" t="s">
        <v>3</v>
      </c>
      <c r="AT4" s="19"/>
      <c r="AU4" s="8">
        <f>AVERAGE(AU6:AU300)</f>
        <v>0.16506643036000002</v>
      </c>
      <c r="AV4" s="19" t="s">
        <v>3</v>
      </c>
      <c r="AW4" s="19"/>
      <c r="AX4" s="8">
        <f>AVERAGE(AX6:AX300)</f>
        <v>0.10905525079754806</v>
      </c>
      <c r="AY4" s="19" t="s">
        <v>3</v>
      </c>
      <c r="AZ4" s="19"/>
      <c r="BA4" s="8">
        <f>AVERAGE(BA6:BA300)</f>
        <v>7.0804734799375005E-2</v>
      </c>
      <c r="BB4" s="19" t="s">
        <v>3</v>
      </c>
      <c r="BC4" s="19"/>
      <c r="BD4" s="8">
        <f>AVERAGE(BD6:BD300)</f>
        <v>3.2123301540000003E-2</v>
      </c>
      <c r="BE4" s="19" t="s">
        <v>3</v>
      </c>
      <c r="BF4" s="19"/>
      <c r="BG4" s="8">
        <f>AVERAGE(BG6:BG300)</f>
        <v>3.6390648753750005E-2</v>
      </c>
      <c r="BH4" s="19" t="s">
        <v>3</v>
      </c>
      <c r="BI4" s="19"/>
      <c r="BJ4" s="8">
        <f>AVERAGE(BJ6:BJ300)</f>
        <v>0.71580553727968743</v>
      </c>
      <c r="BK4" s="19" t="s">
        <v>3</v>
      </c>
      <c r="BL4" s="19"/>
      <c r="BM4" s="8">
        <f>AVERAGE(BM6:BM300)</f>
        <v>5.3070026714999996E-2</v>
      </c>
      <c r="BN4" s="19" t="s">
        <v>3</v>
      </c>
      <c r="BO4" s="19"/>
      <c r="BP4" s="8">
        <f>AVERAGE(BP6:BP300)</f>
        <v>0.11288034871124999</v>
      </c>
      <c r="BQ4" s="19" t="s">
        <v>3</v>
      </c>
      <c r="BR4" s="19"/>
      <c r="BS4" s="8">
        <f>AVERAGE(BS6:BS300)</f>
        <v>0.24668064680625001</v>
      </c>
      <c r="BT4" s="19" t="s">
        <v>3</v>
      </c>
      <c r="BU4" s="19"/>
      <c r="BV4" s="8">
        <f>AVERAGE(BV6:BV300)</f>
        <v>7.2245536649687497E-2</v>
      </c>
      <c r="BW4" s="19" t="s">
        <v>3</v>
      </c>
      <c r="BX4" s="19"/>
      <c r="BY4" s="8">
        <f>AVERAGE(BY6:BY300)</f>
        <v>0.36377151560468746</v>
      </c>
      <c r="BZ4" s="19" t="s">
        <v>3</v>
      </c>
      <c r="CA4" s="19"/>
      <c r="CB4" s="8">
        <f>AVERAGE(CB6:CB300)</f>
        <v>0.27217051058375002</v>
      </c>
      <c r="CC4" s="19" t="s">
        <v>3</v>
      </c>
      <c r="CD4" s="19"/>
      <c r="CE4" s="8">
        <f>AVERAGE(CE6:CE300)</f>
        <v>0.69590026705000008</v>
      </c>
      <c r="CF4" s="19" t="s">
        <v>3</v>
      </c>
      <c r="CG4" s="19"/>
      <c r="CH4" s="8">
        <f>AVERAGE(CH6:CH300)</f>
        <v>3.9017960626250001E-2</v>
      </c>
    </row>
    <row r="5" spans="1:86" x14ac:dyDescent="0.2">
      <c r="A5" s="1"/>
      <c r="B5" s="1"/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  <c r="BK5" s="8" t="s">
        <v>2</v>
      </c>
      <c r="BL5" s="8" t="s">
        <v>1</v>
      </c>
      <c r="BM5" s="8" t="s">
        <v>0</v>
      </c>
      <c r="BN5" s="8" t="s">
        <v>2</v>
      </c>
      <c r="BO5" s="8" t="s">
        <v>1</v>
      </c>
      <c r="BP5" s="8" t="s">
        <v>0</v>
      </c>
      <c r="BQ5" s="8" t="s">
        <v>2</v>
      </c>
      <c r="BR5" s="8" t="s">
        <v>1</v>
      </c>
      <c r="BS5" s="8" t="s">
        <v>0</v>
      </c>
      <c r="BT5" s="8" t="s">
        <v>2</v>
      </c>
      <c r="BU5" s="8" t="s">
        <v>1</v>
      </c>
      <c r="BV5" s="8" t="s">
        <v>0</v>
      </c>
      <c r="BW5" s="8" t="s">
        <v>2</v>
      </c>
      <c r="BX5" s="8" t="s">
        <v>1</v>
      </c>
      <c r="BY5" s="8" t="s">
        <v>0</v>
      </c>
      <c r="BZ5" s="8" t="s">
        <v>2</v>
      </c>
      <c r="CA5" s="8" t="s">
        <v>1</v>
      </c>
      <c r="CB5" s="8" t="s">
        <v>0</v>
      </c>
      <c r="CC5" s="8" t="s">
        <v>2</v>
      </c>
      <c r="CD5" s="8" t="s">
        <v>1</v>
      </c>
      <c r="CE5" s="8" t="s">
        <v>0</v>
      </c>
      <c r="CF5" s="8" t="s">
        <v>2</v>
      </c>
      <c r="CG5" s="8" t="s">
        <v>1</v>
      </c>
      <c r="CH5" s="8" t="s">
        <v>0</v>
      </c>
    </row>
    <row r="6" spans="1:86" x14ac:dyDescent="0.2">
      <c r="C6" s="3">
        <v>488.84</v>
      </c>
      <c r="D6" s="3">
        <v>20.239999999999998</v>
      </c>
      <c r="E6" s="2">
        <f t="shared" ref="E6:E11" si="0">(C6*D6*D6)/1600000</f>
        <v>0.12516063823999998</v>
      </c>
      <c r="F6" s="3">
        <v>402.09</v>
      </c>
      <c r="G6" s="3">
        <v>12.39</v>
      </c>
      <c r="H6" s="2">
        <f t="shared" ref="H6:H8" si="1">(F6*G6*G6)/1600000</f>
        <v>3.8578550180624997E-2</v>
      </c>
      <c r="I6" s="3">
        <v>258.61</v>
      </c>
      <c r="J6" s="3">
        <v>19.93</v>
      </c>
      <c r="K6" s="2">
        <f t="shared" ref="K6:K23" si="2">(I6*J6*J6)/1600000</f>
        <v>6.4200724493125014E-2</v>
      </c>
      <c r="L6" s="3">
        <v>318.27999999999997</v>
      </c>
      <c r="M6" s="3">
        <v>14.75</v>
      </c>
      <c r="N6" s="2">
        <f t="shared" ref="N6:N9" si="3">(L6*M6*M6)/1600000</f>
        <v>4.3278620312499988E-2</v>
      </c>
      <c r="O6" s="3">
        <v>608.92999999999995</v>
      </c>
      <c r="P6" s="3">
        <v>21.75</v>
      </c>
      <c r="Q6" s="2">
        <f t="shared" ref="Q6:Q22" si="4">(O6*P6*P6)/1600000</f>
        <v>0.18003871757812501</v>
      </c>
      <c r="R6" s="3">
        <v>569.91</v>
      </c>
      <c r="S6" s="3">
        <v>18.77</v>
      </c>
      <c r="T6" s="2">
        <f t="shared" ref="T6:T15" si="5">(R6*S6*S6)/1600000</f>
        <v>0.12549165302437498</v>
      </c>
      <c r="U6" s="3">
        <v>194.11</v>
      </c>
      <c r="V6" s="3">
        <v>19</v>
      </c>
      <c r="W6" s="2">
        <f t="shared" ref="W6:W10" si="6">(U6*V6*V6)/1600000</f>
        <v>4.3796068750000007E-2</v>
      </c>
      <c r="X6" s="3">
        <v>189.88</v>
      </c>
      <c r="Y6" s="3">
        <v>20.78</v>
      </c>
      <c r="Z6" s="2">
        <f t="shared" ref="Z6:Z9" si="7">(X6*Y6*Y6)/1600000</f>
        <v>5.1244861870000005E-2</v>
      </c>
      <c r="AA6" s="3">
        <v>493.86</v>
      </c>
      <c r="AB6" s="3">
        <v>26.74</v>
      </c>
      <c r="AC6" s="2">
        <f t="shared" ref="AC6:AC15" si="8">(AA6*AB6*AB6)/1600000</f>
        <v>0.22070220658499998</v>
      </c>
      <c r="AD6" s="3">
        <v>271.54000000000002</v>
      </c>
      <c r="AE6" s="3">
        <v>16.21</v>
      </c>
      <c r="AF6" s="2">
        <f t="shared" ref="AF6:AF20" si="9">(AD6*AE6*AE6)/1600000</f>
        <v>4.459435232125001E-2</v>
      </c>
      <c r="AG6" s="3">
        <v>582.58000000000004</v>
      </c>
      <c r="AH6" s="3">
        <v>19.7</v>
      </c>
      <c r="AI6" s="2">
        <f t="shared" ref="AI6:AI14" si="10">(AG6*AH6*AH6)/1600000</f>
        <v>0.141308420125</v>
      </c>
      <c r="AJ6" s="3">
        <v>219.87</v>
      </c>
      <c r="AK6" s="3">
        <v>13.93</v>
      </c>
      <c r="AL6" s="2">
        <f t="shared" ref="AL6" si="11">(AJ6*AK6*AK6)/1600000</f>
        <v>2.6665407601875E-2</v>
      </c>
      <c r="AM6" s="3">
        <v>2151.63</v>
      </c>
      <c r="AN6" s="3">
        <v>62.32</v>
      </c>
      <c r="AO6" s="2">
        <f t="shared" ref="AO6:AO9" si="12">(AM6*AN6*AN6)/1600000</f>
        <v>5.2227892033200005</v>
      </c>
      <c r="AP6" s="3">
        <v>343.65</v>
      </c>
      <c r="AQ6" s="3">
        <v>13.67</v>
      </c>
      <c r="AR6" s="2">
        <f t="shared" ref="AR6:AR11" si="13">(AP6*AQ6*AQ6)/1600000</f>
        <v>4.0135935928124998E-2</v>
      </c>
      <c r="AS6" s="3">
        <v>461.59</v>
      </c>
      <c r="AT6" s="3">
        <v>23.92</v>
      </c>
      <c r="AU6" s="2">
        <f t="shared" ref="AU6" si="14">(AS6*AT6*AT6)/1600000</f>
        <v>0.16506643036000002</v>
      </c>
      <c r="AV6" s="3">
        <v>396.38</v>
      </c>
      <c r="AW6" s="3">
        <v>18.399999999999999</v>
      </c>
      <c r="AX6" s="2">
        <f t="shared" ref="AX6:AX18" si="15">(AV6*AW6*AW6)/1600000</f>
        <v>8.3874007999999972E-2</v>
      </c>
      <c r="AY6" s="3">
        <v>515.11</v>
      </c>
      <c r="AZ6" s="3">
        <v>14.83</v>
      </c>
      <c r="BA6" s="2">
        <f t="shared" ref="BA6" si="16">(AY6*AZ6*AZ6)/1600000</f>
        <v>7.0804734799375005E-2</v>
      </c>
      <c r="BB6" s="3">
        <v>324.43</v>
      </c>
      <c r="BC6" s="3">
        <v>12.45</v>
      </c>
      <c r="BD6" s="2">
        <f t="shared" ref="BD6:BD8" si="17">(BB6*BC6*BC6)/1600000</f>
        <v>3.1429663171874997E-2</v>
      </c>
      <c r="BE6" s="3">
        <v>333.66</v>
      </c>
      <c r="BF6" s="3">
        <v>13.21</v>
      </c>
      <c r="BG6" s="2">
        <f t="shared" ref="BG6" si="18">(BE6*BF6*BF6)/1600000</f>
        <v>3.6390648753750005E-2</v>
      </c>
      <c r="BH6" s="3">
        <v>759.2</v>
      </c>
      <c r="BI6" s="3">
        <v>32.69</v>
      </c>
      <c r="BJ6" s="2">
        <f t="shared" ref="BJ6:BJ7" si="19">(BH6*BI6*BI6)/1600000</f>
        <v>0.50706782944999995</v>
      </c>
      <c r="BK6" s="3">
        <v>330.86</v>
      </c>
      <c r="BL6" s="3">
        <v>16.02</v>
      </c>
      <c r="BM6" s="2">
        <f t="shared" ref="BM6" si="20">(BK6*BL6*BL6)/1600000</f>
        <v>5.3070026714999996E-2</v>
      </c>
      <c r="BN6" s="3">
        <v>450.85</v>
      </c>
      <c r="BO6" s="3">
        <v>16.86</v>
      </c>
      <c r="BP6" s="2">
        <f t="shared" ref="BP6:BP7" si="21">(BN6*BO6*BO6)/1600000</f>
        <v>8.0099025412499997E-2</v>
      </c>
      <c r="BQ6" s="3">
        <v>408.36</v>
      </c>
      <c r="BR6" s="3">
        <v>25.71</v>
      </c>
      <c r="BS6" s="2">
        <f t="shared" ref="BS6:BS7" si="22">(BQ6*BR6*BR6)/1600000</f>
        <v>0.16870477142250001</v>
      </c>
      <c r="BT6" s="3">
        <v>302.45</v>
      </c>
      <c r="BU6" s="3">
        <v>16.96</v>
      </c>
      <c r="BV6" s="2">
        <f t="shared" ref="BV6:BV7" si="23">(BT6*BU6*BU6)/1600000</f>
        <v>5.4373251199999993E-2</v>
      </c>
      <c r="BW6" s="3">
        <v>671.65</v>
      </c>
      <c r="BX6" s="3">
        <v>29.99</v>
      </c>
      <c r="BY6" s="2">
        <f t="shared" ref="BY6:BY7" si="24">(BW6*BX6*BX6)/1600000</f>
        <v>0.37755129822812494</v>
      </c>
      <c r="BZ6" s="3">
        <v>282.01</v>
      </c>
      <c r="CA6" s="3">
        <v>17.16</v>
      </c>
      <c r="CB6" s="2">
        <f t="shared" ref="CB6:CB7" si="25">(BZ6*CA6*CA6)/1600000</f>
        <v>5.1901402409999992E-2</v>
      </c>
      <c r="CC6" s="3">
        <v>1172.2</v>
      </c>
      <c r="CD6" s="3">
        <v>30.82</v>
      </c>
      <c r="CE6" s="2">
        <f t="shared" ref="CE6" si="26">(CC6*CD6*CD6)/1600000</f>
        <v>0.69590026705000008</v>
      </c>
      <c r="CF6" s="3">
        <v>417.38</v>
      </c>
      <c r="CG6" s="3">
        <v>12.23</v>
      </c>
      <c r="CH6" s="2">
        <f t="shared" ref="CH6" si="27">(CF6*CG6*CG6)/1600000</f>
        <v>3.9017960626250001E-2</v>
      </c>
    </row>
    <row r="7" spans="1:86" x14ac:dyDescent="0.2">
      <c r="C7" s="3">
        <v>739.99</v>
      </c>
      <c r="D7" s="3">
        <v>31.62</v>
      </c>
      <c r="E7" s="2">
        <f t="shared" si="0"/>
        <v>0.46241253609750005</v>
      </c>
      <c r="F7" s="3">
        <v>211.07</v>
      </c>
      <c r="G7" s="3">
        <v>9.8699999999999992</v>
      </c>
      <c r="H7" s="2">
        <f t="shared" si="1"/>
        <v>1.2851115676874997E-2</v>
      </c>
      <c r="I7" s="3">
        <v>454.55</v>
      </c>
      <c r="J7" s="3">
        <v>21.47</v>
      </c>
      <c r="K7" s="2">
        <f t="shared" si="2"/>
        <v>0.13095611068437499</v>
      </c>
      <c r="L7" s="3">
        <v>359.06</v>
      </c>
      <c r="M7" s="3">
        <v>12.16</v>
      </c>
      <c r="N7" s="2">
        <f t="shared" si="3"/>
        <v>3.3182888959999997E-2</v>
      </c>
      <c r="O7" s="3">
        <v>485.57</v>
      </c>
      <c r="P7" s="3">
        <v>19.63</v>
      </c>
      <c r="Q7" s="2">
        <f t="shared" si="4"/>
        <v>0.11694252408312497</v>
      </c>
      <c r="R7" s="3">
        <v>468.93</v>
      </c>
      <c r="S7" s="3">
        <v>15.97</v>
      </c>
      <c r="T7" s="2">
        <f t="shared" si="5"/>
        <v>7.4747705773125006E-2</v>
      </c>
      <c r="U7" s="3">
        <v>217.8</v>
      </c>
      <c r="V7" s="3">
        <v>18.57</v>
      </c>
      <c r="W7" s="2">
        <f t="shared" si="6"/>
        <v>4.6942012012499999E-2</v>
      </c>
      <c r="X7" s="3">
        <v>224.65</v>
      </c>
      <c r="Y7" s="3">
        <v>18.86</v>
      </c>
      <c r="Z7" s="2">
        <f t="shared" si="7"/>
        <v>4.9942446962499998E-2</v>
      </c>
      <c r="AA7" s="3">
        <v>216.09</v>
      </c>
      <c r="AB7" s="3">
        <v>15.09</v>
      </c>
      <c r="AC7" s="2">
        <f t="shared" si="8"/>
        <v>3.0753402080625002E-2</v>
      </c>
      <c r="AD7" s="3">
        <v>407.74</v>
      </c>
      <c r="AE7" s="3">
        <v>17.010000000000002</v>
      </c>
      <c r="AF7" s="2">
        <f t="shared" si="9"/>
        <v>7.3734707733750016E-2</v>
      </c>
      <c r="AG7" s="3">
        <v>513.70000000000005</v>
      </c>
      <c r="AH7" s="3">
        <v>21.25</v>
      </c>
      <c r="AI7" s="2">
        <f t="shared" si="10"/>
        <v>0.14497978515625001</v>
      </c>
      <c r="AJ7" s="3"/>
      <c r="AK7" s="3"/>
      <c r="AL7" s="2"/>
      <c r="AM7" s="3">
        <v>853.34</v>
      </c>
      <c r="AN7" s="3">
        <v>33.03</v>
      </c>
      <c r="AO7" s="2">
        <f t="shared" si="12"/>
        <v>0.58186102575375009</v>
      </c>
      <c r="AP7" s="3">
        <v>386.08</v>
      </c>
      <c r="AQ7" s="3">
        <v>14.83</v>
      </c>
      <c r="AR7" s="2">
        <f t="shared" si="13"/>
        <v>5.3068843569999996E-2</v>
      </c>
      <c r="AS7" s="3"/>
      <c r="AT7" s="3"/>
      <c r="AU7" s="2"/>
      <c r="AV7" s="3">
        <v>341.16</v>
      </c>
      <c r="AW7" s="3">
        <v>16.5</v>
      </c>
      <c r="AX7" s="2">
        <f t="shared" si="15"/>
        <v>5.8050506250000009E-2</v>
      </c>
      <c r="AY7" s="3"/>
      <c r="AZ7" s="3"/>
      <c r="BA7" s="2"/>
      <c r="BB7" s="3">
        <v>340.05</v>
      </c>
      <c r="BC7" s="3">
        <v>13.17</v>
      </c>
      <c r="BD7" s="2">
        <f t="shared" si="17"/>
        <v>3.6863311528124998E-2</v>
      </c>
      <c r="BE7" s="3"/>
      <c r="BF7" s="3"/>
      <c r="BG7" s="2"/>
      <c r="BH7" s="3">
        <v>832.63</v>
      </c>
      <c r="BI7" s="3">
        <v>42.15</v>
      </c>
      <c r="BJ7" s="2">
        <f t="shared" si="19"/>
        <v>0.92454324510937502</v>
      </c>
      <c r="BK7" s="3"/>
      <c r="BL7" s="3"/>
      <c r="BM7" s="2"/>
      <c r="BN7" s="3">
        <v>665.76</v>
      </c>
      <c r="BO7" s="3">
        <v>18.71</v>
      </c>
      <c r="BP7" s="2">
        <f t="shared" si="21"/>
        <v>0.14566167200999999</v>
      </c>
      <c r="BQ7" s="3">
        <v>776.16</v>
      </c>
      <c r="BR7" s="3">
        <v>25.87</v>
      </c>
      <c r="BS7" s="2">
        <f t="shared" si="22"/>
        <v>0.32465652219000002</v>
      </c>
      <c r="BT7" s="3">
        <v>318.70999999999998</v>
      </c>
      <c r="BU7" s="3">
        <v>21.27</v>
      </c>
      <c r="BV7" s="2">
        <f t="shared" si="23"/>
        <v>9.0117822099374995E-2</v>
      </c>
      <c r="BW7" s="3">
        <v>699.7</v>
      </c>
      <c r="BX7" s="3">
        <v>28.29</v>
      </c>
      <c r="BY7" s="2">
        <f t="shared" si="24"/>
        <v>0.34999173298124997</v>
      </c>
      <c r="BZ7" s="3">
        <v>573.66999999999996</v>
      </c>
      <c r="CA7" s="3">
        <v>37.06</v>
      </c>
      <c r="CB7" s="2">
        <f t="shared" si="25"/>
        <v>0.49243961875750009</v>
      </c>
      <c r="CC7" s="3"/>
      <c r="CD7" s="3"/>
      <c r="CE7" s="2"/>
      <c r="CF7" s="3"/>
      <c r="CG7" s="3"/>
      <c r="CH7" s="2"/>
    </row>
    <row r="8" spans="1:86" x14ac:dyDescent="0.2">
      <c r="C8" s="3">
        <v>759.99</v>
      </c>
      <c r="D8" s="3">
        <v>21.38</v>
      </c>
      <c r="E8" s="2">
        <f t="shared" si="0"/>
        <v>0.21712173309749999</v>
      </c>
      <c r="F8" s="3">
        <v>212.4</v>
      </c>
      <c r="G8" s="3">
        <v>12.97</v>
      </c>
      <c r="H8" s="2">
        <f t="shared" si="1"/>
        <v>2.2331324475000004E-2</v>
      </c>
      <c r="I8" s="3">
        <v>290.25</v>
      </c>
      <c r="J8" s="3">
        <v>15.21</v>
      </c>
      <c r="K8" s="2">
        <f t="shared" si="2"/>
        <v>4.1967265640625008E-2</v>
      </c>
      <c r="L8" s="3">
        <v>300.2</v>
      </c>
      <c r="M8" s="3">
        <v>11.68</v>
      </c>
      <c r="N8" s="2">
        <f t="shared" si="3"/>
        <v>2.5596252799999997E-2</v>
      </c>
      <c r="O8" s="3">
        <v>1002.32</v>
      </c>
      <c r="P8" s="3">
        <v>31.41</v>
      </c>
      <c r="Q8" s="2">
        <f t="shared" si="4"/>
        <v>0.61804811524500003</v>
      </c>
      <c r="R8" s="3">
        <v>247.05</v>
      </c>
      <c r="S8" s="3">
        <v>10.38</v>
      </c>
      <c r="T8" s="2">
        <f t="shared" si="5"/>
        <v>1.6636408762500002E-2</v>
      </c>
      <c r="U8" s="3">
        <v>182.62</v>
      </c>
      <c r="V8" s="3">
        <v>16.350000000000001</v>
      </c>
      <c r="W8" s="2">
        <f t="shared" si="6"/>
        <v>3.0511521843750007E-2</v>
      </c>
      <c r="X8" s="3">
        <v>192.36</v>
      </c>
      <c r="Y8" s="3">
        <v>15.84</v>
      </c>
      <c r="Z8" s="2">
        <f t="shared" si="7"/>
        <v>3.0165125760000001E-2</v>
      </c>
      <c r="AA8" s="3">
        <v>369.54</v>
      </c>
      <c r="AB8" s="3">
        <v>19.38</v>
      </c>
      <c r="AC8" s="2">
        <f t="shared" si="8"/>
        <v>8.6745911985000007E-2</v>
      </c>
      <c r="AD8" s="3">
        <v>265.70999999999998</v>
      </c>
      <c r="AE8" s="3">
        <v>16.5</v>
      </c>
      <c r="AF8" s="2">
        <f t="shared" si="9"/>
        <v>4.5212217187499994E-2</v>
      </c>
      <c r="AG8" s="3">
        <v>303.25</v>
      </c>
      <c r="AH8" s="3">
        <v>14.88</v>
      </c>
      <c r="AI8" s="2">
        <f t="shared" si="10"/>
        <v>4.1964948000000002E-2</v>
      </c>
      <c r="AJ8" s="3"/>
      <c r="AK8" s="3"/>
      <c r="AL8" s="2"/>
      <c r="AM8" s="3">
        <v>1838.19</v>
      </c>
      <c r="AN8" s="3">
        <v>69.87</v>
      </c>
      <c r="AO8" s="2">
        <f t="shared" si="12"/>
        <v>5.6085668796318755</v>
      </c>
      <c r="AP8" s="3">
        <v>305.05</v>
      </c>
      <c r="AQ8" s="3">
        <v>10.66</v>
      </c>
      <c r="AR8" s="2">
        <f t="shared" si="13"/>
        <v>2.1665337362499999E-2</v>
      </c>
      <c r="AS8" s="3"/>
      <c r="AT8" s="3"/>
      <c r="AU8" s="2"/>
      <c r="AV8" s="3">
        <v>386.72</v>
      </c>
      <c r="AW8" s="3">
        <v>16.72</v>
      </c>
      <c r="AX8" s="2">
        <f t="shared" si="15"/>
        <v>6.7569265279999999E-2</v>
      </c>
      <c r="AY8" s="3"/>
      <c r="AZ8" s="3"/>
      <c r="BA8" s="2"/>
      <c r="BB8" s="3">
        <v>288.43</v>
      </c>
      <c r="BC8" s="3">
        <v>12.48</v>
      </c>
      <c r="BD8" s="2">
        <f t="shared" si="17"/>
        <v>2.8076929920000004E-2</v>
      </c>
      <c r="BE8" s="3"/>
      <c r="BF8" s="3"/>
      <c r="BG8" s="2"/>
      <c r="BH8" s="3"/>
      <c r="BI8" s="3"/>
      <c r="BJ8" s="2"/>
      <c r="BK8" s="3"/>
      <c r="BL8" s="3"/>
      <c r="BM8" s="2"/>
      <c r="BN8" s="3"/>
      <c r="BO8" s="3"/>
      <c r="BP8" s="2"/>
      <c r="BQ8" s="3"/>
      <c r="BR8" s="3"/>
      <c r="BS8" s="2"/>
      <c r="BT8" s="3"/>
      <c r="BU8" s="3"/>
      <c r="BV8" s="2"/>
      <c r="BW8" s="3"/>
      <c r="BX8" s="3"/>
      <c r="BY8" s="2"/>
      <c r="BZ8" s="3"/>
      <c r="CA8" s="3"/>
      <c r="CB8" s="2"/>
      <c r="CC8" s="3"/>
      <c r="CD8" s="3"/>
      <c r="CE8" s="2"/>
      <c r="CF8" s="3"/>
      <c r="CG8" s="3"/>
      <c r="CH8" s="2"/>
    </row>
    <row r="9" spans="1:86" x14ac:dyDescent="0.2">
      <c r="C9" s="3">
        <v>774.8</v>
      </c>
      <c r="D9" s="3">
        <v>19.579999999999998</v>
      </c>
      <c r="E9" s="2">
        <f t="shared" si="0"/>
        <v>0.18565002169999997</v>
      </c>
      <c r="F9" s="3"/>
      <c r="G9" s="3"/>
      <c r="H9" s="2"/>
      <c r="I9" s="3">
        <v>216.94</v>
      </c>
      <c r="J9" s="3">
        <v>17.45</v>
      </c>
      <c r="K9" s="2">
        <f t="shared" si="2"/>
        <v>4.128673271874999E-2</v>
      </c>
      <c r="L9" s="3">
        <v>407.55</v>
      </c>
      <c r="M9" s="3">
        <v>15.82</v>
      </c>
      <c r="N9" s="2">
        <f t="shared" si="3"/>
        <v>6.3749072887500008E-2</v>
      </c>
      <c r="O9" s="3">
        <v>455.44</v>
      </c>
      <c r="P9" s="3">
        <v>21.68</v>
      </c>
      <c r="Q9" s="2">
        <f t="shared" si="4"/>
        <v>0.13379187616000002</v>
      </c>
      <c r="R9" s="3">
        <v>550.1</v>
      </c>
      <c r="S9" s="3">
        <v>21.08</v>
      </c>
      <c r="T9" s="2">
        <f t="shared" si="5"/>
        <v>0.1527787229</v>
      </c>
      <c r="U9" s="3">
        <v>311.37</v>
      </c>
      <c r="V9" s="3">
        <v>19.79</v>
      </c>
      <c r="W9" s="2">
        <f t="shared" si="6"/>
        <v>7.6216389635624993E-2</v>
      </c>
      <c r="X9" s="3">
        <v>235.1</v>
      </c>
      <c r="Y9" s="3">
        <v>14.14</v>
      </c>
      <c r="Z9" s="2">
        <f t="shared" si="7"/>
        <v>2.9378624974999996E-2</v>
      </c>
      <c r="AA9" s="3">
        <v>446.88</v>
      </c>
      <c r="AB9" s="3">
        <v>19</v>
      </c>
      <c r="AC9" s="2">
        <f t="shared" si="8"/>
        <v>0.10082729999999999</v>
      </c>
      <c r="AD9" s="3">
        <v>405.42</v>
      </c>
      <c r="AE9" s="3">
        <v>13.63</v>
      </c>
      <c r="AF9" s="2">
        <f t="shared" si="9"/>
        <v>4.7073544248750002E-2</v>
      </c>
      <c r="AG9" s="3">
        <v>590.13</v>
      </c>
      <c r="AH9" s="3">
        <v>16.809999999999999</v>
      </c>
      <c r="AI9" s="2">
        <f t="shared" si="10"/>
        <v>0.10422289618312498</v>
      </c>
      <c r="AJ9" s="3"/>
      <c r="AK9" s="3"/>
      <c r="AL9" s="2"/>
      <c r="AM9" s="3">
        <v>702.64</v>
      </c>
      <c r="AN9" s="3">
        <v>33.49</v>
      </c>
      <c r="AO9" s="2">
        <f t="shared" si="12"/>
        <v>0.492541900915</v>
      </c>
      <c r="AP9" s="3">
        <v>347.25</v>
      </c>
      <c r="AQ9" s="3">
        <v>12.28</v>
      </c>
      <c r="AR9" s="2">
        <f t="shared" si="13"/>
        <v>3.2727965249999991E-2</v>
      </c>
      <c r="AS9" s="3"/>
      <c r="AT9" s="3"/>
      <c r="AU9" s="2"/>
      <c r="AV9" s="3">
        <v>382.24</v>
      </c>
      <c r="AW9" s="3">
        <v>18.03</v>
      </c>
      <c r="AX9" s="2">
        <f t="shared" si="15"/>
        <v>7.7661827010000017E-2</v>
      </c>
      <c r="AY9" s="3"/>
      <c r="AZ9" s="3"/>
      <c r="BA9" s="2"/>
      <c r="BB9" s="3"/>
      <c r="BC9" s="3"/>
      <c r="BD9" s="2"/>
      <c r="BE9" s="3"/>
      <c r="BF9" s="3"/>
      <c r="BG9" s="2"/>
      <c r="BH9" s="3"/>
      <c r="BI9" s="3"/>
      <c r="BJ9" s="2"/>
      <c r="BK9" s="3"/>
      <c r="BL9" s="3"/>
      <c r="BM9" s="2"/>
      <c r="BN9" s="3"/>
      <c r="BO9" s="3"/>
      <c r="BP9" s="2"/>
      <c r="BQ9" s="3"/>
      <c r="BR9" s="3"/>
      <c r="BS9" s="2"/>
      <c r="BT9" s="3"/>
      <c r="BU9" s="3"/>
      <c r="BV9" s="2"/>
      <c r="BW9" s="3"/>
      <c r="BX9" s="3"/>
      <c r="BY9" s="2"/>
      <c r="BZ9" s="3"/>
      <c r="CA9" s="3"/>
      <c r="CB9" s="2"/>
      <c r="CC9" s="3"/>
      <c r="CD9" s="3"/>
      <c r="CE9" s="2"/>
      <c r="CF9" s="3"/>
      <c r="CG9" s="3"/>
      <c r="CH9" s="2"/>
    </row>
    <row r="10" spans="1:86" x14ac:dyDescent="0.2">
      <c r="C10" s="3">
        <v>449.42</v>
      </c>
      <c r="D10" s="3">
        <v>17.14</v>
      </c>
      <c r="E10" s="2">
        <f t="shared" si="0"/>
        <v>8.2519017395000005E-2</v>
      </c>
      <c r="F10" s="3"/>
      <c r="G10" s="3"/>
      <c r="H10" s="2"/>
      <c r="I10" s="3">
        <v>448.7</v>
      </c>
      <c r="J10" s="3">
        <v>19.18</v>
      </c>
      <c r="K10" s="2">
        <f t="shared" si="2"/>
        <v>0.10316521617499999</v>
      </c>
      <c r="L10" s="3"/>
      <c r="M10" s="3"/>
      <c r="N10" s="2"/>
      <c r="O10" s="3">
        <v>536.66999999999996</v>
      </c>
      <c r="P10" s="3">
        <v>21.67</v>
      </c>
      <c r="Q10" s="2">
        <f t="shared" si="4"/>
        <v>0.15750892185187501</v>
      </c>
      <c r="R10" s="3">
        <v>573.33000000000004</v>
      </c>
      <c r="S10" s="3">
        <v>16.62</v>
      </c>
      <c r="T10" s="2">
        <f t="shared" si="5"/>
        <v>9.8979834532500033E-2</v>
      </c>
      <c r="U10" s="3">
        <v>198.95</v>
      </c>
      <c r="V10" s="3">
        <v>152.94</v>
      </c>
      <c r="W10" s="2">
        <f t="shared" si="6"/>
        <v>2.9084803401374999</v>
      </c>
      <c r="X10" s="3"/>
      <c r="Y10" s="3"/>
      <c r="Z10" s="2"/>
      <c r="AA10" s="3">
        <v>253.99</v>
      </c>
      <c r="AB10" s="3">
        <v>24.06</v>
      </c>
      <c r="AC10" s="2">
        <f t="shared" si="8"/>
        <v>9.189415347749999E-2</v>
      </c>
      <c r="AD10" s="3">
        <v>365.27</v>
      </c>
      <c r="AE10" s="3">
        <v>15.11</v>
      </c>
      <c r="AF10" s="2">
        <f t="shared" si="9"/>
        <v>5.2122225479374992E-2</v>
      </c>
      <c r="AG10" s="3">
        <v>606.88</v>
      </c>
      <c r="AH10" s="3">
        <v>241.34</v>
      </c>
      <c r="AI10" s="2">
        <f t="shared" si="10"/>
        <v>22.092326831080001</v>
      </c>
      <c r="AJ10" s="3"/>
      <c r="AK10" s="3"/>
      <c r="AL10" s="2"/>
      <c r="AM10" s="3"/>
      <c r="AN10" s="3"/>
      <c r="AO10" s="2"/>
      <c r="AP10" s="3">
        <v>696.34</v>
      </c>
      <c r="AQ10" s="3">
        <v>19.239999999999998</v>
      </c>
      <c r="AR10" s="2">
        <f t="shared" si="13"/>
        <v>0.16110591873999999</v>
      </c>
      <c r="AS10" s="3"/>
      <c r="AT10" s="3"/>
      <c r="AU10" s="2"/>
      <c r="AV10" s="3">
        <v>355.15</v>
      </c>
      <c r="AW10" s="3">
        <v>15.68</v>
      </c>
      <c r="AX10" s="2">
        <f t="shared" si="15"/>
        <v>5.4573769599999995E-2</v>
      </c>
      <c r="AY10" s="3"/>
      <c r="AZ10" s="3"/>
      <c r="BA10" s="2"/>
      <c r="BB10" s="3"/>
      <c r="BC10" s="3"/>
      <c r="BD10" s="2"/>
      <c r="BE10" s="3"/>
      <c r="BF10" s="3"/>
      <c r="BG10" s="2"/>
      <c r="BH10" s="3"/>
      <c r="BI10" s="3"/>
      <c r="BJ10" s="2"/>
      <c r="BK10" s="3"/>
      <c r="BL10" s="3"/>
      <c r="BM10" s="2"/>
      <c r="BN10" s="3"/>
      <c r="BO10" s="3"/>
      <c r="BP10" s="2"/>
      <c r="BQ10" s="3"/>
      <c r="BR10" s="3"/>
      <c r="BS10" s="2"/>
      <c r="BT10" s="3"/>
      <c r="BU10" s="3"/>
      <c r="BV10" s="2"/>
      <c r="BW10" s="3"/>
      <c r="BX10" s="3"/>
      <c r="BY10" s="2"/>
      <c r="BZ10" s="3"/>
      <c r="CA10" s="3"/>
      <c r="CB10" s="2"/>
      <c r="CC10" s="3"/>
      <c r="CD10" s="3"/>
      <c r="CE10" s="2"/>
      <c r="CF10" s="3"/>
      <c r="CG10" s="3"/>
      <c r="CH10" s="2"/>
    </row>
    <row r="11" spans="1:86" x14ac:dyDescent="0.2">
      <c r="C11" s="3">
        <v>544.32000000000005</v>
      </c>
      <c r="D11" s="3">
        <v>17.420000000000002</v>
      </c>
      <c r="E11" s="2">
        <f t="shared" si="0"/>
        <v>0.10323586728000002</v>
      </c>
      <c r="F11" s="3"/>
      <c r="G11" s="3"/>
      <c r="H11" s="2"/>
      <c r="I11" s="3">
        <v>227.35</v>
      </c>
      <c r="J11" s="3">
        <v>15.42</v>
      </c>
      <c r="K11" s="2">
        <f t="shared" si="2"/>
        <v>3.3786540337500004E-2</v>
      </c>
      <c r="L11" s="3"/>
      <c r="M11" s="3"/>
      <c r="N11" s="2"/>
      <c r="O11" s="3">
        <v>908.94</v>
      </c>
      <c r="P11" s="3">
        <v>30.64</v>
      </c>
      <c r="Q11" s="2">
        <f t="shared" si="4"/>
        <v>0.53332599864000008</v>
      </c>
      <c r="R11" s="3">
        <v>249.37</v>
      </c>
      <c r="S11" s="3">
        <v>11.52</v>
      </c>
      <c r="T11" s="2">
        <f t="shared" si="5"/>
        <v>2.0683745279999999E-2</v>
      </c>
      <c r="U11" s="3"/>
      <c r="V11" s="3"/>
      <c r="W11" s="2"/>
      <c r="X11" s="3"/>
      <c r="Y11" s="3"/>
      <c r="Z11" s="2"/>
      <c r="AA11" s="3">
        <v>261.16000000000003</v>
      </c>
      <c r="AB11" s="3">
        <v>14.18</v>
      </c>
      <c r="AC11" s="2">
        <f t="shared" si="8"/>
        <v>3.282004249E-2</v>
      </c>
      <c r="AD11" s="3">
        <v>397.2</v>
      </c>
      <c r="AE11" s="3">
        <v>13.55</v>
      </c>
      <c r="AF11" s="2">
        <f t="shared" si="9"/>
        <v>4.557932062500001E-2</v>
      </c>
      <c r="AG11" s="3">
        <v>677.99</v>
      </c>
      <c r="AH11" s="3">
        <v>38.58</v>
      </c>
      <c r="AI11" s="2">
        <f t="shared" si="10"/>
        <v>0.63070714689749996</v>
      </c>
      <c r="AJ11" s="3"/>
      <c r="AK11" s="3"/>
      <c r="AL11" s="2"/>
      <c r="AM11" s="3"/>
      <c r="AN11" s="3"/>
      <c r="AO11" s="2"/>
      <c r="AP11" s="3">
        <v>590.92999999999995</v>
      </c>
      <c r="AQ11" s="3">
        <v>13.64</v>
      </c>
      <c r="AR11" s="2">
        <f t="shared" si="13"/>
        <v>6.8713931329999992E-2</v>
      </c>
      <c r="AS11" s="3"/>
      <c r="AT11" s="3"/>
      <c r="AU11" s="2"/>
      <c r="AV11" s="3">
        <v>381.47</v>
      </c>
      <c r="AW11" s="3">
        <v>18.13</v>
      </c>
      <c r="AX11" s="2">
        <f t="shared" si="15"/>
        <v>7.8367504026874993E-2</v>
      </c>
      <c r="AY11" s="3"/>
      <c r="AZ11" s="3"/>
      <c r="BA11" s="2"/>
      <c r="BB11" s="3"/>
      <c r="BC11" s="3"/>
      <c r="BD11" s="2"/>
      <c r="BE11" s="3"/>
      <c r="BF11" s="3"/>
      <c r="BG11" s="2"/>
      <c r="BH11" s="3"/>
      <c r="BI11" s="3"/>
      <c r="BJ11" s="2"/>
      <c r="BK11" s="3"/>
      <c r="BL11" s="3"/>
      <c r="BM11" s="2"/>
      <c r="BN11" s="3"/>
      <c r="BO11" s="3"/>
      <c r="BP11" s="2"/>
      <c r="BQ11" s="3"/>
      <c r="BR11" s="3"/>
      <c r="BS11" s="2"/>
      <c r="BT11" s="3"/>
      <c r="BU11" s="3"/>
      <c r="BV11" s="2"/>
      <c r="BW11" s="3"/>
      <c r="BX11" s="3"/>
      <c r="BY11" s="2"/>
      <c r="BZ11" s="3"/>
      <c r="CA11" s="3"/>
      <c r="CB11" s="2"/>
      <c r="CC11" s="3"/>
      <c r="CD11" s="3"/>
      <c r="CE11" s="2"/>
      <c r="CF11" s="3"/>
      <c r="CG11" s="3"/>
      <c r="CH11" s="2"/>
    </row>
    <row r="12" spans="1:86" x14ac:dyDescent="0.2">
      <c r="C12" s="3"/>
      <c r="D12" s="3"/>
      <c r="E12" s="2"/>
      <c r="F12" s="3"/>
      <c r="G12" s="3"/>
      <c r="H12" s="2"/>
      <c r="I12" s="3">
        <v>276.08999999999997</v>
      </c>
      <c r="J12" s="3">
        <v>19.010000000000002</v>
      </c>
      <c r="K12" s="2">
        <f t="shared" si="2"/>
        <v>6.2358394880625008E-2</v>
      </c>
      <c r="L12" s="3"/>
      <c r="M12" s="3"/>
      <c r="N12" s="2"/>
      <c r="O12" s="3">
        <v>809.48</v>
      </c>
      <c r="P12" s="3">
        <v>27.97</v>
      </c>
      <c r="Q12" s="2">
        <f t="shared" si="4"/>
        <v>0.39579570133249997</v>
      </c>
      <c r="R12" s="3">
        <v>566.01</v>
      </c>
      <c r="S12" s="3">
        <v>20.16</v>
      </c>
      <c r="T12" s="2">
        <f t="shared" si="5"/>
        <v>0.14377559615999999</v>
      </c>
      <c r="U12" s="3"/>
      <c r="V12" s="3"/>
      <c r="W12" s="2"/>
      <c r="X12" s="3"/>
      <c r="Y12" s="3"/>
      <c r="Z12" s="2"/>
      <c r="AA12" s="3">
        <v>220.48</v>
      </c>
      <c r="AB12" s="3">
        <v>14.92</v>
      </c>
      <c r="AC12" s="2">
        <f t="shared" si="8"/>
        <v>3.0675161919999999E-2</v>
      </c>
      <c r="AD12" s="3">
        <v>397.09</v>
      </c>
      <c r="AE12" s="3">
        <v>16.87</v>
      </c>
      <c r="AF12" s="2">
        <f t="shared" si="9"/>
        <v>7.0631614388125014E-2</v>
      </c>
      <c r="AG12" s="3">
        <v>604.71</v>
      </c>
      <c r="AH12" s="3">
        <v>18.73</v>
      </c>
      <c r="AI12" s="2">
        <f t="shared" si="10"/>
        <v>0.132587542974375</v>
      </c>
      <c r="AJ12" s="3"/>
      <c r="AK12" s="3"/>
      <c r="AL12" s="2"/>
      <c r="AM12" s="3"/>
      <c r="AN12" s="3"/>
      <c r="AO12" s="2"/>
      <c r="AP12" s="3"/>
      <c r="AQ12" s="3"/>
      <c r="AR12" s="2"/>
      <c r="AS12" s="3"/>
      <c r="AT12" s="3"/>
      <c r="AU12" s="2"/>
      <c r="AV12" s="3">
        <v>377.83</v>
      </c>
      <c r="AW12" s="3">
        <v>18.25</v>
      </c>
      <c r="AX12" s="2">
        <f t="shared" si="15"/>
        <v>7.8650627734375006E-2</v>
      </c>
      <c r="AY12" s="3"/>
      <c r="AZ12" s="3"/>
      <c r="BA12" s="2"/>
      <c r="BB12" s="3"/>
      <c r="BC12" s="3"/>
      <c r="BD12" s="2"/>
      <c r="BE12" s="3"/>
      <c r="BF12" s="3"/>
      <c r="BG12" s="2"/>
      <c r="BH12" s="3"/>
      <c r="BI12" s="3"/>
      <c r="BJ12" s="2"/>
      <c r="BK12" s="3"/>
      <c r="BL12" s="3"/>
      <c r="BM12" s="2"/>
      <c r="BN12" s="3"/>
      <c r="BO12" s="3"/>
      <c r="BP12" s="2"/>
      <c r="BQ12" s="3"/>
      <c r="BR12" s="3"/>
      <c r="BS12" s="2"/>
      <c r="BT12" s="3"/>
      <c r="BU12" s="3"/>
      <c r="BV12" s="2"/>
      <c r="BW12" s="3"/>
      <c r="BX12" s="3"/>
      <c r="BY12" s="2"/>
      <c r="BZ12" s="3"/>
      <c r="CA12" s="3"/>
      <c r="CB12" s="2"/>
      <c r="CC12" s="3"/>
      <c r="CD12" s="3"/>
      <c r="CE12" s="2"/>
      <c r="CF12" s="3"/>
      <c r="CG12" s="3"/>
      <c r="CH12" s="2"/>
    </row>
    <row r="13" spans="1:86" x14ac:dyDescent="0.2">
      <c r="C13" s="3"/>
      <c r="D13" s="3"/>
      <c r="E13" s="2"/>
      <c r="F13" s="3"/>
      <c r="G13" s="3"/>
      <c r="H13" s="2"/>
      <c r="I13" s="3">
        <v>245.21</v>
      </c>
      <c r="J13" s="3">
        <v>15.73</v>
      </c>
      <c r="K13" s="2">
        <f t="shared" si="2"/>
        <v>3.7920638380625003E-2</v>
      </c>
      <c r="L13" s="3"/>
      <c r="M13" s="3"/>
      <c r="N13" s="2"/>
      <c r="O13" s="3">
        <v>397.58</v>
      </c>
      <c r="P13" s="3">
        <v>24.19</v>
      </c>
      <c r="Q13" s="2">
        <f t="shared" si="4"/>
        <v>0.14540397639875</v>
      </c>
      <c r="R13" s="3">
        <v>324.54000000000002</v>
      </c>
      <c r="S13" s="3">
        <v>11.12</v>
      </c>
      <c r="T13" s="2">
        <f t="shared" si="5"/>
        <v>2.5081749359999999E-2</v>
      </c>
      <c r="U13" s="3"/>
      <c r="V13" s="3"/>
      <c r="W13" s="2"/>
      <c r="X13" s="3"/>
      <c r="Y13" s="3"/>
      <c r="Z13" s="2"/>
      <c r="AA13" s="3">
        <v>346.67</v>
      </c>
      <c r="AB13" s="3">
        <v>15.51</v>
      </c>
      <c r="AC13" s="2">
        <f t="shared" si="8"/>
        <v>5.2121856166875001E-2</v>
      </c>
      <c r="AD13" s="3">
        <v>414.74</v>
      </c>
      <c r="AE13" s="3">
        <v>17.989999999999998</v>
      </c>
      <c r="AF13" s="2">
        <f t="shared" si="9"/>
        <v>8.3891559421249984E-2</v>
      </c>
      <c r="AG13" s="3">
        <v>377.51</v>
      </c>
      <c r="AH13" s="3">
        <v>19.09</v>
      </c>
      <c r="AI13" s="2">
        <f t="shared" si="10"/>
        <v>8.5984532519375004E-2</v>
      </c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>
        <v>383.48</v>
      </c>
      <c r="AW13" s="3">
        <v>14.48</v>
      </c>
      <c r="AX13" s="2">
        <f t="shared" si="15"/>
        <v>5.0252753120000007E-2</v>
      </c>
      <c r="AY13" s="3"/>
      <c r="AZ13" s="3"/>
      <c r="BA13" s="2"/>
      <c r="BB13" s="3"/>
      <c r="BC13" s="3"/>
      <c r="BD13" s="2"/>
      <c r="BE13" s="3"/>
      <c r="BF13" s="3"/>
      <c r="BG13" s="2"/>
      <c r="BH13" s="3"/>
      <c r="BI13" s="3"/>
      <c r="BJ13" s="2"/>
      <c r="BK13" s="3"/>
      <c r="BL13" s="3"/>
      <c r="BM13" s="2"/>
      <c r="BN13" s="3"/>
      <c r="BO13" s="3"/>
      <c r="BP13" s="2"/>
      <c r="BQ13" s="3"/>
      <c r="BR13" s="3"/>
      <c r="BS13" s="2"/>
      <c r="BT13" s="3"/>
      <c r="BU13" s="3"/>
      <c r="BV13" s="2"/>
      <c r="BW13" s="3"/>
      <c r="BX13" s="3"/>
      <c r="BY13" s="2"/>
      <c r="BZ13" s="3"/>
      <c r="CA13" s="3"/>
      <c r="CB13" s="2"/>
      <c r="CC13" s="3"/>
      <c r="CD13" s="3"/>
      <c r="CE13" s="2"/>
      <c r="CF13" s="3"/>
      <c r="CG13" s="3"/>
      <c r="CH13" s="2"/>
    </row>
    <row r="14" spans="1:86" x14ac:dyDescent="0.2">
      <c r="C14" s="3"/>
      <c r="D14" s="3"/>
      <c r="E14" s="2"/>
      <c r="F14" s="3"/>
      <c r="G14" s="3"/>
      <c r="H14" s="2"/>
      <c r="I14" s="3">
        <v>236.69</v>
      </c>
      <c r="J14" s="3">
        <v>18.57</v>
      </c>
      <c r="K14" s="2">
        <f t="shared" si="2"/>
        <v>5.1013337113125008E-2</v>
      </c>
      <c r="L14" s="3"/>
      <c r="M14" s="3"/>
      <c r="N14" s="2"/>
      <c r="O14" s="3">
        <v>961.88</v>
      </c>
      <c r="P14" s="3">
        <v>27.33</v>
      </c>
      <c r="Q14" s="2">
        <f t="shared" si="4"/>
        <v>0.44903498145749998</v>
      </c>
      <c r="R14" s="3">
        <v>355.75</v>
      </c>
      <c r="S14" s="3">
        <v>13.85</v>
      </c>
      <c r="T14" s="2">
        <f t="shared" si="5"/>
        <v>4.2650533984374996E-2</v>
      </c>
      <c r="U14" s="3"/>
      <c r="V14" s="3"/>
      <c r="W14" s="2"/>
      <c r="X14" s="3"/>
      <c r="Y14" s="3"/>
      <c r="Z14" s="2"/>
      <c r="AA14" s="3">
        <v>375.04</v>
      </c>
      <c r="AB14" s="3">
        <v>12.74</v>
      </c>
      <c r="AC14" s="2">
        <f t="shared" si="8"/>
        <v>3.8044901440000001E-2</v>
      </c>
      <c r="AD14" s="3">
        <v>340.58</v>
      </c>
      <c r="AE14" s="3">
        <v>14.52</v>
      </c>
      <c r="AF14" s="2">
        <f t="shared" si="9"/>
        <v>4.4877886019999993E-2</v>
      </c>
      <c r="AG14" s="3">
        <v>488</v>
      </c>
      <c r="AH14" s="3">
        <v>24.66</v>
      </c>
      <c r="AI14" s="2">
        <f t="shared" si="10"/>
        <v>0.185475258</v>
      </c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>
        <v>421.12</v>
      </c>
      <c r="AW14" s="3">
        <v>19.54</v>
      </c>
      <c r="AX14" s="2">
        <f t="shared" si="15"/>
        <v>0.10049281312</v>
      </c>
      <c r="AY14" s="3"/>
      <c r="AZ14" s="3"/>
      <c r="BA14" s="2"/>
      <c r="BB14" s="3"/>
      <c r="BC14" s="3"/>
      <c r="BD14" s="2"/>
      <c r="BE14" s="3"/>
      <c r="BF14" s="3"/>
      <c r="BG14" s="2"/>
      <c r="BH14" s="3"/>
      <c r="BI14" s="3"/>
      <c r="BJ14" s="2"/>
      <c r="BK14" s="3"/>
      <c r="BL14" s="3"/>
      <c r="BM14" s="2"/>
      <c r="BN14" s="3"/>
      <c r="BO14" s="3"/>
      <c r="BP14" s="2"/>
      <c r="BQ14" s="3"/>
      <c r="BR14" s="3"/>
      <c r="BS14" s="2"/>
      <c r="BT14" s="3"/>
      <c r="BU14" s="3"/>
      <c r="BV14" s="2"/>
      <c r="BW14" s="3"/>
      <c r="BX14" s="3"/>
      <c r="BY14" s="2"/>
      <c r="BZ14" s="3"/>
      <c r="CA14" s="3"/>
      <c r="CB14" s="2"/>
      <c r="CC14" s="3"/>
      <c r="CD14" s="3"/>
      <c r="CE14" s="2"/>
      <c r="CF14" s="3"/>
      <c r="CG14" s="3"/>
      <c r="CH14" s="2"/>
    </row>
    <row r="15" spans="1:86" x14ac:dyDescent="0.2">
      <c r="C15" s="3"/>
      <c r="D15" s="3"/>
      <c r="E15" s="2"/>
      <c r="F15" s="3"/>
      <c r="G15" s="3"/>
      <c r="H15" s="2"/>
      <c r="I15" s="3">
        <v>227.33</v>
      </c>
      <c r="J15" s="3">
        <v>25</v>
      </c>
      <c r="K15" s="2">
        <f t="shared" si="2"/>
        <v>8.8800781250000002E-2</v>
      </c>
      <c r="L15" s="3"/>
      <c r="M15" s="3"/>
      <c r="N15" s="2"/>
      <c r="O15" s="3">
        <v>903.36</v>
      </c>
      <c r="P15" s="3">
        <v>29.78</v>
      </c>
      <c r="Q15" s="2">
        <f t="shared" si="4"/>
        <v>0.50071460664</v>
      </c>
      <c r="R15" s="3">
        <v>397.28</v>
      </c>
      <c r="S15" s="3">
        <v>12.15</v>
      </c>
      <c r="T15" s="2">
        <f t="shared" si="5"/>
        <v>3.6654666750000002E-2</v>
      </c>
      <c r="U15" s="3"/>
      <c r="V15" s="3"/>
      <c r="W15" s="2"/>
      <c r="X15" s="3"/>
      <c r="Y15" s="3"/>
      <c r="Z15" s="2"/>
      <c r="AA15" s="3">
        <v>585.29</v>
      </c>
      <c r="AB15" s="3">
        <v>32.42</v>
      </c>
      <c r="AC15" s="2">
        <f t="shared" si="8"/>
        <v>0.38448300022250004</v>
      </c>
      <c r="AD15" s="3">
        <v>315.10000000000002</v>
      </c>
      <c r="AE15" s="3">
        <v>13.32</v>
      </c>
      <c r="AF15" s="2">
        <f t="shared" si="9"/>
        <v>3.494112390000001E-2</v>
      </c>
      <c r="AG15" s="3"/>
      <c r="AH15" s="3"/>
      <c r="AI15" s="2"/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>
        <v>383.62</v>
      </c>
      <c r="AW15" s="3">
        <v>17.059999999999999</v>
      </c>
      <c r="AX15" s="2">
        <f t="shared" si="15"/>
        <v>6.9781341144999981E-2</v>
      </c>
      <c r="AY15" s="3"/>
      <c r="AZ15" s="3"/>
      <c r="BA15" s="2"/>
      <c r="BB15" s="3"/>
      <c r="BC15" s="3"/>
      <c r="BD15" s="2"/>
      <c r="BE15" s="3"/>
      <c r="BF15" s="3"/>
      <c r="BG15" s="2"/>
      <c r="BH15" s="3"/>
      <c r="BI15" s="3"/>
      <c r="BJ15" s="2"/>
      <c r="BK15" s="3"/>
      <c r="BL15" s="3"/>
      <c r="BM15" s="2"/>
      <c r="BN15" s="3"/>
      <c r="BO15" s="3"/>
      <c r="BP15" s="2"/>
      <c r="BQ15" s="3"/>
      <c r="BR15" s="3"/>
      <c r="BS15" s="2"/>
      <c r="BT15" s="3"/>
      <c r="BU15" s="3"/>
      <c r="BV15" s="2"/>
      <c r="BW15" s="3"/>
      <c r="BX15" s="3"/>
      <c r="BY15" s="2"/>
      <c r="BZ15" s="3"/>
      <c r="CA15" s="3"/>
      <c r="CB15" s="2"/>
      <c r="CC15" s="3"/>
      <c r="CD15" s="3"/>
      <c r="CE15" s="2"/>
      <c r="CF15" s="3"/>
      <c r="CG15" s="3"/>
      <c r="CH15" s="2"/>
    </row>
    <row r="16" spans="1:86" x14ac:dyDescent="0.2">
      <c r="C16" s="3"/>
      <c r="D16" s="3"/>
      <c r="E16" s="2"/>
      <c r="F16" s="3"/>
      <c r="G16" s="3"/>
      <c r="H16" s="2"/>
      <c r="I16" s="3">
        <v>328.29</v>
      </c>
      <c r="J16" s="3">
        <v>18.57</v>
      </c>
      <c r="K16" s="2">
        <f t="shared" si="2"/>
        <v>7.0755707638125012E-2</v>
      </c>
      <c r="L16" s="3"/>
      <c r="M16" s="3"/>
      <c r="N16" s="2"/>
      <c r="O16" s="3">
        <v>652.28</v>
      </c>
      <c r="P16" s="3">
        <v>29.26</v>
      </c>
      <c r="Q16" s="2">
        <f t="shared" si="4"/>
        <v>0.34902997283000003</v>
      </c>
      <c r="R16" s="3"/>
      <c r="S16" s="3"/>
      <c r="T16" s="2"/>
      <c r="U16" s="3"/>
      <c r="V16" s="3"/>
      <c r="W16" s="2"/>
      <c r="X16" s="3"/>
      <c r="Y16" s="3"/>
      <c r="Z16" s="2"/>
      <c r="AA16" s="3"/>
      <c r="AB16" s="3"/>
      <c r="AC16" s="2"/>
      <c r="AD16" s="3">
        <v>346.71</v>
      </c>
      <c r="AE16" s="3">
        <v>17.53</v>
      </c>
      <c r="AF16" s="2">
        <f t="shared" si="9"/>
        <v>6.6590184399375002E-2</v>
      </c>
      <c r="AG16" s="3"/>
      <c r="AH16" s="3"/>
      <c r="AI16" s="2"/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>
        <v>317.45999999999998</v>
      </c>
      <c r="AW16" s="3">
        <v>14.43</v>
      </c>
      <c r="AX16" s="2">
        <f t="shared" si="15"/>
        <v>4.1314422971249994E-2</v>
      </c>
      <c r="AY16" s="3"/>
      <c r="AZ16" s="3"/>
      <c r="BA16" s="2"/>
      <c r="BB16" s="3"/>
      <c r="BC16" s="3"/>
      <c r="BD16" s="2"/>
      <c r="BE16" s="3"/>
      <c r="BF16" s="3"/>
      <c r="BG16" s="2"/>
      <c r="BH16" s="3"/>
      <c r="BI16" s="3"/>
      <c r="BJ16" s="2"/>
      <c r="BK16" s="3"/>
      <c r="BL16" s="3"/>
      <c r="BM16" s="2"/>
      <c r="BN16" s="3"/>
      <c r="BO16" s="3"/>
      <c r="BP16" s="2"/>
      <c r="BQ16" s="3"/>
      <c r="BR16" s="3"/>
      <c r="BS16" s="2"/>
      <c r="BT16" s="3"/>
      <c r="BU16" s="3"/>
      <c r="BV16" s="2"/>
      <c r="BW16" s="3"/>
      <c r="BX16" s="3"/>
      <c r="BY16" s="2"/>
      <c r="BZ16" s="3"/>
      <c r="CA16" s="3"/>
      <c r="CB16" s="2"/>
      <c r="CC16" s="3"/>
      <c r="CD16" s="3"/>
      <c r="CE16" s="2"/>
      <c r="CF16" s="3"/>
      <c r="CG16" s="3"/>
      <c r="CH16" s="2"/>
    </row>
    <row r="17" spans="3:86" x14ac:dyDescent="0.2">
      <c r="C17" s="3"/>
      <c r="D17" s="3"/>
      <c r="E17" s="2"/>
      <c r="F17" s="3"/>
      <c r="G17" s="3"/>
      <c r="H17" s="2"/>
      <c r="I17" s="3">
        <v>366.44</v>
      </c>
      <c r="J17" s="3">
        <v>17.559999999999999</v>
      </c>
      <c r="K17" s="2">
        <f t="shared" si="2"/>
        <v>7.0620683239999996E-2</v>
      </c>
      <c r="L17" s="3"/>
      <c r="M17" s="3"/>
      <c r="N17" s="2"/>
      <c r="O17" s="3">
        <v>803.35</v>
      </c>
      <c r="P17" s="3">
        <v>29.85</v>
      </c>
      <c r="Q17" s="2">
        <f t="shared" si="4"/>
        <v>0.44737682835937509</v>
      </c>
      <c r="R17" s="3"/>
      <c r="S17" s="3"/>
      <c r="T17" s="2"/>
      <c r="U17" s="3"/>
      <c r="V17" s="3"/>
      <c r="W17" s="2"/>
      <c r="X17" s="3"/>
      <c r="Y17" s="3"/>
      <c r="Z17" s="2"/>
      <c r="AA17" s="3"/>
      <c r="AB17" s="3"/>
      <c r="AC17" s="2"/>
      <c r="AD17" s="3">
        <v>424.25</v>
      </c>
      <c r="AE17" s="3">
        <v>18.739999999999998</v>
      </c>
      <c r="AF17" s="2">
        <f t="shared" si="9"/>
        <v>9.3119587062499995E-2</v>
      </c>
      <c r="AG17" s="3"/>
      <c r="AH17" s="3"/>
      <c r="AI17" s="2"/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>
        <v>347.37</v>
      </c>
      <c r="AW17" s="3">
        <v>52.39</v>
      </c>
      <c r="AX17" s="2">
        <f t="shared" si="15"/>
        <v>0.59589415136062496</v>
      </c>
      <c r="AY17" s="3"/>
      <c r="AZ17" s="3"/>
      <c r="BA17" s="2"/>
      <c r="BB17" s="3"/>
      <c r="BC17" s="3"/>
      <c r="BD17" s="2"/>
      <c r="BE17" s="3"/>
      <c r="BF17" s="3"/>
      <c r="BG17" s="2"/>
      <c r="BH17" s="3"/>
      <c r="BI17" s="3"/>
      <c r="BJ17" s="2"/>
      <c r="BK17" s="3"/>
      <c r="BL17" s="3"/>
      <c r="BM17" s="2"/>
      <c r="BN17" s="3"/>
      <c r="BO17" s="3"/>
      <c r="BP17" s="2"/>
      <c r="BQ17" s="3"/>
      <c r="BR17" s="3"/>
      <c r="BS17" s="2"/>
      <c r="BT17" s="3"/>
      <c r="BU17" s="3"/>
      <c r="BV17" s="2"/>
      <c r="BW17" s="3"/>
      <c r="BX17" s="3"/>
      <c r="BY17" s="2"/>
      <c r="BZ17" s="3"/>
      <c r="CA17" s="3"/>
      <c r="CB17" s="2"/>
      <c r="CC17" s="3"/>
      <c r="CD17" s="3"/>
      <c r="CE17" s="2"/>
      <c r="CF17" s="3"/>
      <c r="CG17" s="3"/>
      <c r="CH17" s="2"/>
    </row>
    <row r="18" spans="3:86" x14ac:dyDescent="0.2">
      <c r="C18" s="3"/>
      <c r="D18" s="3"/>
      <c r="E18" s="2"/>
      <c r="F18" s="3"/>
      <c r="G18" s="3"/>
      <c r="H18" s="2"/>
      <c r="I18" s="3">
        <v>364.02</v>
      </c>
      <c r="J18" s="3">
        <v>20.84</v>
      </c>
      <c r="K18" s="2">
        <f t="shared" si="2"/>
        <v>9.8809952820000005E-2</v>
      </c>
      <c r="L18" s="3"/>
      <c r="M18" s="3"/>
      <c r="N18" s="2"/>
      <c r="O18" s="3">
        <v>992.74</v>
      </c>
      <c r="P18" s="3">
        <v>29.82</v>
      </c>
      <c r="Q18" s="2">
        <f t="shared" si="4"/>
        <v>0.55173535798500006</v>
      </c>
      <c r="R18" s="3"/>
      <c r="S18" s="3"/>
      <c r="T18" s="2"/>
      <c r="U18" s="3"/>
      <c r="V18" s="3"/>
      <c r="W18" s="2"/>
      <c r="X18" s="3"/>
      <c r="Y18" s="3"/>
      <c r="Z18" s="2"/>
      <c r="AA18" s="3"/>
      <c r="AB18" s="3"/>
      <c r="AC18" s="2"/>
      <c r="AD18" s="3">
        <v>360.57</v>
      </c>
      <c r="AE18" s="3">
        <v>16.43</v>
      </c>
      <c r="AF18" s="2">
        <f t="shared" si="9"/>
        <v>6.0833770370624998E-2</v>
      </c>
      <c r="AG18" s="3"/>
      <c r="AH18" s="3"/>
      <c r="AI18" s="2"/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>
        <v>309.23</v>
      </c>
      <c r="AW18" s="3">
        <v>17.8</v>
      </c>
      <c r="AX18" s="2">
        <f t="shared" si="15"/>
        <v>6.1235270750000008E-2</v>
      </c>
      <c r="AY18" s="3"/>
      <c r="AZ18" s="3"/>
      <c r="BA18" s="2"/>
      <c r="BB18" s="3"/>
      <c r="BC18" s="3"/>
      <c r="BD18" s="2"/>
      <c r="BE18" s="3"/>
      <c r="BF18" s="3"/>
      <c r="BG18" s="2"/>
      <c r="BH18" s="3"/>
      <c r="BI18" s="3"/>
      <c r="BJ18" s="2"/>
      <c r="BK18" s="3"/>
      <c r="BL18" s="3"/>
      <c r="BM18" s="2"/>
      <c r="BN18" s="3"/>
      <c r="BO18" s="3"/>
      <c r="BP18" s="2"/>
      <c r="BQ18" s="3"/>
      <c r="BR18" s="3"/>
      <c r="BS18" s="2"/>
      <c r="BT18" s="3"/>
      <c r="BU18" s="3"/>
      <c r="BV18" s="2"/>
      <c r="BW18" s="3"/>
      <c r="BX18" s="3"/>
      <c r="BY18" s="2"/>
      <c r="BZ18" s="3"/>
      <c r="CA18" s="3"/>
      <c r="CB18" s="2"/>
      <c r="CC18" s="3"/>
      <c r="CD18" s="3"/>
      <c r="CE18" s="2"/>
      <c r="CF18" s="3"/>
      <c r="CG18" s="3"/>
      <c r="CH18" s="2"/>
    </row>
    <row r="19" spans="3:86" x14ac:dyDescent="0.2">
      <c r="C19" s="3"/>
      <c r="D19" s="3"/>
      <c r="E19" s="2"/>
      <c r="F19" s="3"/>
      <c r="G19" s="3"/>
      <c r="H19" s="2"/>
      <c r="I19" s="3">
        <v>334.25</v>
      </c>
      <c r="J19" s="3">
        <v>21.24</v>
      </c>
      <c r="K19" s="2">
        <f t="shared" si="2"/>
        <v>9.424546424999998E-2</v>
      </c>
      <c r="L19" s="3"/>
      <c r="M19" s="3"/>
      <c r="N19" s="2"/>
      <c r="O19" s="3">
        <v>393.94900000000001</v>
      </c>
      <c r="P19" s="3">
        <v>15.26</v>
      </c>
      <c r="Q19" s="2">
        <f t="shared" si="4"/>
        <v>5.7336223845250008E-2</v>
      </c>
      <c r="R19" s="3"/>
      <c r="S19" s="3"/>
      <c r="T19" s="2"/>
      <c r="U19" s="3"/>
      <c r="V19" s="3"/>
      <c r="W19" s="2"/>
      <c r="X19" s="3"/>
      <c r="Y19" s="3"/>
      <c r="Z19" s="2"/>
      <c r="AA19" s="3"/>
      <c r="AB19" s="3"/>
      <c r="AC19" s="2"/>
      <c r="AD19" s="3">
        <v>351.47</v>
      </c>
      <c r="AE19" s="3">
        <v>18.649999999999999</v>
      </c>
      <c r="AF19" s="2">
        <f t="shared" si="9"/>
        <v>7.6405733796874986E-2</v>
      </c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/>
      <c r="AW19" s="3"/>
      <c r="AX19" s="2"/>
      <c r="AY19" s="3"/>
      <c r="AZ19" s="3"/>
      <c r="BA19" s="2"/>
      <c r="BB19" s="3"/>
      <c r="BC19" s="3"/>
      <c r="BD19" s="2"/>
      <c r="BE19" s="3"/>
      <c r="BF19" s="3"/>
      <c r="BG19" s="2"/>
      <c r="BH19" s="3"/>
      <c r="BI19" s="3"/>
      <c r="BJ19" s="2"/>
      <c r="BK19" s="3"/>
      <c r="BL19" s="3"/>
      <c r="BM19" s="2"/>
      <c r="BN19" s="3"/>
      <c r="BO19" s="3"/>
      <c r="BP19" s="2"/>
      <c r="BQ19" s="3"/>
      <c r="BR19" s="3"/>
      <c r="BS19" s="2"/>
      <c r="BT19" s="3"/>
      <c r="BU19" s="3"/>
      <c r="BV19" s="2"/>
      <c r="BW19" s="3"/>
      <c r="BX19" s="3"/>
      <c r="BY19" s="2"/>
      <c r="BZ19" s="3"/>
      <c r="CA19" s="3"/>
      <c r="CB19" s="2"/>
      <c r="CC19" s="3"/>
      <c r="CD19" s="3"/>
      <c r="CE19" s="2"/>
      <c r="CF19" s="3"/>
      <c r="CG19" s="3"/>
      <c r="CH19" s="2"/>
    </row>
    <row r="20" spans="3:86" x14ac:dyDescent="0.2">
      <c r="C20" s="3"/>
      <c r="D20" s="3"/>
      <c r="E20" s="2"/>
      <c r="F20" s="3"/>
      <c r="G20" s="3"/>
      <c r="H20" s="2"/>
      <c r="I20" s="3">
        <v>371.34</v>
      </c>
      <c r="J20" s="3">
        <v>17.7</v>
      </c>
      <c r="K20" s="2">
        <f t="shared" si="2"/>
        <v>7.2710692874999983E-2</v>
      </c>
      <c r="L20" s="3"/>
      <c r="M20" s="3"/>
      <c r="N20" s="2"/>
      <c r="O20" s="3">
        <v>985.44</v>
      </c>
      <c r="P20" s="3">
        <v>33.869999999999997</v>
      </c>
      <c r="Q20" s="2">
        <f t="shared" si="4"/>
        <v>0.70654625270999993</v>
      </c>
      <c r="R20" s="3"/>
      <c r="S20" s="3"/>
      <c r="T20" s="2"/>
      <c r="U20" s="3"/>
      <c r="V20" s="3"/>
      <c r="W20" s="2"/>
      <c r="X20" s="3"/>
      <c r="Y20" s="3"/>
      <c r="Z20" s="2"/>
      <c r="AA20" s="3"/>
      <c r="AB20" s="3"/>
      <c r="AC20" s="2"/>
      <c r="AD20" s="3">
        <v>363.42</v>
      </c>
      <c r="AE20" s="3">
        <v>15.43</v>
      </c>
      <c r="AF20" s="2">
        <f t="shared" si="9"/>
        <v>5.4078008973750001E-2</v>
      </c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  <c r="BE20" s="3"/>
      <c r="BF20" s="3"/>
      <c r="BG20" s="2"/>
      <c r="BH20" s="3"/>
      <c r="BI20" s="3"/>
      <c r="BJ20" s="2"/>
      <c r="BK20" s="3"/>
      <c r="BL20" s="3"/>
      <c r="BM20" s="2"/>
      <c r="BN20" s="3"/>
      <c r="BO20" s="3"/>
      <c r="BP20" s="2"/>
      <c r="BQ20" s="3"/>
      <c r="BR20" s="3"/>
      <c r="BS20" s="2"/>
      <c r="BT20" s="3"/>
      <c r="BU20" s="3"/>
      <c r="BV20" s="2"/>
      <c r="BW20" s="3"/>
      <c r="BX20" s="3"/>
      <c r="BY20" s="2"/>
      <c r="BZ20" s="3"/>
      <c r="CA20" s="3"/>
      <c r="CB20" s="2"/>
      <c r="CC20" s="3"/>
      <c r="CD20" s="3"/>
      <c r="CE20" s="2"/>
      <c r="CF20" s="3"/>
      <c r="CG20" s="3"/>
      <c r="CH20" s="2"/>
    </row>
    <row r="21" spans="3:86" x14ac:dyDescent="0.2">
      <c r="C21" s="3"/>
      <c r="D21" s="3"/>
      <c r="E21" s="2"/>
      <c r="F21" s="3"/>
      <c r="G21" s="3"/>
      <c r="H21" s="2"/>
      <c r="I21" s="3">
        <v>264.99</v>
      </c>
      <c r="J21" s="3">
        <v>14.21</v>
      </c>
      <c r="K21" s="2">
        <f t="shared" si="2"/>
        <v>3.3442417036875005E-2</v>
      </c>
      <c r="L21" s="3"/>
      <c r="M21" s="3"/>
      <c r="N21" s="2"/>
      <c r="O21" s="3">
        <v>842.13</v>
      </c>
      <c r="P21" s="3">
        <v>31.43</v>
      </c>
      <c r="Q21" s="2">
        <f t="shared" si="4"/>
        <v>0.519933641023125</v>
      </c>
      <c r="R21" s="3"/>
      <c r="S21" s="3"/>
      <c r="T21" s="2"/>
      <c r="U21" s="3"/>
      <c r="V21" s="3"/>
      <c r="W21" s="2"/>
      <c r="X21" s="3"/>
      <c r="Y21" s="3"/>
      <c r="Z21" s="2"/>
      <c r="AA21" s="3"/>
      <c r="AB21" s="3"/>
      <c r="AC21" s="2"/>
      <c r="AD21" s="3"/>
      <c r="AE21" s="3"/>
      <c r="AF21" s="2"/>
      <c r="AG21" s="3"/>
      <c r="AH21" s="3"/>
      <c r="AI21" s="2"/>
      <c r="AJ21" s="3"/>
      <c r="AK21" s="3"/>
      <c r="AL21" s="2"/>
      <c r="AM21" s="3"/>
      <c r="AN21" s="3"/>
      <c r="AO21" s="2"/>
      <c r="AP21" s="3"/>
      <c r="AQ21" s="3"/>
      <c r="AR21" s="2"/>
      <c r="AS21" s="3"/>
      <c r="AT21" s="3"/>
      <c r="AU21" s="2"/>
      <c r="AV21" s="3"/>
      <c r="AW21" s="3"/>
      <c r="AX21" s="2"/>
      <c r="AY21" s="3"/>
      <c r="AZ21" s="3"/>
      <c r="BA21" s="2"/>
      <c r="BB21" s="3"/>
      <c r="BC21" s="3"/>
      <c r="BD21" s="2"/>
      <c r="BE21" s="3"/>
      <c r="BF21" s="3"/>
      <c r="BG21" s="2"/>
      <c r="BH21" s="3"/>
      <c r="BI21" s="3"/>
      <c r="BJ21" s="2"/>
      <c r="BK21" s="3"/>
      <c r="BL21" s="3"/>
      <c r="BM21" s="2"/>
      <c r="BN21" s="3"/>
      <c r="BO21" s="3"/>
      <c r="BP21" s="2"/>
      <c r="BQ21" s="3"/>
      <c r="BR21" s="3"/>
      <c r="BS21" s="2"/>
      <c r="BT21" s="3"/>
      <c r="BU21" s="3"/>
      <c r="BV21" s="2"/>
      <c r="BW21" s="3"/>
      <c r="BX21" s="3"/>
      <c r="BY21" s="2"/>
      <c r="BZ21" s="3"/>
      <c r="CA21" s="3"/>
      <c r="CB21" s="2"/>
      <c r="CC21" s="3"/>
      <c r="CD21" s="3"/>
      <c r="CE21" s="2"/>
      <c r="CF21" s="3"/>
      <c r="CG21" s="3"/>
      <c r="CH21" s="2"/>
    </row>
    <row r="22" spans="3:86" x14ac:dyDescent="0.2">
      <c r="C22" s="3"/>
      <c r="D22" s="3"/>
      <c r="E22" s="2"/>
      <c r="F22" s="3"/>
      <c r="G22" s="3"/>
      <c r="H22" s="2"/>
      <c r="I22" s="3">
        <v>189.63</v>
      </c>
      <c r="J22" s="3">
        <v>14.14</v>
      </c>
      <c r="K22" s="2">
        <f t="shared" si="2"/>
        <v>2.3696591467500003E-2</v>
      </c>
      <c r="L22" s="3"/>
      <c r="M22" s="3"/>
      <c r="N22" s="2"/>
      <c r="O22" s="3">
        <v>542.58000000000004</v>
      </c>
      <c r="P22" s="3">
        <v>27.49</v>
      </c>
      <c r="Q22" s="2">
        <f t="shared" si="4"/>
        <v>0.25626735016125002</v>
      </c>
      <c r="R22" s="3"/>
      <c r="S22" s="3"/>
      <c r="T22" s="2"/>
      <c r="U22" s="3"/>
      <c r="V22" s="3"/>
      <c r="W22" s="2"/>
      <c r="X22" s="3"/>
      <c r="Y22" s="3"/>
      <c r="Z22" s="2"/>
      <c r="AA22" s="3"/>
      <c r="AB22" s="3"/>
      <c r="AC22" s="2"/>
      <c r="AD22" s="3"/>
      <c r="AE22" s="3"/>
      <c r="AF22" s="2"/>
      <c r="AG22" s="3"/>
      <c r="AH22" s="3"/>
      <c r="AI22" s="2"/>
      <c r="AJ22" s="3"/>
      <c r="AK22" s="3"/>
      <c r="AL22" s="2"/>
      <c r="AM22" s="3"/>
      <c r="AN22" s="3"/>
      <c r="AO22" s="2"/>
      <c r="AP22" s="3"/>
      <c r="AQ22" s="3"/>
      <c r="AR22" s="2"/>
      <c r="AS22" s="3"/>
      <c r="AT22" s="3"/>
      <c r="AU22" s="2"/>
      <c r="AV22" s="3"/>
      <c r="AW22" s="3"/>
      <c r="AX22" s="2"/>
      <c r="AY22" s="3"/>
      <c r="AZ22" s="3"/>
      <c r="BA22" s="2"/>
      <c r="BB22" s="3"/>
      <c r="BC22" s="3"/>
      <c r="BD22" s="2"/>
      <c r="BE22" s="3"/>
      <c r="BF22" s="3"/>
      <c r="BG22" s="2"/>
      <c r="BH22" s="3"/>
      <c r="BI22" s="3"/>
      <c r="BJ22" s="2"/>
      <c r="BK22" s="3"/>
      <c r="BL22" s="3"/>
      <c r="BM22" s="2"/>
      <c r="BN22" s="3"/>
      <c r="BO22" s="3"/>
      <c r="BP22" s="2"/>
      <c r="BQ22" s="3"/>
      <c r="BR22" s="3"/>
      <c r="BS22" s="2"/>
      <c r="BT22" s="3"/>
      <c r="BU22" s="3"/>
      <c r="BV22" s="2"/>
      <c r="BW22" s="3"/>
      <c r="BX22" s="3"/>
      <c r="BY22" s="2"/>
      <c r="BZ22" s="3"/>
      <c r="CA22" s="3"/>
      <c r="CB22" s="2"/>
      <c r="CC22" s="3"/>
      <c r="CD22" s="3"/>
      <c r="CE22" s="2"/>
      <c r="CF22" s="3"/>
      <c r="CG22" s="3"/>
      <c r="CH22" s="2"/>
    </row>
    <row r="23" spans="3:86" x14ac:dyDescent="0.2">
      <c r="C23" s="3"/>
      <c r="D23" s="3"/>
      <c r="E23" s="2"/>
      <c r="F23" s="3"/>
      <c r="G23" s="3"/>
      <c r="H23" s="2"/>
      <c r="I23" s="3">
        <v>198.04</v>
      </c>
      <c r="J23" s="3">
        <v>17.59</v>
      </c>
      <c r="K23" s="2">
        <f t="shared" si="2"/>
        <v>3.8296987577499997E-2</v>
      </c>
      <c r="L23" s="3"/>
      <c r="M23" s="3"/>
      <c r="N23" s="2"/>
      <c r="O23" s="3"/>
      <c r="P23" s="3"/>
      <c r="Q23" s="2"/>
      <c r="R23" s="3"/>
      <c r="S23" s="3"/>
      <c r="T23" s="2"/>
      <c r="U23" s="3"/>
      <c r="V23" s="3"/>
      <c r="W23" s="2"/>
      <c r="X23" s="3"/>
      <c r="Y23" s="3"/>
      <c r="Z23" s="2"/>
      <c r="AA23" s="3"/>
      <c r="AB23" s="3"/>
      <c r="AC23" s="2"/>
      <c r="AD23" s="3"/>
      <c r="AE23" s="3"/>
      <c r="AF23" s="2"/>
      <c r="AG23" s="3"/>
      <c r="AH23" s="3"/>
      <c r="AI23" s="2"/>
      <c r="AJ23" s="3"/>
      <c r="AK23" s="3"/>
      <c r="AL23" s="2"/>
      <c r="AM23" s="3"/>
      <c r="AN23" s="3"/>
      <c r="AO23" s="2"/>
      <c r="AP23" s="3"/>
      <c r="AQ23" s="3"/>
      <c r="AR23" s="2"/>
      <c r="AS23" s="3"/>
      <c r="AT23" s="3"/>
      <c r="AU23" s="2"/>
      <c r="AV23" s="3"/>
      <c r="AW23" s="3"/>
      <c r="AX23" s="2"/>
      <c r="AY23" s="3"/>
      <c r="AZ23" s="3"/>
      <c r="BA23" s="2"/>
      <c r="BB23" s="3"/>
      <c r="BC23" s="3"/>
      <c r="BD23" s="2"/>
      <c r="BE23" s="3"/>
      <c r="BF23" s="3"/>
      <c r="BG23" s="2"/>
      <c r="BH23" s="3"/>
      <c r="BI23" s="3"/>
      <c r="BJ23" s="2"/>
      <c r="BK23" s="3"/>
      <c r="BL23" s="3"/>
      <c r="BM23" s="2"/>
      <c r="BN23" s="3"/>
      <c r="BO23" s="3"/>
      <c r="BP23" s="2"/>
      <c r="BQ23" s="3"/>
      <c r="BR23" s="3"/>
      <c r="BS23" s="2"/>
      <c r="BT23" s="3"/>
      <c r="BU23" s="3"/>
      <c r="BV23" s="2"/>
      <c r="BW23" s="3"/>
      <c r="BX23" s="3"/>
      <c r="BY23" s="2"/>
      <c r="BZ23" s="3"/>
      <c r="CA23" s="3"/>
      <c r="CB23" s="2"/>
      <c r="CC23" s="3"/>
      <c r="CD23" s="3"/>
      <c r="CE23" s="2"/>
      <c r="CF23" s="3"/>
      <c r="CG23" s="3"/>
      <c r="CH23" s="2"/>
    </row>
    <row r="24" spans="3:86" x14ac:dyDescent="0.2">
      <c r="E24" s="2"/>
      <c r="H24" s="2"/>
      <c r="K24" s="2"/>
      <c r="N24" s="2"/>
      <c r="Q24" s="2"/>
      <c r="T24" s="2"/>
      <c r="W24" s="2"/>
      <c r="Z24" s="2"/>
      <c r="AC24" s="2"/>
      <c r="AF24" s="2"/>
      <c r="AI24" s="2"/>
      <c r="AL24" s="2"/>
      <c r="AO24" s="2"/>
      <c r="AR24" s="2"/>
      <c r="AU24" s="2"/>
      <c r="AX24" s="2"/>
      <c r="BA24" s="2"/>
      <c r="BD24" s="2"/>
      <c r="BG24" s="2"/>
      <c r="BJ24" s="2"/>
      <c r="BM24" s="2"/>
      <c r="BP24" s="2"/>
      <c r="BS24" s="2"/>
      <c r="BV24" s="2"/>
      <c r="BY24" s="2"/>
      <c r="CB24" s="2"/>
      <c r="CE24" s="2"/>
      <c r="CH24" s="2"/>
    </row>
    <row r="25" spans="3:86" x14ac:dyDescent="0.2">
      <c r="E25" s="2"/>
      <c r="H25" s="2"/>
      <c r="K25" s="2"/>
      <c r="N25" s="2"/>
      <c r="Q25" s="2"/>
      <c r="T25" s="2"/>
      <c r="W25" s="2"/>
      <c r="Z25" s="2"/>
      <c r="AC25" s="2"/>
      <c r="AF25" s="2"/>
      <c r="AI25" s="2"/>
      <c r="AL25" s="2"/>
      <c r="AO25" s="2"/>
      <c r="AR25" s="2"/>
      <c r="AU25" s="2"/>
      <c r="AX25" s="2"/>
      <c r="BA25" s="2"/>
      <c r="BD25" s="2"/>
      <c r="BG25" s="2"/>
      <c r="BJ25" s="2"/>
      <c r="BM25" s="2"/>
      <c r="BP25" s="2"/>
      <c r="BS25" s="2"/>
      <c r="BV25" s="2"/>
      <c r="BY25" s="2"/>
      <c r="CB25" s="2"/>
      <c r="CE25" s="2"/>
      <c r="CH25" s="2"/>
    </row>
    <row r="26" spans="3:86" x14ac:dyDescent="0.2">
      <c r="E26" s="2"/>
      <c r="H26" s="2"/>
      <c r="K26" s="2"/>
      <c r="N26" s="2"/>
      <c r="Q26" s="2"/>
      <c r="T26" s="2"/>
      <c r="W26" s="2"/>
      <c r="Z26" s="2"/>
      <c r="AC26" s="2"/>
      <c r="AF26" s="2"/>
      <c r="AI26" s="2"/>
      <c r="AL26" s="2"/>
      <c r="AO26" s="2"/>
      <c r="AR26" s="2"/>
      <c r="AU26" s="2"/>
      <c r="AX26" s="2"/>
      <c r="BA26" s="2"/>
      <c r="BD26" s="2"/>
      <c r="BG26" s="2"/>
      <c r="BJ26" s="2"/>
      <c r="BM26" s="2"/>
      <c r="BP26" s="2"/>
      <c r="BS26" s="2"/>
      <c r="BV26" s="2"/>
      <c r="BY26" s="2"/>
      <c r="CB26" s="2"/>
      <c r="CE26" s="2"/>
      <c r="CH26" s="2"/>
    </row>
    <row r="27" spans="3:86" x14ac:dyDescent="0.2">
      <c r="E27" s="2"/>
      <c r="H27" s="2"/>
      <c r="K27" s="2"/>
      <c r="N27" s="2"/>
      <c r="Q27" s="2"/>
      <c r="T27" s="2"/>
      <c r="W27" s="2"/>
      <c r="Z27" s="2"/>
      <c r="AC27" s="2"/>
      <c r="AF27" s="2"/>
      <c r="AI27" s="2"/>
      <c r="AL27" s="2"/>
      <c r="AO27" s="2"/>
      <c r="AR27" s="2"/>
      <c r="AU27" s="2"/>
      <c r="AX27" s="2"/>
      <c r="BA27" s="2"/>
      <c r="BD27" s="2"/>
      <c r="BG27" s="2"/>
      <c r="BJ27" s="2"/>
      <c r="BM27" s="2"/>
      <c r="BP27" s="2"/>
      <c r="BS27" s="2"/>
      <c r="BV27" s="2"/>
      <c r="BY27" s="2"/>
      <c r="CB27" s="2"/>
      <c r="CE27" s="2"/>
      <c r="CH27" s="2"/>
    </row>
    <row r="28" spans="3:86" x14ac:dyDescent="0.2">
      <c r="E28" s="2"/>
      <c r="H28" s="2"/>
      <c r="K28" s="2"/>
      <c r="N28" s="2"/>
      <c r="Q28" s="2"/>
      <c r="T28" s="2"/>
      <c r="W28" s="2"/>
      <c r="Z28" s="2"/>
      <c r="AC28" s="2"/>
      <c r="AF28" s="2"/>
      <c r="AI28" s="2"/>
      <c r="AL28" s="2"/>
      <c r="AO28" s="2"/>
      <c r="AR28" s="2"/>
      <c r="AU28" s="2"/>
      <c r="AX28" s="2"/>
      <c r="BA28" s="2"/>
      <c r="BD28" s="2"/>
      <c r="BG28" s="2"/>
      <c r="BJ28" s="2"/>
      <c r="BM28" s="2"/>
      <c r="BP28" s="2"/>
      <c r="BS28" s="2"/>
      <c r="BV28" s="2"/>
      <c r="BY28" s="2"/>
      <c r="CB28" s="2"/>
      <c r="CE28" s="2"/>
      <c r="CH28" s="2"/>
    </row>
    <row r="29" spans="3:86" x14ac:dyDescent="0.2">
      <c r="E29" s="2"/>
      <c r="H29" s="2"/>
      <c r="K29" s="2"/>
      <c r="N29" s="2"/>
      <c r="Q29" s="2"/>
      <c r="T29" s="2"/>
      <c r="W29" s="2"/>
      <c r="Z29" s="2"/>
      <c r="AC29" s="2"/>
      <c r="AF29" s="2"/>
      <c r="AI29" s="2"/>
      <c r="AL29" s="2"/>
      <c r="AO29" s="2"/>
      <c r="AR29" s="2"/>
      <c r="AU29" s="2"/>
      <c r="AX29" s="2"/>
      <c r="BA29" s="2"/>
      <c r="BD29" s="2"/>
      <c r="BG29" s="2"/>
      <c r="BJ29" s="2"/>
      <c r="BM29" s="2"/>
      <c r="BP29" s="2"/>
      <c r="BS29" s="2"/>
      <c r="BV29" s="2"/>
      <c r="BY29" s="2"/>
      <c r="CB29" s="2"/>
      <c r="CE29" s="2"/>
      <c r="CH29" s="2"/>
    </row>
    <row r="30" spans="3:86" x14ac:dyDescent="0.2">
      <c r="E30" s="2"/>
      <c r="H30" s="2"/>
      <c r="K30" s="2"/>
      <c r="N30" s="2"/>
      <c r="Q30" s="2"/>
      <c r="T30" s="2"/>
      <c r="W30" s="2"/>
      <c r="Z30" s="2"/>
      <c r="AC30" s="2"/>
      <c r="AF30" s="2"/>
      <c r="AI30" s="2"/>
      <c r="AL30" s="2"/>
      <c r="AO30" s="2"/>
      <c r="AR30" s="2"/>
      <c r="AU30" s="2"/>
      <c r="AX30" s="2"/>
      <c r="BA30" s="2"/>
      <c r="BD30" s="2"/>
      <c r="BG30" s="2"/>
      <c r="BJ30" s="2"/>
      <c r="BM30" s="2"/>
      <c r="BP30" s="2"/>
      <c r="BS30" s="2"/>
      <c r="BV30" s="2"/>
      <c r="BY30" s="2"/>
      <c r="CB30" s="2"/>
      <c r="CE30" s="2"/>
      <c r="CH30" s="2"/>
    </row>
    <row r="31" spans="3:86" x14ac:dyDescent="0.2">
      <c r="E31" s="2"/>
      <c r="H31" s="2"/>
      <c r="K31" s="2"/>
      <c r="N31" s="2"/>
      <c r="Q31" s="2"/>
      <c r="T31" s="2"/>
      <c r="W31" s="2"/>
      <c r="Z31" s="2"/>
      <c r="AC31" s="2"/>
      <c r="AF31" s="2"/>
      <c r="AI31" s="2"/>
      <c r="AL31" s="2"/>
      <c r="AO31" s="2"/>
      <c r="AR31" s="2"/>
      <c r="AU31" s="2"/>
      <c r="AX31" s="2"/>
      <c r="BA31" s="2"/>
      <c r="BD31" s="2"/>
      <c r="BG31" s="2"/>
      <c r="BJ31" s="2"/>
      <c r="BM31" s="2"/>
      <c r="BP31" s="2"/>
      <c r="BS31" s="2"/>
      <c r="BV31" s="2"/>
      <c r="BY31" s="2"/>
      <c r="CB31" s="2"/>
      <c r="CE31" s="2"/>
      <c r="CH31" s="2"/>
    </row>
    <row r="32" spans="3:86" x14ac:dyDescent="0.2">
      <c r="E32" s="2"/>
      <c r="H32" s="2"/>
      <c r="K32" s="2"/>
      <c r="N32" s="2"/>
      <c r="Q32" s="2"/>
      <c r="T32" s="2"/>
      <c r="W32" s="2"/>
      <c r="Z32" s="2"/>
      <c r="AC32" s="2"/>
      <c r="AF32" s="2"/>
      <c r="AI32" s="2"/>
      <c r="AL32" s="2"/>
      <c r="AO32" s="2"/>
      <c r="AR32" s="2"/>
      <c r="AU32" s="2"/>
      <c r="AX32" s="2"/>
      <c r="BA32" s="2"/>
      <c r="BD32" s="2"/>
      <c r="BG32" s="2"/>
      <c r="BJ32" s="2"/>
      <c r="BM32" s="2"/>
      <c r="BP32" s="2"/>
      <c r="BS32" s="2"/>
      <c r="BV32" s="2"/>
      <c r="BY32" s="2"/>
      <c r="CB32" s="2"/>
      <c r="CE32" s="2"/>
      <c r="CH32" s="2"/>
    </row>
    <row r="33" spans="5:86" x14ac:dyDescent="0.2">
      <c r="E33" s="2"/>
      <c r="H33" s="2"/>
      <c r="K33" s="2"/>
      <c r="N33" s="2"/>
      <c r="Q33" s="2"/>
      <c r="T33" s="2"/>
      <c r="W33" s="2"/>
      <c r="Z33" s="2"/>
      <c r="AC33" s="2"/>
      <c r="AF33" s="2"/>
      <c r="AI33" s="2"/>
      <c r="AL33" s="2"/>
      <c r="AO33" s="2"/>
      <c r="AR33" s="2"/>
      <c r="AU33" s="2"/>
      <c r="AX33" s="2"/>
      <c r="BA33" s="2"/>
      <c r="BD33" s="2"/>
      <c r="BG33" s="2"/>
      <c r="BJ33" s="2"/>
      <c r="BM33" s="2"/>
      <c r="BP33" s="2"/>
      <c r="BS33" s="2"/>
      <c r="BV33" s="2"/>
      <c r="BY33" s="2"/>
      <c r="CB33" s="2"/>
      <c r="CE33" s="2"/>
      <c r="CH33" s="2"/>
    </row>
    <row r="34" spans="5:86" x14ac:dyDescent="0.2">
      <c r="E34" s="2"/>
      <c r="H34" s="2"/>
      <c r="K34" s="2"/>
      <c r="N34" s="2"/>
      <c r="Q34" s="2"/>
      <c r="T34" s="2"/>
      <c r="W34" s="2"/>
      <c r="Z34" s="2"/>
      <c r="AC34" s="2"/>
      <c r="AF34" s="2"/>
      <c r="AI34" s="2"/>
      <c r="AL34" s="2"/>
      <c r="AO34" s="2"/>
      <c r="AR34" s="2"/>
      <c r="AU34" s="2"/>
      <c r="AX34" s="2"/>
      <c r="BA34" s="2"/>
      <c r="BD34" s="2"/>
      <c r="BG34" s="2"/>
      <c r="BJ34" s="2"/>
      <c r="BM34" s="2"/>
      <c r="BP34" s="2"/>
      <c r="BS34" s="2"/>
      <c r="BV34" s="2"/>
      <c r="BY34" s="2"/>
      <c r="CB34" s="2"/>
      <c r="CE34" s="2"/>
      <c r="CH34" s="2"/>
    </row>
    <row r="35" spans="5:86" x14ac:dyDescent="0.2">
      <c r="E35" s="2"/>
      <c r="H35" s="2"/>
      <c r="K35" s="2"/>
      <c r="N35" s="2"/>
      <c r="Q35" s="2"/>
      <c r="T35" s="2"/>
      <c r="W35" s="2"/>
      <c r="Z35" s="2"/>
      <c r="AC35" s="2"/>
      <c r="AF35" s="2"/>
      <c r="AI35" s="2"/>
      <c r="AL35" s="2"/>
      <c r="AO35" s="2"/>
      <c r="AR35" s="2"/>
      <c r="AU35" s="2"/>
      <c r="AX35" s="2"/>
      <c r="BA35" s="2"/>
      <c r="BD35" s="2"/>
      <c r="BG35" s="2"/>
      <c r="BJ35" s="2"/>
      <c r="BM35" s="2"/>
      <c r="BP35" s="2"/>
      <c r="BS35" s="2"/>
      <c r="BV35" s="2"/>
      <c r="BY35" s="2"/>
      <c r="CB35" s="2"/>
      <c r="CE35" s="2"/>
      <c r="CH35" s="2"/>
    </row>
    <row r="36" spans="5:86" x14ac:dyDescent="0.2">
      <c r="E36" s="2"/>
      <c r="H36" s="2"/>
      <c r="K36" s="2"/>
      <c r="N36" s="2"/>
      <c r="Q36" s="2"/>
      <c r="T36" s="2"/>
      <c r="W36" s="2"/>
      <c r="Z36" s="2"/>
      <c r="AC36" s="2"/>
      <c r="AF36" s="2"/>
      <c r="AI36" s="2"/>
      <c r="AL36" s="2"/>
      <c r="AO36" s="2"/>
      <c r="AR36" s="2"/>
      <c r="AU36" s="2"/>
      <c r="AX36" s="2"/>
      <c r="BA36" s="2"/>
      <c r="BD36" s="2"/>
      <c r="BG36" s="2"/>
      <c r="BJ36" s="2"/>
      <c r="BM36" s="2"/>
      <c r="BP36" s="2"/>
      <c r="BS36" s="2"/>
      <c r="BV36" s="2"/>
      <c r="BY36" s="2"/>
      <c r="CB36" s="2"/>
      <c r="CE36" s="2"/>
      <c r="CH36" s="2"/>
    </row>
    <row r="37" spans="5:86" x14ac:dyDescent="0.2">
      <c r="E37" s="2"/>
      <c r="H37" s="2"/>
      <c r="K37" s="2"/>
      <c r="N37" s="2"/>
      <c r="Q37" s="2"/>
      <c r="T37" s="2"/>
      <c r="W37" s="2"/>
      <c r="Z37" s="2"/>
      <c r="AC37" s="2"/>
      <c r="AF37" s="2"/>
      <c r="AI37" s="2"/>
      <c r="AL37" s="2"/>
      <c r="AO37" s="2"/>
      <c r="AR37" s="2"/>
      <c r="AU37" s="2"/>
      <c r="AX37" s="2"/>
      <c r="BA37" s="2"/>
      <c r="BD37" s="2"/>
      <c r="BG37" s="2"/>
      <c r="BJ37" s="2"/>
      <c r="BM37" s="2"/>
      <c r="BP37" s="2"/>
      <c r="BS37" s="2"/>
      <c r="BV37" s="2"/>
      <c r="BY37" s="2"/>
      <c r="CB37" s="2"/>
      <c r="CE37" s="2"/>
      <c r="CH37" s="2"/>
    </row>
    <row r="38" spans="5:86" x14ac:dyDescent="0.2">
      <c r="E38" s="2"/>
      <c r="H38" s="2"/>
      <c r="K38" s="2"/>
      <c r="N38" s="2"/>
      <c r="Q38" s="2"/>
      <c r="T38" s="2"/>
      <c r="W38" s="2"/>
      <c r="Z38" s="2"/>
      <c r="AC38" s="2"/>
      <c r="AF38" s="2"/>
      <c r="AI38" s="2"/>
      <c r="AL38" s="2"/>
      <c r="AO38" s="2"/>
      <c r="AR38" s="2"/>
      <c r="AU38" s="2"/>
      <c r="AX38" s="2"/>
      <c r="BA38" s="2"/>
      <c r="BD38" s="2"/>
      <c r="BG38" s="2"/>
      <c r="BJ38" s="2"/>
      <c r="BM38" s="2"/>
      <c r="BP38" s="2"/>
      <c r="BS38" s="2"/>
      <c r="BV38" s="2"/>
      <c r="BY38" s="2"/>
      <c r="CB38" s="2"/>
      <c r="CE38" s="2"/>
      <c r="CH38" s="2"/>
    </row>
    <row r="39" spans="5:86" x14ac:dyDescent="0.2">
      <c r="E39" s="2"/>
      <c r="H39" s="2"/>
      <c r="K39" s="2"/>
      <c r="N39" s="2"/>
      <c r="Q39" s="2"/>
      <c r="T39" s="2"/>
      <c r="W39" s="2"/>
      <c r="Z39" s="2"/>
      <c r="AC39" s="2"/>
      <c r="AF39" s="2"/>
      <c r="AI39" s="2"/>
      <c r="AL39" s="2"/>
      <c r="AO39" s="2"/>
      <c r="AR39" s="2"/>
      <c r="AU39" s="2"/>
      <c r="AX39" s="2"/>
      <c r="BA39" s="2"/>
      <c r="BD39" s="2"/>
      <c r="BG39" s="2"/>
      <c r="BJ39" s="2"/>
      <c r="BM39" s="2"/>
      <c r="BP39" s="2"/>
      <c r="BS39" s="2"/>
      <c r="BV39" s="2"/>
      <c r="BY39" s="2"/>
      <c r="CB39" s="2"/>
      <c r="CE39" s="2"/>
      <c r="CH39" s="2"/>
    </row>
    <row r="40" spans="5:86" x14ac:dyDescent="0.2">
      <c r="E40" s="2"/>
      <c r="H40" s="2"/>
      <c r="K40" s="2"/>
      <c r="N40" s="2"/>
      <c r="Q40" s="2"/>
      <c r="T40" s="2"/>
      <c r="W40" s="2"/>
      <c r="Z40" s="2"/>
      <c r="AC40" s="2"/>
      <c r="AF40" s="2"/>
      <c r="AI40" s="2"/>
      <c r="AL40" s="2"/>
      <c r="AO40" s="2"/>
      <c r="AR40" s="2"/>
      <c r="AU40" s="2"/>
      <c r="AX40" s="2"/>
      <c r="BA40" s="2"/>
      <c r="BD40" s="2"/>
      <c r="BG40" s="2"/>
      <c r="BJ40" s="2"/>
      <c r="BM40" s="2"/>
      <c r="BP40" s="2"/>
      <c r="BS40" s="2"/>
      <c r="BV40" s="2"/>
      <c r="BY40" s="2"/>
      <c r="CB40" s="2"/>
      <c r="CE40" s="2"/>
      <c r="CH40" s="2"/>
    </row>
    <row r="41" spans="5:86" x14ac:dyDescent="0.2">
      <c r="E41" s="2"/>
      <c r="H41" s="2"/>
      <c r="K41" s="2"/>
      <c r="N41" s="2"/>
      <c r="Q41" s="2"/>
      <c r="T41" s="2"/>
      <c r="W41" s="2"/>
      <c r="Z41" s="2"/>
      <c r="AC41" s="2"/>
      <c r="AF41" s="2"/>
      <c r="AI41" s="2"/>
      <c r="AL41" s="2"/>
      <c r="AO41" s="2"/>
      <c r="AR41" s="2"/>
      <c r="AU41" s="2"/>
      <c r="AX41" s="2"/>
      <c r="BA41" s="2"/>
      <c r="BD41" s="2"/>
      <c r="BG41" s="2"/>
      <c r="BJ41" s="2"/>
      <c r="BM41" s="2"/>
      <c r="BP41" s="2"/>
      <c r="BS41" s="2"/>
      <c r="BV41" s="2"/>
      <c r="BY41" s="2"/>
      <c r="CB41" s="2"/>
      <c r="CE41" s="2"/>
      <c r="CH41" s="2"/>
    </row>
    <row r="42" spans="5:86" x14ac:dyDescent="0.2"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  <c r="BJ42" s="2"/>
      <c r="BM42" s="2"/>
      <c r="BP42" s="2"/>
      <c r="BS42" s="2"/>
      <c r="BV42" s="2"/>
      <c r="BY42" s="2"/>
      <c r="CB42" s="2"/>
      <c r="CE42" s="2"/>
      <c r="CH42" s="2"/>
    </row>
    <row r="43" spans="5:86" x14ac:dyDescent="0.2"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  <c r="BJ43" s="2"/>
      <c r="BM43" s="2"/>
      <c r="BP43" s="2"/>
      <c r="BS43" s="2"/>
      <c r="BV43" s="2"/>
      <c r="BY43" s="2"/>
      <c r="CB43" s="2"/>
      <c r="CE43" s="2"/>
      <c r="CH43" s="2"/>
    </row>
    <row r="44" spans="5:86" x14ac:dyDescent="0.2"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  <c r="BJ44" s="2"/>
      <c r="BM44" s="2"/>
      <c r="BP44" s="2"/>
      <c r="BS44" s="2"/>
      <c r="BV44" s="2"/>
      <c r="BY44" s="2"/>
      <c r="CB44" s="2"/>
      <c r="CE44" s="2"/>
      <c r="CH44" s="2"/>
    </row>
    <row r="45" spans="5:86" x14ac:dyDescent="0.2"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  <c r="BJ45" s="2"/>
      <c r="BM45" s="2"/>
      <c r="BP45" s="2"/>
      <c r="BS45" s="2"/>
      <c r="BV45" s="2"/>
      <c r="BY45" s="2"/>
      <c r="CB45" s="2"/>
      <c r="CE45" s="2"/>
      <c r="CH45" s="2"/>
    </row>
    <row r="46" spans="5:86" x14ac:dyDescent="0.2"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  <c r="BJ46" s="2"/>
      <c r="BM46" s="2"/>
      <c r="BP46" s="2"/>
      <c r="BS46" s="2"/>
      <c r="BV46" s="2"/>
      <c r="BY46" s="2"/>
      <c r="CB46" s="2"/>
      <c r="CE46" s="2"/>
      <c r="CH46" s="2"/>
    </row>
    <row r="47" spans="5:86" x14ac:dyDescent="0.2"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  <c r="BJ47" s="2"/>
      <c r="BM47" s="2"/>
      <c r="BP47" s="2"/>
      <c r="BS47" s="2"/>
      <c r="BV47" s="2"/>
      <c r="BY47" s="2"/>
      <c r="CB47" s="2"/>
      <c r="CE47" s="2"/>
      <c r="CH47" s="2"/>
    </row>
    <row r="48" spans="5:86" x14ac:dyDescent="0.2"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  <c r="BJ48" s="2"/>
      <c r="BM48" s="2"/>
      <c r="BP48" s="2"/>
      <c r="BS48" s="2"/>
      <c r="BV48" s="2"/>
      <c r="BY48" s="2"/>
      <c r="CB48" s="2"/>
      <c r="CE48" s="2"/>
      <c r="CH48" s="2"/>
    </row>
    <row r="49" spans="5:86" x14ac:dyDescent="0.2"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  <c r="BJ49" s="2"/>
      <c r="BM49" s="2"/>
      <c r="BP49" s="2"/>
      <c r="BS49" s="2"/>
      <c r="BV49" s="2"/>
      <c r="BY49" s="2"/>
      <c r="CB49" s="2"/>
      <c r="CE49" s="2"/>
      <c r="CH49" s="2"/>
    </row>
    <row r="50" spans="5:86" x14ac:dyDescent="0.2"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  <c r="BM50" s="2"/>
      <c r="BP50" s="2"/>
      <c r="BS50" s="2"/>
      <c r="BV50" s="2"/>
      <c r="BY50" s="2"/>
      <c r="CB50" s="2"/>
      <c r="CE50" s="2"/>
      <c r="CH50" s="2"/>
    </row>
    <row r="51" spans="5:86" x14ac:dyDescent="0.2"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  <c r="BM51" s="2"/>
      <c r="BP51" s="2"/>
      <c r="BS51" s="2"/>
      <c r="BV51" s="2"/>
      <c r="BY51" s="2"/>
      <c r="CB51" s="2"/>
      <c r="CE51" s="2"/>
      <c r="CH51" s="2"/>
    </row>
    <row r="52" spans="5:86" x14ac:dyDescent="0.2"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  <c r="BM52" s="2"/>
      <c r="BP52" s="2"/>
      <c r="BS52" s="2"/>
      <c r="BV52" s="2"/>
      <c r="BY52" s="2"/>
      <c r="CB52" s="2"/>
      <c r="CE52" s="2"/>
      <c r="CH52" s="2"/>
    </row>
    <row r="53" spans="5:86" x14ac:dyDescent="0.2"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  <c r="BM53" s="2"/>
      <c r="BP53" s="2"/>
      <c r="BS53" s="2"/>
      <c r="BV53" s="2"/>
      <c r="BY53" s="2"/>
      <c r="CB53" s="2"/>
      <c r="CE53" s="2"/>
      <c r="CH53" s="2"/>
    </row>
    <row r="54" spans="5:86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  <c r="BM54" s="2"/>
      <c r="BP54" s="2"/>
      <c r="BS54" s="2"/>
      <c r="BV54" s="2"/>
      <c r="BY54" s="2"/>
      <c r="CB54" s="2"/>
      <c r="CE54" s="2"/>
      <c r="CH54" s="2"/>
    </row>
    <row r="55" spans="5:86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  <c r="BM55" s="2"/>
      <c r="BP55" s="2"/>
      <c r="BS55" s="2"/>
      <c r="BV55" s="2"/>
      <c r="BY55" s="2"/>
      <c r="CB55" s="2"/>
      <c r="CE55" s="2"/>
      <c r="CH55" s="2"/>
    </row>
    <row r="56" spans="5:86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  <c r="BM56" s="2"/>
      <c r="BP56" s="2"/>
      <c r="BS56" s="2"/>
      <c r="BV56" s="2"/>
      <c r="BY56" s="2"/>
      <c r="CB56" s="2"/>
      <c r="CE56" s="2"/>
      <c r="CH56" s="2"/>
    </row>
    <row r="57" spans="5:86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  <c r="BM57" s="2"/>
      <c r="BP57" s="2"/>
      <c r="BS57" s="2"/>
      <c r="BV57" s="2"/>
      <c r="BY57" s="2"/>
      <c r="CB57" s="2"/>
      <c r="CE57" s="2"/>
      <c r="CH57" s="2"/>
    </row>
    <row r="58" spans="5:86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  <c r="BM58" s="2"/>
      <c r="BP58" s="2"/>
      <c r="BS58" s="2"/>
      <c r="BV58" s="2"/>
      <c r="BY58" s="2"/>
      <c r="CB58" s="2"/>
      <c r="CE58" s="2"/>
      <c r="CH58" s="2"/>
    </row>
    <row r="59" spans="5:86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  <c r="BM59" s="2"/>
      <c r="BP59" s="2"/>
      <c r="BS59" s="2"/>
      <c r="BV59" s="2"/>
      <c r="BY59" s="2"/>
      <c r="CB59" s="2"/>
      <c r="CE59" s="2"/>
      <c r="CH59" s="2"/>
    </row>
    <row r="60" spans="5:86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  <c r="BM60" s="2"/>
      <c r="BP60" s="2"/>
      <c r="BS60" s="2"/>
      <c r="BV60" s="2"/>
      <c r="BY60" s="2"/>
      <c r="CB60" s="2"/>
      <c r="CE60" s="2"/>
      <c r="CH60" s="2"/>
    </row>
    <row r="61" spans="5:86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  <c r="BM61" s="2"/>
      <c r="BP61" s="2"/>
      <c r="BS61" s="2"/>
      <c r="BV61" s="2"/>
      <c r="BY61" s="2"/>
      <c r="CB61" s="2"/>
      <c r="CE61" s="2"/>
      <c r="CH61" s="2"/>
    </row>
    <row r="62" spans="5:86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  <c r="BM62" s="2"/>
      <c r="BP62" s="2"/>
      <c r="BS62" s="2"/>
      <c r="BV62" s="2"/>
      <c r="BY62" s="2"/>
      <c r="CB62" s="2"/>
      <c r="CE62" s="2"/>
      <c r="CH62" s="2"/>
    </row>
    <row r="63" spans="5:86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  <c r="BM63" s="2"/>
      <c r="BP63" s="2"/>
      <c r="BS63" s="2"/>
      <c r="BV63" s="2"/>
      <c r="BY63" s="2"/>
      <c r="CB63" s="2"/>
      <c r="CE63" s="2"/>
      <c r="CH63" s="2"/>
    </row>
    <row r="64" spans="5:86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  <c r="BM64" s="2"/>
      <c r="BP64" s="2"/>
      <c r="BS64" s="2"/>
      <c r="BV64" s="2"/>
      <c r="BY64" s="2"/>
      <c r="CB64" s="2"/>
      <c r="CE64" s="2"/>
      <c r="CH64" s="2"/>
    </row>
    <row r="65" spans="5:86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  <c r="BM65" s="2"/>
      <c r="BP65" s="2"/>
      <c r="BS65" s="2"/>
      <c r="BV65" s="2"/>
      <c r="BY65" s="2"/>
      <c r="CB65" s="2"/>
      <c r="CE65" s="2"/>
      <c r="CH65" s="2"/>
    </row>
    <row r="66" spans="5:86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  <c r="BM66" s="2"/>
      <c r="BP66" s="2"/>
      <c r="BS66" s="2"/>
      <c r="BV66" s="2"/>
      <c r="BY66" s="2"/>
      <c r="CB66" s="2"/>
      <c r="CE66" s="2"/>
      <c r="CH66" s="2"/>
    </row>
    <row r="67" spans="5:86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  <c r="BM67" s="2"/>
      <c r="BP67" s="2"/>
      <c r="BS67" s="2"/>
      <c r="BV67" s="2"/>
      <c r="BY67" s="2"/>
      <c r="CB67" s="2"/>
      <c r="CE67" s="2"/>
      <c r="CH67" s="2"/>
    </row>
    <row r="68" spans="5:86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  <c r="BM68" s="2"/>
      <c r="BP68" s="2"/>
      <c r="BS68" s="2"/>
      <c r="BV68" s="2"/>
      <c r="BY68" s="2"/>
      <c r="CB68" s="2"/>
      <c r="CE68" s="2"/>
      <c r="CH68" s="2"/>
    </row>
    <row r="69" spans="5:86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  <c r="BM69" s="2"/>
      <c r="BP69" s="2"/>
      <c r="BS69" s="2"/>
      <c r="BV69" s="2"/>
      <c r="BY69" s="2"/>
      <c r="CB69" s="2"/>
      <c r="CE69" s="2"/>
      <c r="CH69" s="2"/>
    </row>
    <row r="70" spans="5:86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  <c r="BM70" s="2"/>
      <c r="BP70" s="2"/>
      <c r="BS70" s="2"/>
      <c r="BV70" s="2"/>
      <c r="BY70" s="2"/>
      <c r="CB70" s="2"/>
      <c r="CE70" s="2"/>
      <c r="CH70" s="2"/>
    </row>
    <row r="71" spans="5:86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  <c r="BM71" s="2"/>
      <c r="BP71" s="2"/>
      <c r="BS71" s="2"/>
      <c r="BV71" s="2"/>
      <c r="BY71" s="2"/>
      <c r="CB71" s="2"/>
      <c r="CE71" s="2"/>
      <c r="CH71" s="2"/>
    </row>
    <row r="72" spans="5:86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  <c r="BM72" s="2"/>
      <c r="BP72" s="2"/>
      <c r="BS72" s="2"/>
      <c r="BV72" s="2"/>
      <c r="BY72" s="2"/>
      <c r="CB72" s="2"/>
      <c r="CE72" s="2"/>
      <c r="CH72" s="2"/>
    </row>
    <row r="73" spans="5:86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  <c r="BP73" s="2"/>
      <c r="BS73" s="2"/>
      <c r="BV73" s="2"/>
      <c r="BY73" s="2"/>
      <c r="CB73" s="2"/>
      <c r="CE73" s="2"/>
      <c r="CH73" s="2"/>
    </row>
    <row r="74" spans="5:86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  <c r="BP74" s="2"/>
      <c r="BS74" s="2"/>
      <c r="BV74" s="2"/>
      <c r="BY74" s="2"/>
      <c r="CB74" s="2"/>
      <c r="CE74" s="2"/>
      <c r="CH74" s="2"/>
    </row>
    <row r="75" spans="5:86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  <c r="BP75" s="2"/>
      <c r="BS75" s="2"/>
      <c r="BV75" s="2"/>
      <c r="BY75" s="2"/>
      <c r="CB75" s="2"/>
      <c r="CE75" s="2"/>
      <c r="CH75" s="2"/>
    </row>
    <row r="76" spans="5:86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  <c r="BP76" s="2"/>
      <c r="BS76" s="2"/>
      <c r="BV76" s="2"/>
      <c r="BY76" s="2"/>
      <c r="CB76" s="2"/>
      <c r="CE76" s="2"/>
      <c r="CH76" s="2"/>
    </row>
    <row r="77" spans="5:86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  <c r="BP77" s="2"/>
      <c r="BS77" s="2"/>
      <c r="BV77" s="2"/>
      <c r="BY77" s="2"/>
      <c r="CB77" s="2"/>
      <c r="CE77" s="2"/>
      <c r="CH77" s="2"/>
    </row>
    <row r="78" spans="5:86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  <c r="BP78" s="2"/>
      <c r="BS78" s="2"/>
      <c r="BV78" s="2"/>
      <c r="BY78" s="2"/>
      <c r="CB78" s="2"/>
      <c r="CE78" s="2"/>
      <c r="CH78" s="2"/>
    </row>
    <row r="79" spans="5:86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  <c r="BP79" s="2"/>
      <c r="BS79" s="2"/>
      <c r="BV79" s="2"/>
      <c r="BY79" s="2"/>
      <c r="CB79" s="2"/>
      <c r="CE79" s="2"/>
      <c r="CH79" s="2"/>
    </row>
    <row r="80" spans="5:86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  <c r="BP80" s="2"/>
      <c r="BS80" s="2"/>
      <c r="BV80" s="2"/>
      <c r="BY80" s="2"/>
      <c r="CB80" s="2"/>
      <c r="CE80" s="2"/>
      <c r="CH80" s="2"/>
    </row>
    <row r="81" spans="5:86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  <c r="BP81" s="2"/>
      <c r="BS81" s="2"/>
      <c r="BV81" s="2"/>
      <c r="BY81" s="2"/>
      <c r="CB81" s="2"/>
      <c r="CE81" s="2"/>
      <c r="CH81" s="2"/>
    </row>
    <row r="82" spans="5:86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  <c r="BP82" s="2"/>
      <c r="BS82" s="2"/>
      <c r="BV82" s="2"/>
      <c r="BY82" s="2"/>
      <c r="CB82" s="2"/>
      <c r="CE82" s="2"/>
      <c r="CH82" s="2"/>
    </row>
    <row r="83" spans="5:86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  <c r="BP83" s="2"/>
      <c r="BS83" s="2"/>
      <c r="BV83" s="2"/>
      <c r="BY83" s="2"/>
      <c r="CB83" s="2"/>
      <c r="CE83" s="2"/>
      <c r="CH83" s="2"/>
    </row>
    <row r="84" spans="5:86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  <c r="BP84" s="2"/>
      <c r="BS84" s="2"/>
      <c r="BV84" s="2"/>
      <c r="BY84" s="2"/>
      <c r="CB84" s="2"/>
      <c r="CE84" s="2"/>
      <c r="CH84" s="2"/>
    </row>
    <row r="85" spans="5:86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  <c r="BP85" s="2"/>
      <c r="BS85" s="2"/>
      <c r="BV85" s="2"/>
      <c r="BY85" s="2"/>
      <c r="CB85" s="2"/>
      <c r="CE85" s="2"/>
      <c r="CH85" s="2"/>
    </row>
    <row r="86" spans="5:86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  <c r="BP86" s="2"/>
      <c r="BS86" s="2"/>
      <c r="BV86" s="2"/>
      <c r="BY86" s="2"/>
      <c r="CB86" s="2"/>
      <c r="CE86" s="2"/>
      <c r="CH86" s="2"/>
    </row>
    <row r="87" spans="5:86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  <c r="BP87" s="2"/>
      <c r="BS87" s="2"/>
      <c r="BV87" s="2"/>
      <c r="BY87" s="2"/>
      <c r="CB87" s="2"/>
      <c r="CE87" s="2"/>
      <c r="CH87" s="2"/>
    </row>
    <row r="88" spans="5:86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  <c r="BP88" s="2"/>
      <c r="BS88" s="2"/>
      <c r="BV88" s="2"/>
      <c r="BY88" s="2"/>
      <c r="CB88" s="2"/>
      <c r="CE88" s="2"/>
      <c r="CH88" s="2"/>
    </row>
    <row r="89" spans="5:86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  <c r="BP89" s="2"/>
      <c r="BS89" s="2"/>
      <c r="BV89" s="2"/>
      <c r="BY89" s="2"/>
      <c r="CB89" s="2"/>
      <c r="CE89" s="2"/>
      <c r="CH89" s="2"/>
    </row>
    <row r="90" spans="5:86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  <c r="BP90" s="2"/>
      <c r="BS90" s="2"/>
      <c r="BV90" s="2"/>
      <c r="BY90" s="2"/>
      <c r="CB90" s="2"/>
      <c r="CE90" s="2"/>
      <c r="CH90" s="2"/>
    </row>
    <row r="91" spans="5:86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  <c r="BP91" s="2"/>
      <c r="BS91" s="2"/>
      <c r="BV91" s="2"/>
      <c r="BY91" s="2"/>
      <c r="CB91" s="2"/>
      <c r="CE91" s="2"/>
      <c r="CH91" s="2"/>
    </row>
    <row r="92" spans="5:86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  <c r="BP92" s="2"/>
      <c r="BS92" s="2"/>
      <c r="BV92" s="2"/>
      <c r="BY92" s="2"/>
      <c r="CB92" s="2"/>
      <c r="CE92" s="2"/>
      <c r="CH92" s="2"/>
    </row>
    <row r="93" spans="5:86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  <c r="BP93" s="2"/>
      <c r="BS93" s="2"/>
      <c r="BV93" s="2"/>
      <c r="BY93" s="2"/>
      <c r="CB93" s="2"/>
      <c r="CE93" s="2"/>
      <c r="CH93" s="2"/>
    </row>
    <row r="94" spans="5:86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  <c r="BP94" s="2"/>
      <c r="BS94" s="2"/>
      <c r="BV94" s="2"/>
      <c r="BY94" s="2"/>
      <c r="CB94" s="2"/>
      <c r="CE94" s="2"/>
      <c r="CH94" s="2"/>
    </row>
    <row r="95" spans="5:86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  <c r="BP95" s="2"/>
      <c r="BS95" s="2"/>
      <c r="BV95" s="2"/>
      <c r="BY95" s="2"/>
      <c r="CB95" s="2"/>
      <c r="CE95" s="2"/>
      <c r="CH95" s="2"/>
    </row>
    <row r="96" spans="5:86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  <c r="BP96" s="2"/>
      <c r="BS96" s="2"/>
      <c r="BV96" s="2"/>
      <c r="BY96" s="2"/>
      <c r="CB96" s="2"/>
      <c r="CE96" s="2"/>
      <c r="CH96" s="2"/>
    </row>
    <row r="97" spans="5:86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  <c r="BP97" s="2"/>
      <c r="BS97" s="2"/>
      <c r="BV97" s="2"/>
      <c r="BY97" s="2"/>
      <c r="CB97" s="2"/>
      <c r="CE97" s="2"/>
      <c r="CH97" s="2"/>
    </row>
    <row r="98" spans="5:86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  <c r="BP98" s="2"/>
      <c r="BS98" s="2"/>
      <c r="BV98" s="2"/>
      <c r="BY98" s="2"/>
      <c r="CB98" s="2"/>
      <c r="CE98" s="2"/>
      <c r="CH98" s="2"/>
    </row>
    <row r="99" spans="5:86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  <c r="BP99" s="2"/>
      <c r="BS99" s="2"/>
      <c r="BV99" s="2"/>
      <c r="BY99" s="2"/>
      <c r="CB99" s="2"/>
      <c r="CE99" s="2"/>
      <c r="CH99" s="2"/>
    </row>
    <row r="100" spans="5:86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  <c r="BP100" s="2"/>
      <c r="BS100" s="2"/>
      <c r="BV100" s="2"/>
      <c r="BY100" s="2"/>
      <c r="CB100" s="2"/>
      <c r="CE100" s="2"/>
      <c r="CH100" s="2"/>
    </row>
    <row r="101" spans="5:86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  <c r="BP101" s="2"/>
      <c r="BS101" s="2"/>
      <c r="BV101" s="2"/>
      <c r="BY101" s="2"/>
      <c r="CB101" s="2"/>
      <c r="CE101" s="2"/>
      <c r="CH101" s="2"/>
    </row>
    <row r="102" spans="5:86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  <c r="BP102" s="2"/>
      <c r="BS102" s="2"/>
      <c r="BV102" s="2"/>
      <c r="BY102" s="2"/>
      <c r="CB102" s="2"/>
      <c r="CE102" s="2"/>
      <c r="CH102" s="2"/>
    </row>
    <row r="103" spans="5:86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  <c r="BP103" s="2"/>
      <c r="BS103" s="2"/>
      <c r="BV103" s="2"/>
      <c r="BY103" s="2"/>
      <c r="CB103" s="2"/>
      <c r="CE103" s="2"/>
      <c r="CH103" s="2"/>
    </row>
    <row r="104" spans="5:86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  <c r="BP104" s="2"/>
      <c r="BS104" s="2"/>
      <c r="BV104" s="2"/>
      <c r="BY104" s="2"/>
      <c r="CB104" s="2"/>
      <c r="CE104" s="2"/>
      <c r="CH104" s="2"/>
    </row>
    <row r="105" spans="5:86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  <c r="BP105" s="2"/>
      <c r="BS105" s="2"/>
      <c r="BV105" s="2"/>
      <c r="BY105" s="2"/>
      <c r="CB105" s="2"/>
      <c r="CE105" s="2"/>
      <c r="CH105" s="2"/>
    </row>
    <row r="106" spans="5:86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  <c r="BP106" s="2"/>
      <c r="BS106" s="2"/>
      <c r="BV106" s="2"/>
      <c r="BY106" s="2"/>
      <c r="CB106" s="2"/>
      <c r="CE106" s="2"/>
      <c r="CH106" s="2"/>
    </row>
    <row r="107" spans="5:86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  <c r="BP107" s="2"/>
      <c r="BS107" s="2"/>
      <c r="BV107" s="2"/>
      <c r="BY107" s="2"/>
      <c r="CB107" s="2"/>
      <c r="CE107" s="2"/>
      <c r="CH107" s="2"/>
    </row>
    <row r="108" spans="5:86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  <c r="BP108" s="2"/>
      <c r="BS108" s="2"/>
      <c r="BV108" s="2"/>
      <c r="BY108" s="2"/>
      <c r="CB108" s="2"/>
      <c r="CE108" s="2"/>
      <c r="CH108" s="2"/>
    </row>
    <row r="109" spans="5:86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  <c r="BP109" s="2"/>
      <c r="BS109" s="2"/>
      <c r="BV109" s="2"/>
      <c r="BY109" s="2"/>
      <c r="CB109" s="2"/>
      <c r="CE109" s="2"/>
      <c r="CH109" s="2"/>
    </row>
    <row r="110" spans="5:86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  <c r="BP110" s="2"/>
      <c r="BS110" s="2"/>
      <c r="BV110" s="2"/>
      <c r="BY110" s="2"/>
      <c r="CB110" s="2"/>
      <c r="CE110" s="2"/>
      <c r="CH110" s="2"/>
    </row>
    <row r="111" spans="5:86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  <c r="BP111" s="2"/>
      <c r="BS111" s="2"/>
      <c r="BV111" s="2"/>
      <c r="BY111" s="2"/>
      <c r="CB111" s="2"/>
      <c r="CE111" s="2"/>
      <c r="CH111" s="2"/>
    </row>
    <row r="112" spans="5:86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  <c r="BP112" s="2"/>
      <c r="BS112" s="2"/>
      <c r="BV112" s="2"/>
      <c r="BY112" s="2"/>
      <c r="CB112" s="2"/>
      <c r="CE112" s="2"/>
      <c r="CH112" s="2"/>
    </row>
    <row r="113" spans="5:86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  <c r="BP113" s="2"/>
      <c r="BS113" s="2"/>
      <c r="BV113" s="2"/>
      <c r="BY113" s="2"/>
      <c r="CB113" s="2"/>
      <c r="CE113" s="2"/>
      <c r="CH113" s="2"/>
    </row>
    <row r="114" spans="5:86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  <c r="BP114" s="2"/>
      <c r="BS114" s="2"/>
      <c r="BV114" s="2"/>
      <c r="BY114" s="2"/>
      <c r="CB114" s="2"/>
      <c r="CE114" s="2"/>
      <c r="CH114" s="2"/>
    </row>
    <row r="115" spans="5:86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  <c r="BP115" s="2"/>
      <c r="BS115" s="2"/>
      <c r="BV115" s="2"/>
      <c r="BY115" s="2"/>
      <c r="CB115" s="2"/>
      <c r="CE115" s="2"/>
      <c r="CH115" s="2"/>
    </row>
    <row r="116" spans="5:86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  <c r="BP116" s="2"/>
      <c r="BS116" s="2"/>
      <c r="BV116" s="2"/>
      <c r="BY116" s="2"/>
      <c r="CB116" s="2"/>
      <c r="CE116" s="2"/>
      <c r="CH116" s="2"/>
    </row>
    <row r="117" spans="5:86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  <c r="BP117" s="2"/>
      <c r="BS117" s="2"/>
      <c r="BV117" s="2"/>
      <c r="BY117" s="2"/>
      <c r="CB117" s="2"/>
      <c r="CE117" s="2"/>
      <c r="CH117" s="2"/>
    </row>
    <row r="118" spans="5:86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  <c r="BP118" s="2"/>
      <c r="BS118" s="2"/>
      <c r="BV118" s="2"/>
      <c r="BY118" s="2"/>
      <c r="CB118" s="2"/>
      <c r="CE118" s="2"/>
      <c r="CH118" s="2"/>
    </row>
    <row r="119" spans="5:86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  <c r="BP119" s="2"/>
      <c r="BS119" s="2"/>
      <c r="BV119" s="2"/>
      <c r="BY119" s="2"/>
      <c r="CB119" s="2"/>
      <c r="CE119" s="2"/>
      <c r="CH119" s="2"/>
    </row>
    <row r="120" spans="5:86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  <c r="BP120" s="2"/>
      <c r="BS120" s="2"/>
      <c r="BV120" s="2"/>
      <c r="BY120" s="2"/>
      <c r="CB120" s="2"/>
      <c r="CE120" s="2"/>
      <c r="CH120" s="2"/>
    </row>
    <row r="121" spans="5:86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  <c r="BP121" s="2"/>
      <c r="BS121" s="2"/>
      <c r="BV121" s="2"/>
      <c r="BY121" s="2"/>
      <c r="CB121" s="2"/>
      <c r="CE121" s="2"/>
      <c r="CH121" s="2"/>
    </row>
    <row r="122" spans="5:86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  <c r="BM122" s="2"/>
      <c r="BP122" s="2"/>
      <c r="BS122" s="2"/>
      <c r="BV122" s="2"/>
      <c r="BY122" s="2"/>
      <c r="CB122" s="2"/>
      <c r="CE122" s="2"/>
      <c r="CH122" s="2"/>
    </row>
    <row r="123" spans="5:86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  <c r="BM123" s="2"/>
      <c r="BP123" s="2"/>
      <c r="BS123" s="2"/>
      <c r="BV123" s="2"/>
      <c r="BY123" s="2"/>
      <c r="CB123" s="2"/>
      <c r="CE123" s="2"/>
      <c r="CH123" s="2"/>
    </row>
    <row r="124" spans="5:86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  <c r="BM124" s="2"/>
      <c r="BP124" s="2"/>
      <c r="BS124" s="2"/>
      <c r="BV124" s="2"/>
      <c r="BY124" s="2"/>
      <c r="CB124" s="2"/>
      <c r="CE124" s="2"/>
      <c r="CH124" s="2"/>
    </row>
    <row r="125" spans="5:86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  <c r="BM125" s="2"/>
      <c r="BP125" s="2"/>
      <c r="BS125" s="2"/>
      <c r="BV125" s="2"/>
      <c r="BY125" s="2"/>
      <c r="CB125" s="2"/>
      <c r="CE125" s="2"/>
      <c r="CH125" s="2"/>
    </row>
    <row r="126" spans="5:86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  <c r="BM126" s="2"/>
      <c r="BP126" s="2"/>
      <c r="BS126" s="2"/>
      <c r="BV126" s="2"/>
      <c r="BY126" s="2"/>
      <c r="CB126" s="2"/>
      <c r="CE126" s="2"/>
      <c r="CH126" s="2"/>
    </row>
    <row r="127" spans="5:86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  <c r="BM127" s="2"/>
      <c r="BP127" s="2"/>
      <c r="BS127" s="2"/>
      <c r="BV127" s="2"/>
      <c r="BY127" s="2"/>
      <c r="CB127" s="2"/>
      <c r="CE127" s="2"/>
      <c r="CH127" s="2"/>
    </row>
    <row r="128" spans="5:86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  <c r="BM128" s="2"/>
      <c r="BP128" s="2"/>
      <c r="BS128" s="2"/>
      <c r="BV128" s="2"/>
      <c r="BY128" s="2"/>
      <c r="CB128" s="2"/>
      <c r="CE128" s="2"/>
      <c r="CH128" s="2"/>
    </row>
    <row r="129" spans="5:86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  <c r="BM129" s="2"/>
      <c r="BP129" s="2"/>
      <c r="BS129" s="2"/>
      <c r="BV129" s="2"/>
      <c r="BY129" s="2"/>
      <c r="CB129" s="2"/>
      <c r="CE129" s="2"/>
      <c r="CH129" s="2"/>
    </row>
    <row r="130" spans="5:86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  <c r="BM130" s="2"/>
      <c r="BP130" s="2"/>
      <c r="BS130" s="2"/>
      <c r="BV130" s="2"/>
      <c r="BY130" s="2"/>
      <c r="CB130" s="2"/>
      <c r="CE130" s="2"/>
      <c r="CH130" s="2"/>
    </row>
    <row r="131" spans="5:86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  <c r="BM131" s="2"/>
      <c r="BP131" s="2"/>
      <c r="BS131" s="2"/>
      <c r="BV131" s="2"/>
      <c r="BY131" s="2"/>
      <c r="CB131" s="2"/>
      <c r="CE131" s="2"/>
      <c r="CH131" s="2"/>
    </row>
    <row r="132" spans="5:86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  <c r="BM132" s="2"/>
      <c r="BP132" s="2"/>
      <c r="BS132" s="2"/>
      <c r="BV132" s="2"/>
      <c r="BY132" s="2"/>
      <c r="CB132" s="2"/>
      <c r="CE132" s="2"/>
      <c r="CH132" s="2"/>
    </row>
    <row r="133" spans="5:86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  <c r="BM133" s="2"/>
      <c r="BP133" s="2"/>
      <c r="BS133" s="2"/>
      <c r="BV133" s="2"/>
      <c r="BY133" s="2"/>
      <c r="CB133" s="2"/>
      <c r="CE133" s="2"/>
      <c r="CH133" s="2"/>
    </row>
    <row r="134" spans="5:86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  <c r="BM134" s="2"/>
      <c r="BP134" s="2"/>
      <c r="BS134" s="2"/>
      <c r="BV134" s="2"/>
      <c r="BY134" s="2"/>
      <c r="CB134" s="2"/>
      <c r="CE134" s="2"/>
      <c r="CH134" s="2"/>
    </row>
    <row r="135" spans="5:86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  <c r="BM135" s="2"/>
      <c r="BP135" s="2"/>
      <c r="BS135" s="2"/>
      <c r="BV135" s="2"/>
      <c r="BY135" s="2"/>
      <c r="CB135" s="2"/>
      <c r="CE135" s="2"/>
      <c r="CH135" s="2"/>
    </row>
    <row r="136" spans="5:86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  <c r="BM136" s="2"/>
      <c r="BP136" s="2"/>
      <c r="BS136" s="2"/>
      <c r="BV136" s="2"/>
      <c r="BY136" s="2"/>
      <c r="CB136" s="2"/>
      <c r="CE136" s="2"/>
      <c r="CH136" s="2"/>
    </row>
    <row r="137" spans="5:86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  <c r="BM137" s="2"/>
      <c r="BP137" s="2"/>
      <c r="BS137" s="2"/>
      <c r="BV137" s="2"/>
      <c r="BY137" s="2"/>
      <c r="CB137" s="2"/>
      <c r="CE137" s="2"/>
      <c r="CH137" s="2"/>
    </row>
    <row r="138" spans="5:86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  <c r="BM138" s="2"/>
      <c r="BP138" s="2"/>
      <c r="BS138" s="2"/>
      <c r="BV138" s="2"/>
      <c r="BY138" s="2"/>
      <c r="CB138" s="2"/>
      <c r="CE138" s="2"/>
      <c r="CH138" s="2"/>
    </row>
    <row r="139" spans="5:86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  <c r="BM139" s="2"/>
      <c r="BP139" s="2"/>
      <c r="BS139" s="2"/>
      <c r="BV139" s="2"/>
      <c r="BY139" s="2"/>
      <c r="CB139" s="2"/>
      <c r="CE139" s="2"/>
      <c r="CH139" s="2"/>
    </row>
    <row r="140" spans="5:86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  <c r="BM140" s="2"/>
      <c r="BP140" s="2"/>
      <c r="BS140" s="2"/>
      <c r="BV140" s="2"/>
      <c r="BY140" s="2"/>
      <c r="CB140" s="2"/>
      <c r="CE140" s="2"/>
      <c r="CH140" s="2"/>
    </row>
    <row r="141" spans="5:86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  <c r="BM141" s="2"/>
      <c r="BP141" s="2"/>
      <c r="BS141" s="2"/>
      <c r="BV141" s="2"/>
      <c r="BY141" s="2"/>
      <c r="CB141" s="2"/>
      <c r="CE141" s="2"/>
      <c r="CH141" s="2"/>
    </row>
    <row r="142" spans="5:86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  <c r="BM142" s="2"/>
      <c r="BP142" s="2"/>
      <c r="BS142" s="2"/>
      <c r="BV142" s="2"/>
      <c r="BY142" s="2"/>
      <c r="CB142" s="2"/>
      <c r="CE142" s="2"/>
      <c r="CH142" s="2"/>
    </row>
    <row r="143" spans="5:86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  <c r="BJ143" s="2"/>
      <c r="BM143" s="2"/>
      <c r="BP143" s="2"/>
      <c r="BS143" s="2"/>
      <c r="BV143" s="2"/>
      <c r="BY143" s="2"/>
      <c r="CB143" s="2"/>
      <c r="CE143" s="2"/>
      <c r="CH143" s="2"/>
    </row>
    <row r="144" spans="5:86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  <c r="BJ144" s="2"/>
      <c r="BM144" s="2"/>
      <c r="BP144" s="2"/>
      <c r="BS144" s="2"/>
      <c r="BV144" s="2"/>
      <c r="BY144" s="2"/>
      <c r="CB144" s="2"/>
      <c r="CE144" s="2"/>
      <c r="CH144" s="2"/>
    </row>
    <row r="145" spans="5:86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  <c r="BJ145" s="2"/>
      <c r="BM145" s="2"/>
      <c r="BP145" s="2"/>
      <c r="BS145" s="2"/>
      <c r="BV145" s="2"/>
      <c r="BY145" s="2"/>
      <c r="CB145" s="2"/>
      <c r="CE145" s="2"/>
      <c r="CH145" s="2"/>
    </row>
    <row r="146" spans="5:86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D146" s="2"/>
      <c r="BG146" s="2"/>
      <c r="BJ146" s="2"/>
      <c r="BM146" s="2"/>
      <c r="BP146" s="2"/>
      <c r="BS146" s="2"/>
      <c r="BV146" s="2"/>
      <c r="BY146" s="2"/>
      <c r="CB146" s="2"/>
      <c r="CE146" s="2"/>
      <c r="CH146" s="2"/>
    </row>
    <row r="147" spans="5:86" x14ac:dyDescent="0.2"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  <c r="AU147" s="2"/>
      <c r="AX147" s="2"/>
      <c r="BA147" s="2"/>
      <c r="BD147" s="2"/>
      <c r="BG147" s="2"/>
      <c r="BJ147" s="2"/>
      <c r="BM147" s="2"/>
      <c r="BP147" s="2"/>
      <c r="BS147" s="2"/>
      <c r="BV147" s="2"/>
      <c r="BY147" s="2"/>
      <c r="CB147" s="2"/>
      <c r="CE147" s="2"/>
      <c r="CH147" s="2"/>
    </row>
    <row r="148" spans="5:86" x14ac:dyDescent="0.2"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  <c r="AU148" s="2"/>
      <c r="AX148" s="2"/>
      <c r="BA148" s="2"/>
      <c r="BD148" s="2"/>
      <c r="BG148" s="2"/>
      <c r="BJ148" s="2"/>
      <c r="BM148" s="2"/>
      <c r="BP148" s="2"/>
      <c r="BS148" s="2"/>
      <c r="BV148" s="2"/>
      <c r="BY148" s="2"/>
      <c r="CB148" s="2"/>
      <c r="CE148" s="2"/>
      <c r="CH148" s="2"/>
    </row>
    <row r="149" spans="5:86" x14ac:dyDescent="0.2"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  <c r="AU149" s="2"/>
      <c r="AX149" s="2"/>
      <c r="BA149" s="2"/>
      <c r="BD149" s="2"/>
      <c r="BG149" s="2"/>
      <c r="BJ149" s="2"/>
      <c r="BM149" s="2"/>
      <c r="BP149" s="2"/>
      <c r="BS149" s="2"/>
      <c r="BV149" s="2"/>
      <c r="BY149" s="2"/>
      <c r="CB149" s="2"/>
      <c r="CE149" s="2"/>
      <c r="CH149" s="2"/>
    </row>
    <row r="150" spans="5:86" x14ac:dyDescent="0.2">
      <c r="E150" s="2"/>
      <c r="H150" s="2"/>
      <c r="K150" s="2"/>
      <c r="N150" s="2"/>
      <c r="Q150" s="2"/>
      <c r="T150" s="2"/>
      <c r="W150" s="2"/>
      <c r="Z150" s="2"/>
      <c r="AC150" s="2"/>
      <c r="AF150" s="2"/>
      <c r="AI150" s="2"/>
      <c r="AL150" s="2"/>
      <c r="AO150" s="2"/>
      <c r="AR150" s="2"/>
      <c r="AU150" s="2"/>
      <c r="AX150" s="2"/>
      <c r="BA150" s="2"/>
      <c r="BD150" s="2"/>
      <c r="BG150" s="2"/>
      <c r="BJ150" s="2"/>
      <c r="BM150" s="2"/>
      <c r="BP150" s="2"/>
      <c r="BS150" s="2"/>
      <c r="BV150" s="2"/>
      <c r="BY150" s="2"/>
      <c r="CB150" s="2"/>
      <c r="CE150" s="2"/>
      <c r="CH150" s="2"/>
    </row>
    <row r="151" spans="5:86" x14ac:dyDescent="0.2">
      <c r="E151" s="2"/>
      <c r="H151" s="2"/>
      <c r="K151" s="2"/>
      <c r="N151" s="2"/>
      <c r="Q151" s="2"/>
      <c r="T151" s="2"/>
      <c r="W151" s="2"/>
      <c r="Z151" s="2"/>
      <c r="AC151" s="2"/>
      <c r="AF151" s="2"/>
      <c r="AI151" s="2"/>
      <c r="AL151" s="2"/>
      <c r="AO151" s="2"/>
      <c r="AR151" s="2"/>
      <c r="AU151" s="2"/>
      <c r="AX151" s="2"/>
      <c r="BA151" s="2"/>
      <c r="BD151" s="2"/>
      <c r="BG151" s="2"/>
      <c r="BJ151" s="2"/>
      <c r="BM151" s="2"/>
      <c r="BP151" s="2"/>
      <c r="BS151" s="2"/>
      <c r="BV151" s="2"/>
      <c r="BY151" s="2"/>
      <c r="CB151" s="2"/>
      <c r="CE151" s="2"/>
      <c r="CH151" s="2"/>
    </row>
  </sheetData>
  <mergeCells count="113">
    <mergeCell ref="BT1:BV1"/>
    <mergeCell ref="BW1:BY1"/>
    <mergeCell ref="BZ1:CB1"/>
    <mergeCell ref="CC1:CE1"/>
    <mergeCell ref="CF1:CH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AD1:AF1"/>
    <mergeCell ref="BH1:BJ1"/>
    <mergeCell ref="BK1:BM1"/>
    <mergeCell ref="BN1:BP1"/>
    <mergeCell ref="BT2:BU2"/>
    <mergeCell ref="BW2:BX2"/>
    <mergeCell ref="BZ2:CA2"/>
    <mergeCell ref="BT3:BU3"/>
    <mergeCell ref="BW3:BX3"/>
    <mergeCell ref="BZ3:CA3"/>
    <mergeCell ref="BQ1:BS1"/>
    <mergeCell ref="AM2:AN2"/>
    <mergeCell ref="AP2:AQ2"/>
    <mergeCell ref="BH2:BI2"/>
    <mergeCell ref="BK2:BL2"/>
    <mergeCell ref="BN2:BO2"/>
    <mergeCell ref="AD3:AE3"/>
    <mergeCell ref="AG3:AH3"/>
    <mergeCell ref="AJ3:AK3"/>
    <mergeCell ref="AS2:AT2"/>
    <mergeCell ref="AV2:AW2"/>
    <mergeCell ref="AY2:AZ2"/>
    <mergeCell ref="BB2:BC2"/>
    <mergeCell ref="BE2:BF2"/>
    <mergeCell ref="BT4:BU4"/>
    <mergeCell ref="BW4:BX4"/>
    <mergeCell ref="BZ4:CA4"/>
    <mergeCell ref="BQ3:BR3"/>
    <mergeCell ref="CC2:CD2"/>
    <mergeCell ref="CC3:CD3"/>
    <mergeCell ref="CC4:CD4"/>
    <mergeCell ref="CF2:CG2"/>
    <mergeCell ref="CF3:CG3"/>
    <mergeCell ref="CF4:CG4"/>
    <mergeCell ref="BQ2:BR2"/>
    <mergeCell ref="O2:P2"/>
    <mergeCell ref="R2:S2"/>
    <mergeCell ref="U2:V2"/>
    <mergeCell ref="X2:Y2"/>
    <mergeCell ref="AA2:AB2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2:AE2"/>
    <mergeCell ref="AG2:AH2"/>
    <mergeCell ref="AJ2:AK2"/>
    <mergeCell ref="BB3:BC3"/>
    <mergeCell ref="BE3:BF3"/>
    <mergeCell ref="BH3:BI3"/>
    <mergeCell ref="BK3:BL3"/>
    <mergeCell ref="BN3:BO3"/>
    <mergeCell ref="AM3:AN3"/>
    <mergeCell ref="AP3:AQ3"/>
    <mergeCell ref="AS3:AT3"/>
    <mergeCell ref="AV3:AW3"/>
    <mergeCell ref="AY3:AZ3"/>
    <mergeCell ref="R4:S4"/>
    <mergeCell ref="U4:V4"/>
    <mergeCell ref="X4:Y4"/>
    <mergeCell ref="AA4:AB4"/>
    <mergeCell ref="AD4:AE4"/>
    <mergeCell ref="C4:D4"/>
    <mergeCell ref="F4:G4"/>
    <mergeCell ref="I4:J4"/>
    <mergeCell ref="L4:M4"/>
    <mergeCell ref="O4:P4"/>
    <mergeCell ref="BK4:BL4"/>
    <mergeCell ref="BN4:BO4"/>
    <mergeCell ref="BQ4:BR4"/>
    <mergeCell ref="AV4:AW4"/>
    <mergeCell ref="AY4:AZ4"/>
    <mergeCell ref="BB4:BC4"/>
    <mergeCell ref="BE4:BF4"/>
    <mergeCell ref="BH4:BI4"/>
    <mergeCell ref="AG4:AH4"/>
    <mergeCell ref="AJ4:AK4"/>
    <mergeCell ref="AM4:AN4"/>
    <mergeCell ref="AP4:AQ4"/>
    <mergeCell ref="AS4:AT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474C-8002-4F82-AB8E-821D1EC3A162}">
  <dimension ref="A1:BM156"/>
  <sheetViews>
    <sheetView zoomScale="115" zoomScaleNormal="115" workbookViewId="0">
      <selection activeCell="G17" sqref="G17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0" customWidth="1"/>
    <col min="5" max="5" width="9" style="12"/>
    <col min="6" max="7" width="9" style="10" customWidth="1"/>
    <col min="8" max="8" width="9" style="12"/>
    <col min="9" max="10" width="9" style="10" customWidth="1"/>
    <col min="11" max="11" width="9" style="12"/>
    <col min="12" max="13" width="9" style="10" customWidth="1"/>
    <col min="14" max="14" width="9" style="12"/>
    <col min="15" max="15" width="9.5" style="10" customWidth="1"/>
    <col min="16" max="16" width="9" style="10" customWidth="1"/>
    <col min="17" max="17" width="9" style="12"/>
    <col min="18" max="19" width="9" style="10" customWidth="1"/>
    <col min="20" max="20" width="9" style="12"/>
    <col min="21" max="22" width="9" style="10" customWidth="1"/>
    <col min="23" max="23" width="9" style="12"/>
    <col min="24" max="24" width="9.5" style="10" customWidth="1"/>
    <col min="25" max="25" width="9" style="10" customWidth="1"/>
    <col min="26" max="26" width="9" style="12"/>
    <col min="27" max="28" width="9" style="10" customWidth="1"/>
    <col min="29" max="29" width="9" style="12"/>
    <col min="30" max="31" width="9" style="10" customWidth="1"/>
    <col min="32" max="32" width="9" style="12"/>
    <col min="33" max="34" width="9" style="10" customWidth="1"/>
    <col min="35" max="35" width="9" style="12"/>
    <col min="36" max="37" width="9" style="10" customWidth="1"/>
    <col min="38" max="38" width="9" style="12"/>
    <col min="39" max="40" width="9" style="10" customWidth="1"/>
    <col min="41" max="41" width="9" style="12"/>
    <col min="42" max="43" width="9" style="10" customWidth="1"/>
    <col min="44" max="44" width="9" style="12"/>
    <col min="45" max="46" width="9" style="10" customWidth="1"/>
    <col min="47" max="47" width="9" style="12"/>
    <col min="48" max="49" width="9" style="10" customWidth="1"/>
    <col min="50" max="50" width="9" style="12"/>
    <col min="51" max="52" width="9" style="10" customWidth="1"/>
    <col min="53" max="53" width="9" style="12"/>
    <col min="54" max="55" width="9" style="10" customWidth="1"/>
    <col min="56" max="56" width="9" style="12"/>
    <col min="57" max="58" width="9" style="10" customWidth="1"/>
    <col min="59" max="59" width="9" style="12"/>
    <col min="60" max="61" width="9" style="10" customWidth="1"/>
    <col min="62" max="62" width="9" style="12"/>
    <col min="63" max="64" width="9" style="10" customWidth="1"/>
    <col min="65" max="65" width="9" style="12"/>
    <col min="66" max="16384" width="9" style="10"/>
  </cols>
  <sheetData>
    <row r="1" spans="1:65" s="16" customFormat="1" x14ac:dyDescent="0.2">
      <c r="A1" s="22" t="s">
        <v>58</v>
      </c>
      <c r="B1" s="22"/>
      <c r="C1" s="21" t="s">
        <v>12</v>
      </c>
      <c r="D1" s="21"/>
      <c r="E1" s="21"/>
      <c r="F1" s="21" t="s">
        <v>19</v>
      </c>
      <c r="G1" s="21"/>
      <c r="H1" s="21"/>
      <c r="I1" s="21" t="s">
        <v>17</v>
      </c>
      <c r="J1" s="21"/>
      <c r="K1" s="21"/>
      <c r="L1" s="21" t="s">
        <v>10</v>
      </c>
      <c r="M1" s="21"/>
      <c r="N1" s="21"/>
      <c r="O1" s="21" t="s">
        <v>20</v>
      </c>
      <c r="P1" s="21"/>
      <c r="Q1" s="21"/>
      <c r="R1" s="21" t="s">
        <v>46</v>
      </c>
      <c r="S1" s="21"/>
      <c r="T1" s="21"/>
      <c r="U1" s="21" t="s">
        <v>28</v>
      </c>
      <c r="V1" s="21"/>
      <c r="W1" s="21"/>
      <c r="X1" s="21" t="s">
        <v>13</v>
      </c>
      <c r="Y1" s="21"/>
      <c r="Z1" s="21"/>
      <c r="AA1" s="21" t="s">
        <v>7</v>
      </c>
      <c r="AB1" s="21"/>
      <c r="AC1" s="21"/>
      <c r="AD1" s="21" t="s">
        <v>25</v>
      </c>
      <c r="AE1" s="21"/>
      <c r="AF1" s="21"/>
      <c r="AG1" s="21" t="s">
        <v>33</v>
      </c>
      <c r="AH1" s="21"/>
      <c r="AI1" s="21"/>
      <c r="AJ1" s="21" t="s">
        <v>6</v>
      </c>
      <c r="AK1" s="21"/>
      <c r="AL1" s="21"/>
      <c r="AM1" s="21" t="s">
        <v>41</v>
      </c>
      <c r="AN1" s="21"/>
      <c r="AO1" s="21"/>
      <c r="AP1" s="21" t="s">
        <v>16</v>
      </c>
      <c r="AQ1" s="21"/>
      <c r="AR1" s="21"/>
      <c r="AS1" s="21" t="s">
        <v>21</v>
      </c>
      <c r="AT1" s="21"/>
      <c r="AU1" s="21"/>
      <c r="AV1" s="21" t="s">
        <v>54</v>
      </c>
      <c r="AW1" s="21"/>
      <c r="AX1" s="21"/>
      <c r="AY1" s="21" t="s">
        <v>8</v>
      </c>
      <c r="AZ1" s="21"/>
      <c r="BA1" s="21"/>
      <c r="BB1" s="21" t="s">
        <v>22</v>
      </c>
      <c r="BC1" s="21"/>
      <c r="BD1" s="21"/>
      <c r="BE1" s="21" t="s">
        <v>34</v>
      </c>
      <c r="BF1" s="21"/>
      <c r="BG1" s="21"/>
      <c r="BH1" s="21" t="s">
        <v>53</v>
      </c>
      <c r="BI1" s="21"/>
      <c r="BJ1" s="21"/>
      <c r="BK1" s="21" t="s">
        <v>23</v>
      </c>
      <c r="BL1" s="21"/>
      <c r="BM1" s="21"/>
    </row>
    <row r="2" spans="1:65" x14ac:dyDescent="0.2">
      <c r="A2" s="1" t="s">
        <v>5</v>
      </c>
      <c r="B2" s="1">
        <f>SUM(C2:WW2)</f>
        <v>250</v>
      </c>
      <c r="C2" s="19" t="s">
        <v>5</v>
      </c>
      <c r="D2" s="19"/>
      <c r="E2" s="8">
        <f>COUNT(E6:E300)</f>
        <v>44</v>
      </c>
      <c r="F2" s="19" t="s">
        <v>5</v>
      </c>
      <c r="G2" s="19"/>
      <c r="H2" s="8">
        <f>COUNT(H6:H300)</f>
        <v>6</v>
      </c>
      <c r="I2" s="19" t="s">
        <v>5</v>
      </c>
      <c r="J2" s="19"/>
      <c r="K2" s="8">
        <f>COUNT(K6:K300)</f>
        <v>57</v>
      </c>
      <c r="L2" s="19" t="s">
        <v>5</v>
      </c>
      <c r="M2" s="19"/>
      <c r="N2" s="8">
        <f>COUNT(N6:N300)</f>
        <v>37</v>
      </c>
      <c r="O2" s="19" t="s">
        <v>5</v>
      </c>
      <c r="P2" s="19"/>
      <c r="Q2" s="8">
        <f>COUNT(Q6:Q300)</f>
        <v>22</v>
      </c>
      <c r="R2" s="19" t="s">
        <v>5</v>
      </c>
      <c r="S2" s="19"/>
      <c r="T2" s="8">
        <f>COUNT(T6:T300)</f>
        <v>7</v>
      </c>
      <c r="U2" s="19" t="s">
        <v>5</v>
      </c>
      <c r="V2" s="19"/>
      <c r="W2" s="8">
        <f>COUNT(W6:W300)</f>
        <v>2</v>
      </c>
      <c r="X2" s="19" t="s">
        <v>5</v>
      </c>
      <c r="Y2" s="19"/>
      <c r="Z2" s="8">
        <f>COUNT(Z6:Z300)</f>
        <v>1</v>
      </c>
      <c r="AA2" s="19" t="s">
        <v>5</v>
      </c>
      <c r="AB2" s="19"/>
      <c r="AC2" s="8">
        <f>COUNT(AC6:AC300)</f>
        <v>1</v>
      </c>
      <c r="AD2" s="19" t="s">
        <v>5</v>
      </c>
      <c r="AE2" s="19"/>
      <c r="AF2" s="8">
        <f>COUNT(AF6:AF300)</f>
        <v>4</v>
      </c>
      <c r="AG2" s="19" t="s">
        <v>5</v>
      </c>
      <c r="AH2" s="19"/>
      <c r="AI2" s="8">
        <f>COUNT(AI6:AI300)</f>
        <v>2</v>
      </c>
      <c r="AJ2" s="19" t="s">
        <v>5</v>
      </c>
      <c r="AK2" s="19"/>
      <c r="AL2" s="8">
        <f>COUNT(AL6:AL300)</f>
        <v>1</v>
      </c>
      <c r="AM2" s="19" t="s">
        <v>5</v>
      </c>
      <c r="AN2" s="19"/>
      <c r="AO2" s="8">
        <f>COUNT(AO6:AO300)</f>
        <v>1</v>
      </c>
      <c r="AP2" s="19" t="s">
        <v>5</v>
      </c>
      <c r="AQ2" s="19"/>
      <c r="AR2" s="8">
        <f>COUNT(AR6:AR300)</f>
        <v>3</v>
      </c>
      <c r="AS2" s="19" t="s">
        <v>5</v>
      </c>
      <c r="AT2" s="19"/>
      <c r="AU2" s="8">
        <f>COUNT(AU6:AU300)</f>
        <v>43</v>
      </c>
      <c r="AV2" s="19" t="s">
        <v>5</v>
      </c>
      <c r="AW2" s="19"/>
      <c r="AX2" s="8">
        <f>COUNT(AX6:AX300)</f>
        <v>1</v>
      </c>
      <c r="AY2" s="19" t="s">
        <v>5</v>
      </c>
      <c r="AZ2" s="19"/>
      <c r="BA2" s="8">
        <f>COUNT(BA6:BA300)</f>
        <v>4</v>
      </c>
      <c r="BB2" s="19" t="s">
        <v>5</v>
      </c>
      <c r="BC2" s="19"/>
      <c r="BD2" s="8">
        <f>COUNT(BD6:BD300)</f>
        <v>4</v>
      </c>
      <c r="BE2" s="19" t="s">
        <v>5</v>
      </c>
      <c r="BF2" s="19"/>
      <c r="BG2" s="8">
        <f>COUNT(BG6:BG300)</f>
        <v>7</v>
      </c>
      <c r="BH2" s="19" t="s">
        <v>5</v>
      </c>
      <c r="BI2" s="19"/>
      <c r="BJ2" s="8">
        <f>COUNT(BJ6:BJ300)</f>
        <v>1</v>
      </c>
      <c r="BK2" s="19" t="s">
        <v>5</v>
      </c>
      <c r="BL2" s="19"/>
      <c r="BM2" s="8">
        <f>COUNT(BM6:BM300)</f>
        <v>2</v>
      </c>
    </row>
    <row r="3" spans="1:65" x14ac:dyDescent="0.2">
      <c r="A3" s="1" t="s">
        <v>4</v>
      </c>
      <c r="B3" s="1">
        <f>SUM(C3:WW3)</f>
        <v>28.693600499079128</v>
      </c>
      <c r="C3" s="19" t="s">
        <v>4</v>
      </c>
      <c r="D3" s="19"/>
      <c r="E3" s="8">
        <f>SUM(E6:E300)</f>
        <v>3.3817037760018751</v>
      </c>
      <c r="F3" s="19" t="s">
        <v>4</v>
      </c>
      <c r="G3" s="19"/>
      <c r="H3" s="8">
        <f>SUM(H6:H300)</f>
        <v>0.69425160513875006</v>
      </c>
      <c r="I3" s="19" t="s">
        <v>4</v>
      </c>
      <c r="J3" s="19"/>
      <c r="K3" s="8">
        <f>SUM(K6:K300)</f>
        <v>3.8971868664212499</v>
      </c>
      <c r="L3" s="19" t="s">
        <v>4</v>
      </c>
      <c r="M3" s="19"/>
      <c r="N3" s="8">
        <f>SUM(N6:N300)</f>
        <v>2.494339118226625</v>
      </c>
      <c r="O3" s="19" t="s">
        <v>4</v>
      </c>
      <c r="P3" s="19"/>
      <c r="Q3" s="8">
        <f>SUM(Q6:Q300)</f>
        <v>7.2520430462725001</v>
      </c>
      <c r="R3" s="19" t="s">
        <v>4</v>
      </c>
      <c r="S3" s="19"/>
      <c r="T3" s="8">
        <f>SUM(T6:T300)</f>
        <v>0.55963153422562506</v>
      </c>
      <c r="U3" s="19" t="s">
        <v>4</v>
      </c>
      <c r="V3" s="19"/>
      <c r="W3" s="8">
        <f>SUM(W6:W300)</f>
        <v>8.779976632E-2</v>
      </c>
      <c r="X3" s="19" t="s">
        <v>4</v>
      </c>
      <c r="Y3" s="19"/>
      <c r="Z3" s="8">
        <f>SUM(Z6:Z300)</f>
        <v>4.10922326745</v>
      </c>
      <c r="AA3" s="19" t="s">
        <v>4</v>
      </c>
      <c r="AB3" s="19"/>
      <c r="AC3" s="8">
        <f>SUM(AC6:AC300)</f>
        <v>4.6392218705000002E-2</v>
      </c>
      <c r="AD3" s="19" t="s">
        <v>4</v>
      </c>
      <c r="AE3" s="19"/>
      <c r="AF3" s="8">
        <f>SUM(AF6:AF300)</f>
        <v>8.4665128583749999E-2</v>
      </c>
      <c r="AG3" s="19" t="s">
        <v>4</v>
      </c>
      <c r="AH3" s="19"/>
      <c r="AI3" s="8">
        <f>SUM(AI6:AI300)</f>
        <v>5.0453772743125E-2</v>
      </c>
      <c r="AJ3" s="19" t="s">
        <v>4</v>
      </c>
      <c r="AK3" s="19"/>
      <c r="AL3" s="8">
        <f>SUM(AL6:AL300)</f>
        <v>0.15831538376937501</v>
      </c>
      <c r="AM3" s="19" t="s">
        <v>4</v>
      </c>
      <c r="AN3" s="19"/>
      <c r="AO3" s="8">
        <f>SUM(AO6:AO300)</f>
        <v>4.8255215602499991E-2</v>
      </c>
      <c r="AP3" s="19" t="s">
        <v>4</v>
      </c>
      <c r="AQ3" s="19"/>
      <c r="AR3" s="8">
        <f>SUM(AR6:AR300)</f>
        <v>1.1470712119374999</v>
      </c>
      <c r="AS3" s="19" t="s">
        <v>4</v>
      </c>
      <c r="AT3" s="19"/>
      <c r="AU3" s="8">
        <f>SUM(AU6:AU300)</f>
        <v>2.8266700464599999</v>
      </c>
      <c r="AV3" s="19" t="s">
        <v>4</v>
      </c>
      <c r="AW3" s="19"/>
      <c r="AX3" s="8">
        <f>SUM(AX6:AX300)</f>
        <v>5.0121529920000005E-2</v>
      </c>
      <c r="AY3" s="19" t="s">
        <v>4</v>
      </c>
      <c r="AZ3" s="19"/>
      <c r="BA3" s="8">
        <f>SUM(BA6:BA300)</f>
        <v>0.48117318900125006</v>
      </c>
      <c r="BB3" s="19" t="s">
        <v>4</v>
      </c>
      <c r="BC3" s="19"/>
      <c r="BD3" s="8">
        <f>SUM(BD6:BD300)</f>
        <v>0.34577440217249999</v>
      </c>
      <c r="BE3" s="19" t="s">
        <v>4</v>
      </c>
      <c r="BF3" s="19"/>
      <c r="BG3" s="8">
        <f>SUM(BG6:BG300)</f>
        <v>0.85748100885875</v>
      </c>
      <c r="BH3" s="19" t="s">
        <v>4</v>
      </c>
      <c r="BI3" s="19"/>
      <c r="BJ3" s="8">
        <f>SUM(BJ6:BJ300)</f>
        <v>6.6336340061249999E-2</v>
      </c>
      <c r="BK3" s="19" t="s">
        <v>4</v>
      </c>
      <c r="BL3" s="19"/>
      <c r="BM3" s="8">
        <f>SUM(BM6:BM300)</f>
        <v>5.4712071207500004E-2</v>
      </c>
    </row>
    <row r="4" spans="1:65" x14ac:dyDescent="0.2">
      <c r="A4" s="1"/>
      <c r="B4" s="1"/>
      <c r="C4" s="19" t="s">
        <v>3</v>
      </c>
      <c r="D4" s="19"/>
      <c r="E4" s="8">
        <f>AVERAGE(E6:E300)</f>
        <v>7.6856904000042622E-2</v>
      </c>
      <c r="F4" s="19" t="s">
        <v>3</v>
      </c>
      <c r="G4" s="19"/>
      <c r="H4" s="8">
        <f>AVERAGE(H6:H300)</f>
        <v>0.11570860085645834</v>
      </c>
      <c r="I4" s="19" t="s">
        <v>3</v>
      </c>
      <c r="J4" s="19"/>
      <c r="K4" s="8">
        <f>AVERAGE(K6:K300)</f>
        <v>6.8371699410899114E-2</v>
      </c>
      <c r="L4" s="19" t="s">
        <v>3</v>
      </c>
      <c r="M4" s="19"/>
      <c r="N4" s="8">
        <f>AVERAGE(N6:N300)</f>
        <v>6.7414570762881751E-2</v>
      </c>
      <c r="O4" s="19" t="s">
        <v>3</v>
      </c>
      <c r="P4" s="19"/>
      <c r="Q4" s="8">
        <f>AVERAGE(Q6:Q300)</f>
        <v>0.32963832028511364</v>
      </c>
      <c r="R4" s="19" t="s">
        <v>3</v>
      </c>
      <c r="S4" s="19"/>
      <c r="T4" s="8">
        <f>AVERAGE(T6:T300)</f>
        <v>7.9947362032232155E-2</v>
      </c>
      <c r="U4" s="19" t="s">
        <v>3</v>
      </c>
      <c r="V4" s="19"/>
      <c r="W4" s="8">
        <f>AVERAGE(W6:W300)</f>
        <v>4.389988316E-2</v>
      </c>
      <c r="X4" s="19" t="s">
        <v>3</v>
      </c>
      <c r="Y4" s="19"/>
      <c r="Z4" s="8">
        <f>AVERAGE(Z6:Z300)</f>
        <v>4.10922326745</v>
      </c>
      <c r="AA4" s="19" t="s">
        <v>3</v>
      </c>
      <c r="AB4" s="19"/>
      <c r="AC4" s="8">
        <f>AVERAGE(AC6:AC300)</f>
        <v>4.6392218705000002E-2</v>
      </c>
      <c r="AD4" s="19" t="s">
        <v>3</v>
      </c>
      <c r="AE4" s="19"/>
      <c r="AF4" s="8">
        <f>AVERAGE(AF6:AF300)</f>
        <v>2.11662821459375E-2</v>
      </c>
      <c r="AG4" s="19" t="s">
        <v>3</v>
      </c>
      <c r="AH4" s="19"/>
      <c r="AI4" s="8">
        <f>AVERAGE(AI6:AI300)</f>
        <v>2.52268863715625E-2</v>
      </c>
      <c r="AJ4" s="19" t="s">
        <v>3</v>
      </c>
      <c r="AK4" s="19"/>
      <c r="AL4" s="8">
        <f>AVERAGE(AL6:AL300)</f>
        <v>0.15831538376937501</v>
      </c>
      <c r="AM4" s="19" t="s">
        <v>3</v>
      </c>
      <c r="AN4" s="19"/>
      <c r="AO4" s="8">
        <f>AVERAGE(AO6:AO300)</f>
        <v>4.8255215602499991E-2</v>
      </c>
      <c r="AP4" s="19" t="s">
        <v>3</v>
      </c>
      <c r="AQ4" s="19"/>
      <c r="AR4" s="8">
        <f>AVERAGE(AR6:AR300)</f>
        <v>0.3823570706458333</v>
      </c>
      <c r="AS4" s="19" t="s">
        <v>3</v>
      </c>
      <c r="AT4" s="19"/>
      <c r="AU4" s="8">
        <f>AVERAGE(AU6:AU300)</f>
        <v>6.5736512708372094E-2</v>
      </c>
      <c r="AV4" s="19" t="s">
        <v>3</v>
      </c>
      <c r="AW4" s="19"/>
      <c r="AX4" s="8">
        <f>AVERAGE(AX6:AX300)</f>
        <v>5.0121529920000005E-2</v>
      </c>
      <c r="AY4" s="19" t="s">
        <v>3</v>
      </c>
      <c r="AZ4" s="19"/>
      <c r="BA4" s="8">
        <f>AVERAGE(BA6:BA300)</f>
        <v>0.12029329725031251</v>
      </c>
      <c r="BB4" s="19" t="s">
        <v>3</v>
      </c>
      <c r="BC4" s="19"/>
      <c r="BD4" s="8">
        <f>AVERAGE(BD6:BD300)</f>
        <v>8.6443600543124999E-2</v>
      </c>
      <c r="BE4" s="19" t="s">
        <v>3</v>
      </c>
      <c r="BF4" s="19"/>
      <c r="BG4" s="8">
        <f>AVERAGE(BG6:BG300)</f>
        <v>0.12249728697982143</v>
      </c>
      <c r="BH4" s="19" t="s">
        <v>3</v>
      </c>
      <c r="BI4" s="19"/>
      <c r="BJ4" s="8">
        <f>AVERAGE(BJ6:BJ300)</f>
        <v>6.6336340061249999E-2</v>
      </c>
      <c r="BK4" s="19" t="s">
        <v>3</v>
      </c>
      <c r="BL4" s="19"/>
      <c r="BM4" s="8">
        <f>AVERAGE(BM6:BM300)</f>
        <v>2.7356035603750002E-2</v>
      </c>
    </row>
    <row r="5" spans="1:65" x14ac:dyDescent="0.2">
      <c r="A5" s="1"/>
      <c r="B5" s="1"/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  <c r="BK5" s="8" t="s">
        <v>2</v>
      </c>
      <c r="BL5" s="8" t="s">
        <v>1</v>
      </c>
      <c r="BM5" s="8" t="s">
        <v>0</v>
      </c>
    </row>
    <row r="6" spans="1:65" x14ac:dyDescent="0.2">
      <c r="C6" s="11">
        <v>307.91000000000003</v>
      </c>
      <c r="D6" s="11">
        <v>14.8</v>
      </c>
      <c r="E6" s="9">
        <f t="shared" ref="E6:E37" si="0">(C6*D6*D6)/1600000</f>
        <v>4.2152879000000004E-2</v>
      </c>
      <c r="F6" s="11">
        <v>558.55999999999995</v>
      </c>
      <c r="G6" s="11">
        <v>17.350000000000001</v>
      </c>
      <c r="H6" s="9">
        <f t="shared" ref="H6:H11" si="1">(F6*G6*G6)/1600000</f>
        <v>0.10508695475</v>
      </c>
      <c r="I6" s="11">
        <v>322.61</v>
      </c>
      <c r="J6" s="11">
        <v>17.13</v>
      </c>
      <c r="K6" s="9">
        <f t="shared" ref="K6:K37" si="2">(I6*J6*J6)/1600000</f>
        <v>5.9166048943124994E-2</v>
      </c>
      <c r="L6" s="11">
        <v>380.01</v>
      </c>
      <c r="M6" s="11">
        <v>16.420000000000002</v>
      </c>
      <c r="N6" s="9">
        <f t="shared" ref="N6:N37" si="3">(L6*M6*M6)/1600000</f>
        <v>6.4035580102500017E-2</v>
      </c>
      <c r="O6" s="11">
        <v>337.01</v>
      </c>
      <c r="P6" s="11">
        <v>15.54</v>
      </c>
      <c r="Q6" s="9">
        <f t="shared" ref="Q6:Q27" si="4">(O6*P6*P6)/1600000</f>
        <v>5.086567757249999E-2</v>
      </c>
      <c r="R6" s="11">
        <v>600.11</v>
      </c>
      <c r="S6" s="11">
        <v>26.71</v>
      </c>
      <c r="T6" s="9">
        <f t="shared" ref="T6:T12" si="5">(R6*S6*S6)/1600000</f>
        <v>0.26758308540687503</v>
      </c>
      <c r="U6" s="11">
        <v>307.87</v>
      </c>
      <c r="V6" s="11">
        <v>16.48</v>
      </c>
      <c r="W6" s="9">
        <f t="shared" ref="W6:W7" si="6">(U6*V6*V6)/1600000</f>
        <v>5.2259085280000006E-2</v>
      </c>
      <c r="X6" s="11">
        <v>1695.05</v>
      </c>
      <c r="Y6" s="11">
        <v>62.28</v>
      </c>
      <c r="Z6" s="9">
        <f t="shared" ref="Z6" si="7">(X6*Y6*Y6)/1600000</f>
        <v>4.10922326745</v>
      </c>
      <c r="AA6" s="11">
        <v>345.38</v>
      </c>
      <c r="AB6" s="11">
        <v>14.66</v>
      </c>
      <c r="AC6" s="9">
        <f t="shared" ref="AC6" si="8">(AA6*AB6*AB6)/1600000</f>
        <v>4.6392218705000002E-2</v>
      </c>
      <c r="AD6" s="11">
        <v>191.58</v>
      </c>
      <c r="AE6" s="11">
        <v>9.2899999999999991</v>
      </c>
      <c r="AF6" s="9">
        <f t="shared" ref="AF6:AF9" si="9">(AD6*AE6*AE6)/1600000</f>
        <v>1.0333837173749999E-2</v>
      </c>
      <c r="AG6" s="11">
        <v>225.17</v>
      </c>
      <c r="AH6" s="11">
        <v>13.05</v>
      </c>
      <c r="AI6" s="9">
        <f t="shared" ref="AI6:AI7" si="10">(AG6*AH6*AH6)/1600000</f>
        <v>2.3966883703125001E-2</v>
      </c>
      <c r="AJ6" s="11">
        <v>477.59</v>
      </c>
      <c r="AK6" s="11">
        <v>23.03</v>
      </c>
      <c r="AL6" s="9">
        <f t="shared" ref="AL6" si="11">(AJ6*AK6*AK6)/1600000</f>
        <v>0.15831538376937501</v>
      </c>
      <c r="AM6" s="11">
        <v>358.76</v>
      </c>
      <c r="AN6" s="11">
        <v>14.67</v>
      </c>
      <c r="AO6" s="9">
        <f t="shared" ref="AO6" si="12">(AM6*AN6*AN6)/1600000</f>
        <v>4.8255215602499991E-2</v>
      </c>
      <c r="AP6" s="11">
        <v>647.04</v>
      </c>
      <c r="AQ6" s="11">
        <v>29.69</v>
      </c>
      <c r="AR6" s="9">
        <f t="shared" ref="AR6:AR8" si="13">(AP6*AQ6*AQ6)/1600000</f>
        <v>0.35647702284000005</v>
      </c>
      <c r="AS6" s="11">
        <v>264.82</v>
      </c>
      <c r="AT6" s="11">
        <v>10.69</v>
      </c>
      <c r="AU6" s="9">
        <f t="shared" ref="AU6:AU37" si="14">(AS6*AT6*AT6)/1600000</f>
        <v>1.8914123001250002E-2</v>
      </c>
      <c r="AV6" s="11">
        <v>319.62</v>
      </c>
      <c r="AW6" s="11">
        <v>15.84</v>
      </c>
      <c r="AX6" s="9">
        <f t="shared" ref="AX6" si="15">(AV6*AW6*AW6)/1600000</f>
        <v>5.0121529920000005E-2</v>
      </c>
      <c r="AY6" s="11">
        <v>530.27</v>
      </c>
      <c r="AZ6" s="11">
        <v>19.09</v>
      </c>
      <c r="BA6" s="9">
        <f t="shared" ref="BA6:BA9" si="16">(AY6*AZ6*AZ6)/1600000</f>
        <v>0.12077830536687499</v>
      </c>
      <c r="BB6" s="11">
        <v>313.81</v>
      </c>
      <c r="BC6" s="11">
        <v>19.96</v>
      </c>
      <c r="BD6" s="9">
        <f t="shared" ref="BD6:BD9" si="17">(BB6*BC6*BC6)/1600000</f>
        <v>7.813900381000001E-2</v>
      </c>
      <c r="BE6" s="11">
        <v>333.59</v>
      </c>
      <c r="BF6" s="11">
        <v>15.6</v>
      </c>
      <c r="BG6" s="9">
        <f t="shared" ref="BG6:BG12" si="18">(BE6*BF6*BF6)/1600000</f>
        <v>5.0739038999999993E-2</v>
      </c>
      <c r="BH6" s="11">
        <v>288.82</v>
      </c>
      <c r="BI6" s="11">
        <v>19.170000000000002</v>
      </c>
      <c r="BJ6" s="9">
        <f t="shared" ref="BJ6" si="19">(BH6*BI6*BI6)/1600000</f>
        <v>6.6336340061249999E-2</v>
      </c>
      <c r="BK6" s="11">
        <v>361.26</v>
      </c>
      <c r="BL6" s="11">
        <v>13.09</v>
      </c>
      <c r="BM6" s="9">
        <f t="shared" ref="BM6:BM7" si="20">(BK6*BL6*BL6)/1600000</f>
        <v>3.8688259128749999E-2</v>
      </c>
    </row>
    <row r="7" spans="1:65" x14ac:dyDescent="0.2">
      <c r="C7" s="11">
        <v>299.12</v>
      </c>
      <c r="D7" s="11">
        <v>18.440000000000001</v>
      </c>
      <c r="E7" s="9">
        <f t="shared" si="0"/>
        <v>6.3569281520000007E-2</v>
      </c>
      <c r="F7" s="11">
        <v>556.26</v>
      </c>
      <c r="G7" s="11">
        <v>20</v>
      </c>
      <c r="H7" s="9">
        <f t="shared" si="1"/>
        <v>0.13906499999999999</v>
      </c>
      <c r="I7" s="11">
        <v>356.16</v>
      </c>
      <c r="J7" s="11">
        <v>14.94</v>
      </c>
      <c r="K7" s="9">
        <f t="shared" si="2"/>
        <v>4.9685121360000001E-2</v>
      </c>
      <c r="L7" s="11">
        <v>387.65</v>
      </c>
      <c r="M7" s="11">
        <v>16.84</v>
      </c>
      <c r="N7" s="9">
        <f t="shared" si="3"/>
        <v>6.8707473650000003E-2</v>
      </c>
      <c r="O7" s="11">
        <v>659.98</v>
      </c>
      <c r="P7" s="11">
        <v>21.17</v>
      </c>
      <c r="Q7" s="9">
        <f t="shared" si="4"/>
        <v>0.18486406913875003</v>
      </c>
      <c r="R7" s="11">
        <v>344.68</v>
      </c>
      <c r="S7" s="11">
        <v>16.53</v>
      </c>
      <c r="T7" s="9">
        <f t="shared" si="5"/>
        <v>5.886292088250001E-2</v>
      </c>
      <c r="U7" s="11">
        <v>303.86</v>
      </c>
      <c r="V7" s="11">
        <v>13.68</v>
      </c>
      <c r="W7" s="9">
        <f t="shared" si="6"/>
        <v>3.5540681040000001E-2</v>
      </c>
      <c r="X7" s="11"/>
      <c r="Y7" s="11"/>
      <c r="Z7" s="9"/>
      <c r="AA7" s="11"/>
      <c r="AB7" s="11"/>
      <c r="AC7" s="9"/>
      <c r="AD7" s="11">
        <v>304.02</v>
      </c>
      <c r="AE7" s="11">
        <v>10.94</v>
      </c>
      <c r="AF7" s="9">
        <f t="shared" si="9"/>
        <v>2.2741380044999995E-2</v>
      </c>
      <c r="AG7" s="11">
        <v>212.56</v>
      </c>
      <c r="AH7" s="11">
        <v>14.12</v>
      </c>
      <c r="AI7" s="9">
        <f t="shared" si="10"/>
        <v>2.6486889039999996E-2</v>
      </c>
      <c r="AJ7" s="11"/>
      <c r="AK7" s="11"/>
      <c r="AL7" s="9"/>
      <c r="AM7" s="11"/>
      <c r="AN7" s="11"/>
      <c r="AO7" s="9"/>
      <c r="AP7" s="11">
        <v>717.28</v>
      </c>
      <c r="AQ7" s="11">
        <v>35.92</v>
      </c>
      <c r="AR7" s="9">
        <f t="shared" si="13"/>
        <v>0.57841746112000003</v>
      </c>
      <c r="AS7" s="11">
        <v>371.56</v>
      </c>
      <c r="AT7" s="11">
        <v>15.24</v>
      </c>
      <c r="AU7" s="9">
        <f t="shared" si="14"/>
        <v>5.3936021160000007E-2</v>
      </c>
      <c r="AV7" s="11"/>
      <c r="AW7" s="11"/>
      <c r="AX7" s="9"/>
      <c r="AY7" s="11">
        <v>665.45</v>
      </c>
      <c r="AZ7" s="11">
        <v>21.19</v>
      </c>
      <c r="BA7" s="9">
        <f t="shared" si="16"/>
        <v>0.18674860234062504</v>
      </c>
      <c r="BB7" s="11">
        <v>238.01</v>
      </c>
      <c r="BC7" s="11">
        <v>16.66</v>
      </c>
      <c r="BD7" s="9">
        <f t="shared" si="17"/>
        <v>4.1288130222500004E-2</v>
      </c>
      <c r="BE7" s="11">
        <v>470.23</v>
      </c>
      <c r="BF7" s="11">
        <v>16.100000000000001</v>
      </c>
      <c r="BG7" s="9">
        <f t="shared" si="18"/>
        <v>7.6180198937500013E-2</v>
      </c>
      <c r="BH7" s="11"/>
      <c r="BI7" s="11"/>
      <c r="BJ7" s="9"/>
      <c r="BK7" s="11">
        <v>208.46</v>
      </c>
      <c r="BL7" s="11">
        <v>11.09</v>
      </c>
      <c r="BM7" s="9">
        <f t="shared" si="20"/>
        <v>1.6023812078750001E-2</v>
      </c>
    </row>
    <row r="8" spans="1:65" x14ac:dyDescent="0.2">
      <c r="C8" s="11">
        <v>461.63</v>
      </c>
      <c r="D8" s="11">
        <v>28.4</v>
      </c>
      <c r="E8" s="9">
        <f t="shared" si="0"/>
        <v>0.23270768299999997</v>
      </c>
      <c r="F8" s="11">
        <v>427.83</v>
      </c>
      <c r="G8" s="11">
        <v>21.01</v>
      </c>
      <c r="H8" s="9">
        <f t="shared" si="1"/>
        <v>0.118032975864375</v>
      </c>
      <c r="I8" s="11">
        <v>297.02999999999997</v>
      </c>
      <c r="J8" s="11">
        <v>18.079999999999998</v>
      </c>
      <c r="K8" s="9">
        <f t="shared" si="2"/>
        <v>6.068441711999998E-2</v>
      </c>
      <c r="L8" s="11">
        <v>359.48</v>
      </c>
      <c r="M8" s="11">
        <v>15.89</v>
      </c>
      <c r="N8" s="9">
        <f t="shared" si="3"/>
        <v>5.6728662567500004E-2</v>
      </c>
      <c r="O8" s="11">
        <v>468</v>
      </c>
      <c r="P8" s="11">
        <v>19.079999999999998</v>
      </c>
      <c r="Q8" s="9">
        <f t="shared" si="4"/>
        <v>0.10648357199999997</v>
      </c>
      <c r="R8" s="11">
        <v>319.61</v>
      </c>
      <c r="S8" s="11">
        <v>17.899999999999999</v>
      </c>
      <c r="T8" s="9">
        <f t="shared" si="5"/>
        <v>6.4003900062499994E-2</v>
      </c>
      <c r="U8" s="11"/>
      <c r="V8" s="11"/>
      <c r="W8" s="9"/>
      <c r="X8" s="11"/>
      <c r="Y8" s="11"/>
      <c r="Z8" s="9"/>
      <c r="AA8" s="11"/>
      <c r="AB8" s="11"/>
      <c r="AC8" s="9"/>
      <c r="AD8" s="11">
        <v>272.64</v>
      </c>
      <c r="AE8" s="11">
        <v>11.14</v>
      </c>
      <c r="AF8" s="9">
        <f t="shared" si="9"/>
        <v>2.1146571840000003E-2</v>
      </c>
      <c r="AG8" s="11"/>
      <c r="AH8" s="11"/>
      <c r="AI8" s="9"/>
      <c r="AJ8" s="11"/>
      <c r="AK8" s="11"/>
      <c r="AL8" s="9"/>
      <c r="AM8" s="11"/>
      <c r="AN8" s="11"/>
      <c r="AO8" s="9"/>
      <c r="AP8" s="11">
        <v>512.39</v>
      </c>
      <c r="AQ8" s="11">
        <v>25.74</v>
      </c>
      <c r="AR8" s="9">
        <f t="shared" si="13"/>
        <v>0.21217672797749998</v>
      </c>
      <c r="AS8" s="11">
        <v>341.86</v>
      </c>
      <c r="AT8" s="11">
        <v>12.3</v>
      </c>
      <c r="AU8" s="9">
        <f t="shared" si="14"/>
        <v>3.2324999625000003E-2</v>
      </c>
      <c r="AV8" s="11"/>
      <c r="AW8" s="11"/>
      <c r="AX8" s="9"/>
      <c r="AY8" s="11">
        <v>695.65</v>
      </c>
      <c r="AZ8" s="11">
        <v>17.57</v>
      </c>
      <c r="BA8" s="9">
        <f t="shared" si="16"/>
        <v>0.134219102303125</v>
      </c>
      <c r="BB8" s="11">
        <v>378.06</v>
      </c>
      <c r="BC8" s="11">
        <v>29.64</v>
      </c>
      <c r="BD8" s="9">
        <f t="shared" si="17"/>
        <v>0.20758556286000002</v>
      </c>
      <c r="BE8" s="11">
        <v>648.78</v>
      </c>
      <c r="BF8" s="11">
        <v>20.39</v>
      </c>
      <c r="BG8" s="9">
        <f t="shared" si="18"/>
        <v>0.16858227964875</v>
      </c>
      <c r="BH8" s="11"/>
      <c r="BI8" s="11"/>
      <c r="BJ8" s="9"/>
      <c r="BK8" s="11"/>
      <c r="BL8" s="11"/>
      <c r="BM8" s="9"/>
    </row>
    <row r="9" spans="1:65" x14ac:dyDescent="0.2">
      <c r="C9" s="11">
        <v>320.17</v>
      </c>
      <c r="D9" s="11">
        <v>18.63</v>
      </c>
      <c r="E9" s="9">
        <f t="shared" si="0"/>
        <v>6.9452256920624997E-2</v>
      </c>
      <c r="F9" s="11">
        <v>429.63</v>
      </c>
      <c r="G9" s="11">
        <v>16.2</v>
      </c>
      <c r="H9" s="9">
        <f t="shared" si="1"/>
        <v>7.0470060749999994E-2</v>
      </c>
      <c r="I9" s="11">
        <v>415.67</v>
      </c>
      <c r="J9" s="11">
        <v>18.28</v>
      </c>
      <c r="K9" s="9">
        <f t="shared" si="2"/>
        <v>8.6812263830000014E-2</v>
      </c>
      <c r="L9" s="11">
        <v>362.16</v>
      </c>
      <c r="M9" s="11">
        <v>17.850000000000001</v>
      </c>
      <c r="N9" s="9">
        <f t="shared" si="3"/>
        <v>7.2120202875000025E-2</v>
      </c>
      <c r="O9" s="11">
        <v>536.14</v>
      </c>
      <c r="P9" s="11">
        <v>20.5</v>
      </c>
      <c r="Q9" s="9">
        <f t="shared" si="4"/>
        <v>0.14082052187499999</v>
      </c>
      <c r="R9" s="11">
        <v>205.07</v>
      </c>
      <c r="S9" s="11">
        <v>14.12</v>
      </c>
      <c r="T9" s="9">
        <f t="shared" si="5"/>
        <v>2.5553567629999992E-2</v>
      </c>
      <c r="U9" s="11"/>
      <c r="V9" s="11"/>
      <c r="W9" s="9"/>
      <c r="X9" s="11"/>
      <c r="Y9" s="11"/>
      <c r="Z9" s="9"/>
      <c r="AA9" s="11"/>
      <c r="AB9" s="11"/>
      <c r="AC9" s="9"/>
      <c r="AD9" s="11">
        <v>290.89999999999998</v>
      </c>
      <c r="AE9" s="11">
        <v>12.94</v>
      </c>
      <c r="AF9" s="9">
        <f t="shared" si="9"/>
        <v>3.0443339524999998E-2</v>
      </c>
      <c r="AG9" s="11"/>
      <c r="AH9" s="11"/>
      <c r="AI9" s="9"/>
      <c r="AJ9" s="11"/>
      <c r="AK9" s="11"/>
      <c r="AL9" s="9"/>
      <c r="AM9" s="11"/>
      <c r="AN9" s="11"/>
      <c r="AO9" s="9"/>
      <c r="AP9" s="11"/>
      <c r="AQ9" s="11"/>
      <c r="AR9" s="9"/>
      <c r="AS9" s="11">
        <v>152.82</v>
      </c>
      <c r="AT9" s="11">
        <v>11.47</v>
      </c>
      <c r="AU9" s="9">
        <f t="shared" si="14"/>
        <v>1.2565710461250001E-2</v>
      </c>
      <c r="AV9" s="11"/>
      <c r="AW9" s="11"/>
      <c r="AX9" s="9"/>
      <c r="AY9" s="11">
        <v>373.85</v>
      </c>
      <c r="AZ9" s="11">
        <v>12.99</v>
      </c>
      <c r="BA9" s="9">
        <f t="shared" si="16"/>
        <v>3.9427178990625006E-2</v>
      </c>
      <c r="BB9" s="11">
        <v>182.08</v>
      </c>
      <c r="BC9" s="11">
        <v>12.84</v>
      </c>
      <c r="BD9" s="9">
        <f t="shared" si="17"/>
        <v>1.8761705280000002E-2</v>
      </c>
      <c r="BE9" s="11">
        <v>488.11</v>
      </c>
      <c r="BF9" s="11">
        <v>33.93</v>
      </c>
      <c r="BG9" s="9">
        <f t="shared" si="18"/>
        <v>0.35120884258687496</v>
      </c>
      <c r="BH9" s="11"/>
      <c r="BI9" s="11"/>
      <c r="BJ9" s="9"/>
      <c r="BK9" s="11"/>
      <c r="BL9" s="11"/>
      <c r="BM9" s="9"/>
    </row>
    <row r="10" spans="1:65" x14ac:dyDescent="0.2">
      <c r="C10" s="11">
        <v>366.43</v>
      </c>
      <c r="D10" s="11">
        <v>21.33</v>
      </c>
      <c r="E10" s="9">
        <f t="shared" si="0"/>
        <v>0.10419640876687497</v>
      </c>
      <c r="F10" s="11">
        <v>492.3</v>
      </c>
      <c r="G10" s="11">
        <v>20.23</v>
      </c>
      <c r="H10" s="9">
        <f t="shared" si="1"/>
        <v>0.12592200166875001</v>
      </c>
      <c r="I10" s="11">
        <v>496.3</v>
      </c>
      <c r="J10" s="11">
        <v>16.12</v>
      </c>
      <c r="K10" s="9">
        <f t="shared" si="2"/>
        <v>8.0603586700000021E-2</v>
      </c>
      <c r="L10" s="11">
        <v>425.05</v>
      </c>
      <c r="M10" s="11">
        <v>17.059999999999999</v>
      </c>
      <c r="N10" s="9">
        <f t="shared" si="3"/>
        <v>7.73175513625E-2</v>
      </c>
      <c r="O10" s="11">
        <v>473.13</v>
      </c>
      <c r="P10" s="11">
        <v>16.3</v>
      </c>
      <c r="Q10" s="9">
        <f t="shared" si="4"/>
        <v>7.8566193562499997E-2</v>
      </c>
      <c r="R10" s="11">
        <v>217.99</v>
      </c>
      <c r="S10" s="11">
        <v>16.47</v>
      </c>
      <c r="T10" s="9">
        <f t="shared" si="5"/>
        <v>3.6957602244374992E-2</v>
      </c>
      <c r="U10" s="11"/>
      <c r="V10" s="11"/>
      <c r="W10" s="9"/>
      <c r="X10" s="11"/>
      <c r="Y10" s="11"/>
      <c r="Z10" s="9"/>
      <c r="AA10" s="11"/>
      <c r="AB10" s="11"/>
      <c r="AC10" s="9"/>
      <c r="AD10" s="11"/>
      <c r="AE10" s="11"/>
      <c r="AF10" s="9"/>
      <c r="AG10" s="11"/>
      <c r="AH10" s="11"/>
      <c r="AI10" s="9"/>
      <c r="AJ10" s="11"/>
      <c r="AK10" s="11"/>
      <c r="AL10" s="9"/>
      <c r="AM10" s="11"/>
      <c r="AN10" s="11"/>
      <c r="AO10" s="9"/>
      <c r="AP10" s="11"/>
      <c r="AQ10" s="11"/>
      <c r="AR10" s="9"/>
      <c r="AS10" s="11">
        <v>316.17</v>
      </c>
      <c r="AT10" s="11">
        <v>15.03</v>
      </c>
      <c r="AU10" s="9">
        <f t="shared" si="14"/>
        <v>4.4639429720625005E-2</v>
      </c>
      <c r="AV10" s="11"/>
      <c r="AW10" s="11"/>
      <c r="AX10" s="9"/>
      <c r="AY10" s="11"/>
      <c r="AZ10" s="11"/>
      <c r="BA10" s="9"/>
      <c r="BB10" s="11"/>
      <c r="BC10" s="11"/>
      <c r="BD10" s="9"/>
      <c r="BE10" s="11">
        <v>393.58</v>
      </c>
      <c r="BF10" s="11">
        <v>13.86</v>
      </c>
      <c r="BG10" s="9">
        <f t="shared" si="18"/>
        <v>4.7254100355000002E-2</v>
      </c>
      <c r="BH10" s="11"/>
      <c r="BI10" s="11"/>
      <c r="BJ10" s="9"/>
      <c r="BK10" s="11"/>
      <c r="BL10" s="11"/>
      <c r="BM10" s="9"/>
    </row>
    <row r="11" spans="1:65" x14ac:dyDescent="0.2">
      <c r="C11" s="11">
        <v>240.72</v>
      </c>
      <c r="D11" s="11">
        <v>14.32</v>
      </c>
      <c r="E11" s="9">
        <f t="shared" si="0"/>
        <v>3.0851638080000004E-2</v>
      </c>
      <c r="F11" s="11">
        <v>496.49</v>
      </c>
      <c r="G11" s="11">
        <v>20.91</v>
      </c>
      <c r="H11" s="9">
        <f t="shared" si="1"/>
        <v>0.13567461210562501</v>
      </c>
      <c r="I11" s="11">
        <v>255.62</v>
      </c>
      <c r="J11" s="11">
        <v>19.329999999999998</v>
      </c>
      <c r="K11" s="9">
        <f t="shared" si="2"/>
        <v>5.9695082386249987E-2</v>
      </c>
      <c r="L11" s="11">
        <v>390.26</v>
      </c>
      <c r="M11" s="11">
        <v>15.54</v>
      </c>
      <c r="N11" s="9">
        <f t="shared" si="3"/>
        <v>5.8902819884999992E-2</v>
      </c>
      <c r="O11" s="11">
        <v>660.6</v>
      </c>
      <c r="P11" s="11">
        <v>21.74</v>
      </c>
      <c r="Q11" s="9">
        <f t="shared" si="4"/>
        <v>0.19513612034999997</v>
      </c>
      <c r="R11" s="11">
        <v>208.87</v>
      </c>
      <c r="S11" s="11">
        <v>14.99</v>
      </c>
      <c r="T11" s="9">
        <f t="shared" si="5"/>
        <v>2.9333193679374998E-2</v>
      </c>
      <c r="U11" s="11"/>
      <c r="V11" s="11"/>
      <c r="W11" s="9"/>
      <c r="X11" s="11"/>
      <c r="Y11" s="11"/>
      <c r="Z11" s="9"/>
      <c r="AA11" s="11"/>
      <c r="AB11" s="11"/>
      <c r="AC11" s="9"/>
      <c r="AD11" s="11"/>
      <c r="AE11" s="11"/>
      <c r="AF11" s="9"/>
      <c r="AG11" s="11"/>
      <c r="AH11" s="11"/>
      <c r="AI11" s="9"/>
      <c r="AJ11" s="11"/>
      <c r="AK11" s="11"/>
      <c r="AL11" s="9"/>
      <c r="AM11" s="11"/>
      <c r="AN11" s="11"/>
      <c r="AO11" s="9"/>
      <c r="AP11" s="11"/>
      <c r="AQ11" s="11"/>
      <c r="AR11" s="9"/>
      <c r="AS11" s="11">
        <v>435.84</v>
      </c>
      <c r="AT11" s="11">
        <v>12.78</v>
      </c>
      <c r="AU11" s="9">
        <f t="shared" si="14"/>
        <v>4.4490656159999989E-2</v>
      </c>
      <c r="AV11" s="11"/>
      <c r="AW11" s="11"/>
      <c r="AX11" s="9"/>
      <c r="AY11" s="11"/>
      <c r="AZ11" s="11"/>
      <c r="BA11" s="9"/>
      <c r="BB11" s="11"/>
      <c r="BC11" s="11"/>
      <c r="BD11" s="9"/>
      <c r="BE11" s="11">
        <v>404.09</v>
      </c>
      <c r="BF11" s="11">
        <v>15.47</v>
      </c>
      <c r="BG11" s="9">
        <f t="shared" si="18"/>
        <v>6.0441989050624999E-2</v>
      </c>
      <c r="BH11" s="11"/>
      <c r="BI11" s="11"/>
      <c r="BJ11" s="9"/>
      <c r="BK11" s="11"/>
      <c r="BL11" s="11"/>
      <c r="BM11" s="9"/>
    </row>
    <row r="12" spans="1:65" x14ac:dyDescent="0.2">
      <c r="C12" s="11">
        <v>216.47</v>
      </c>
      <c r="D12" s="11">
        <v>15.28</v>
      </c>
      <c r="E12" s="9">
        <f t="shared" si="0"/>
        <v>3.1588168280000002E-2</v>
      </c>
      <c r="F12" s="11"/>
      <c r="G12" s="11"/>
      <c r="H12" s="9"/>
      <c r="I12" s="11">
        <v>342.7</v>
      </c>
      <c r="J12" s="11">
        <v>18.13</v>
      </c>
      <c r="K12" s="9">
        <f t="shared" si="2"/>
        <v>7.0402767268749999E-2</v>
      </c>
      <c r="L12" s="11">
        <v>380.55</v>
      </c>
      <c r="M12" s="11">
        <v>18.16</v>
      </c>
      <c r="N12" s="9">
        <f t="shared" si="3"/>
        <v>7.8437443800000006E-2</v>
      </c>
      <c r="O12" s="11">
        <v>338.21</v>
      </c>
      <c r="P12" s="11">
        <v>13.75</v>
      </c>
      <c r="Q12" s="9">
        <f t="shared" si="4"/>
        <v>3.9964267578124997E-2</v>
      </c>
      <c r="R12" s="11">
        <v>338.48</v>
      </c>
      <c r="S12" s="11">
        <v>19.12</v>
      </c>
      <c r="T12" s="9">
        <f t="shared" si="5"/>
        <v>7.7337264320000015E-2</v>
      </c>
      <c r="U12" s="11"/>
      <c r="V12" s="11"/>
      <c r="W12" s="9"/>
      <c r="X12" s="11"/>
      <c r="Y12" s="11"/>
      <c r="Z12" s="9"/>
      <c r="AA12" s="11"/>
      <c r="AB12" s="11"/>
      <c r="AC12" s="9"/>
      <c r="AD12" s="11"/>
      <c r="AE12" s="11"/>
      <c r="AF12" s="9"/>
      <c r="AG12" s="11"/>
      <c r="AH12" s="11"/>
      <c r="AI12" s="9"/>
      <c r="AJ12" s="11"/>
      <c r="AK12" s="11"/>
      <c r="AL12" s="9"/>
      <c r="AM12" s="11"/>
      <c r="AN12" s="11"/>
      <c r="AO12" s="9"/>
      <c r="AP12" s="11"/>
      <c r="AQ12" s="11"/>
      <c r="AR12" s="9"/>
      <c r="AS12" s="11">
        <v>638.09</v>
      </c>
      <c r="AT12" s="11">
        <v>21.61</v>
      </c>
      <c r="AU12" s="9">
        <f t="shared" si="14"/>
        <v>0.18623936818062498</v>
      </c>
      <c r="AV12" s="11"/>
      <c r="AW12" s="11"/>
      <c r="AX12" s="9"/>
      <c r="AY12" s="11"/>
      <c r="AZ12" s="11"/>
      <c r="BA12" s="9"/>
      <c r="BB12" s="11"/>
      <c r="BC12" s="11"/>
      <c r="BD12" s="9"/>
      <c r="BE12" s="11">
        <v>511.28</v>
      </c>
      <c r="BF12" s="11">
        <v>17.96</v>
      </c>
      <c r="BG12" s="9">
        <f t="shared" si="18"/>
        <v>0.10307455927999999</v>
      </c>
      <c r="BH12" s="11"/>
      <c r="BI12" s="11"/>
      <c r="BJ12" s="9"/>
      <c r="BK12" s="11"/>
      <c r="BL12" s="11"/>
      <c r="BM12" s="9"/>
    </row>
    <row r="13" spans="1:65" x14ac:dyDescent="0.2">
      <c r="C13" s="11">
        <v>332.9</v>
      </c>
      <c r="D13" s="11">
        <v>17.25</v>
      </c>
      <c r="E13" s="9">
        <f t="shared" si="0"/>
        <v>6.1911597656249998E-2</v>
      </c>
      <c r="F13" s="11"/>
      <c r="G13" s="11"/>
      <c r="H13" s="9"/>
      <c r="I13" s="11">
        <v>398.03</v>
      </c>
      <c r="J13" s="11">
        <v>17.899999999999999</v>
      </c>
      <c r="K13" s="9">
        <f t="shared" si="2"/>
        <v>7.9707995187499978E-2</v>
      </c>
      <c r="L13" s="11">
        <v>405.55</v>
      </c>
      <c r="M13" s="11">
        <v>14.89</v>
      </c>
      <c r="N13" s="9">
        <f t="shared" si="3"/>
        <v>5.6197088846875007E-2</v>
      </c>
      <c r="O13" s="11">
        <v>945.84</v>
      </c>
      <c r="P13" s="11">
        <v>29.55</v>
      </c>
      <c r="Q13" s="9">
        <f t="shared" si="4"/>
        <v>0.51619365787500004</v>
      </c>
      <c r="R13" s="11"/>
      <c r="S13" s="11"/>
      <c r="T13" s="9"/>
      <c r="U13" s="11"/>
      <c r="V13" s="11"/>
      <c r="W13" s="9"/>
      <c r="X13" s="11"/>
      <c r="Y13" s="11"/>
      <c r="Z13" s="9"/>
      <c r="AA13" s="11"/>
      <c r="AB13" s="11"/>
      <c r="AC13" s="9"/>
      <c r="AD13" s="11"/>
      <c r="AE13" s="11"/>
      <c r="AF13" s="9"/>
      <c r="AG13" s="11"/>
      <c r="AH13" s="11"/>
      <c r="AI13" s="9"/>
      <c r="AJ13" s="11"/>
      <c r="AK13" s="11"/>
      <c r="AL13" s="9"/>
      <c r="AM13" s="11"/>
      <c r="AN13" s="11"/>
      <c r="AO13" s="9"/>
      <c r="AP13" s="11"/>
      <c r="AQ13" s="11"/>
      <c r="AR13" s="9"/>
      <c r="AS13" s="11">
        <v>720.84</v>
      </c>
      <c r="AT13" s="11">
        <v>27.59</v>
      </c>
      <c r="AU13" s="9">
        <f t="shared" si="14"/>
        <v>0.34294327925250001</v>
      </c>
      <c r="AV13" s="11"/>
      <c r="AW13" s="11"/>
      <c r="AX13" s="9"/>
      <c r="AY13" s="11"/>
      <c r="AZ13" s="11"/>
      <c r="BA13" s="9"/>
      <c r="BB13" s="11"/>
      <c r="BC13" s="11"/>
      <c r="BD13" s="9"/>
      <c r="BE13" s="11"/>
      <c r="BF13" s="11"/>
      <c r="BG13" s="9"/>
      <c r="BH13" s="11"/>
      <c r="BI13" s="11"/>
      <c r="BJ13" s="9"/>
      <c r="BK13" s="11"/>
      <c r="BL13" s="11"/>
      <c r="BM13" s="9"/>
    </row>
    <row r="14" spans="1:65" x14ac:dyDescent="0.2">
      <c r="C14" s="11">
        <v>203.83</v>
      </c>
      <c r="D14" s="11">
        <v>24.89</v>
      </c>
      <c r="E14" s="9">
        <f t="shared" si="0"/>
        <v>7.8921969589375002E-2</v>
      </c>
      <c r="F14" s="11"/>
      <c r="G14" s="11"/>
      <c r="H14" s="9"/>
      <c r="I14" s="11">
        <v>329.34</v>
      </c>
      <c r="J14" s="11">
        <v>21.65</v>
      </c>
      <c r="K14" s="9">
        <f t="shared" si="2"/>
        <v>9.6480667593749986E-2</v>
      </c>
      <c r="L14" s="11">
        <v>296.24</v>
      </c>
      <c r="M14" s="11">
        <v>16.27</v>
      </c>
      <c r="N14" s="9">
        <f t="shared" si="3"/>
        <v>4.9011593435000007E-2</v>
      </c>
      <c r="O14" s="11">
        <v>475.32</v>
      </c>
      <c r="P14" s="11">
        <v>17.84</v>
      </c>
      <c r="Q14" s="9">
        <f t="shared" si="4"/>
        <v>9.4548753119999995E-2</v>
      </c>
      <c r="R14" s="11"/>
      <c r="S14" s="11"/>
      <c r="T14" s="9"/>
      <c r="U14" s="11"/>
      <c r="V14" s="11"/>
      <c r="W14" s="9"/>
      <c r="X14" s="11"/>
      <c r="Y14" s="11"/>
      <c r="Z14" s="9"/>
      <c r="AA14" s="11"/>
      <c r="AB14" s="11"/>
      <c r="AC14" s="9"/>
      <c r="AD14" s="11"/>
      <c r="AE14" s="11"/>
      <c r="AF14" s="9"/>
      <c r="AG14" s="11"/>
      <c r="AH14" s="11"/>
      <c r="AI14" s="9"/>
      <c r="AJ14" s="11"/>
      <c r="AK14" s="11"/>
      <c r="AL14" s="9"/>
      <c r="AM14" s="11"/>
      <c r="AN14" s="11"/>
      <c r="AO14" s="9"/>
      <c r="AP14" s="11"/>
      <c r="AQ14" s="11"/>
      <c r="AR14" s="9"/>
      <c r="AS14" s="11">
        <v>307.41000000000003</v>
      </c>
      <c r="AT14" s="11">
        <v>12.48</v>
      </c>
      <c r="AU14" s="9">
        <f t="shared" si="14"/>
        <v>2.9924519040000003E-2</v>
      </c>
      <c r="AV14" s="11"/>
      <c r="AW14" s="11"/>
      <c r="AX14" s="9"/>
      <c r="AY14" s="11"/>
      <c r="AZ14" s="11"/>
      <c r="BA14" s="9"/>
      <c r="BB14" s="11"/>
      <c r="BC14" s="11"/>
      <c r="BD14" s="9"/>
      <c r="BE14" s="11"/>
      <c r="BF14" s="11"/>
      <c r="BG14" s="9"/>
      <c r="BH14" s="11"/>
      <c r="BI14" s="11"/>
      <c r="BJ14" s="9"/>
      <c r="BK14" s="11"/>
      <c r="BL14" s="11"/>
      <c r="BM14" s="9"/>
    </row>
    <row r="15" spans="1:65" x14ac:dyDescent="0.2">
      <c r="C15" s="11">
        <v>443.25</v>
      </c>
      <c r="D15" s="11">
        <v>19.79</v>
      </c>
      <c r="E15" s="9">
        <f t="shared" si="0"/>
        <v>0.10849765457812498</v>
      </c>
      <c r="F15" s="11"/>
      <c r="G15" s="11"/>
      <c r="H15" s="9"/>
      <c r="I15" s="11">
        <v>380.69</v>
      </c>
      <c r="J15" s="11">
        <v>16.79</v>
      </c>
      <c r="K15" s="9">
        <f t="shared" si="2"/>
        <v>6.7073794893124997E-2</v>
      </c>
      <c r="L15" s="11">
        <v>393.8</v>
      </c>
      <c r="M15" s="11">
        <v>18.14</v>
      </c>
      <c r="N15" s="9">
        <f t="shared" si="3"/>
        <v>8.0989794049999994E-2</v>
      </c>
      <c r="O15" s="11">
        <v>892.26</v>
      </c>
      <c r="P15" s="11">
        <v>33.65</v>
      </c>
      <c r="Q15" s="9">
        <f t="shared" si="4"/>
        <v>0.63145379615624997</v>
      </c>
      <c r="R15" s="11"/>
      <c r="S15" s="11"/>
      <c r="T15" s="9"/>
      <c r="U15" s="11"/>
      <c r="V15" s="11"/>
      <c r="W15" s="9"/>
      <c r="X15" s="11"/>
      <c r="Y15" s="11"/>
      <c r="Z15" s="9"/>
      <c r="AA15" s="11"/>
      <c r="AB15" s="11"/>
      <c r="AC15" s="9"/>
      <c r="AD15" s="11"/>
      <c r="AE15" s="11"/>
      <c r="AF15" s="9"/>
      <c r="AG15" s="11"/>
      <c r="AH15" s="11"/>
      <c r="AI15" s="9"/>
      <c r="AJ15" s="11"/>
      <c r="AK15" s="11"/>
      <c r="AL15" s="9"/>
      <c r="AM15" s="11"/>
      <c r="AN15" s="11"/>
      <c r="AO15" s="9"/>
      <c r="AP15" s="11"/>
      <c r="AQ15" s="11"/>
      <c r="AR15" s="9"/>
      <c r="AS15" s="11">
        <v>292.87</v>
      </c>
      <c r="AT15" s="11">
        <v>12.41</v>
      </c>
      <c r="AU15" s="9">
        <f t="shared" si="14"/>
        <v>2.8190220154375001E-2</v>
      </c>
      <c r="AV15" s="11"/>
      <c r="AW15" s="11"/>
      <c r="AX15" s="9"/>
      <c r="AY15" s="11"/>
      <c r="AZ15" s="11"/>
      <c r="BA15" s="9"/>
      <c r="BB15" s="11"/>
      <c r="BC15" s="11"/>
      <c r="BD15" s="9"/>
      <c r="BE15" s="11"/>
      <c r="BF15" s="11"/>
      <c r="BG15" s="9"/>
      <c r="BH15" s="11"/>
      <c r="BI15" s="11"/>
      <c r="BJ15" s="9"/>
      <c r="BK15" s="11"/>
      <c r="BL15" s="11"/>
      <c r="BM15" s="9"/>
    </row>
    <row r="16" spans="1:65" x14ac:dyDescent="0.2">
      <c r="C16" s="11">
        <v>368.24</v>
      </c>
      <c r="D16" s="11">
        <v>20.99</v>
      </c>
      <c r="E16" s="9">
        <f t="shared" si="0"/>
        <v>0.10139951001499997</v>
      </c>
      <c r="F16" s="11"/>
      <c r="G16" s="11"/>
      <c r="H16" s="9"/>
      <c r="I16" s="11">
        <v>420.94</v>
      </c>
      <c r="J16" s="11">
        <v>17.75</v>
      </c>
      <c r="K16" s="9">
        <f t="shared" si="2"/>
        <v>8.2889005468749999E-2</v>
      </c>
      <c r="L16" s="11">
        <v>386.92</v>
      </c>
      <c r="M16" s="11">
        <v>17.78</v>
      </c>
      <c r="N16" s="9">
        <f t="shared" si="3"/>
        <v>7.6447750330000022E-2</v>
      </c>
      <c r="O16" s="11">
        <v>719.06</v>
      </c>
      <c r="P16" s="11">
        <v>23.93</v>
      </c>
      <c r="Q16" s="9">
        <f t="shared" si="4"/>
        <v>0.25735377612124999</v>
      </c>
      <c r="R16" s="11"/>
      <c r="S16" s="11"/>
      <c r="T16" s="9"/>
      <c r="U16" s="11"/>
      <c r="V16" s="11"/>
      <c r="W16" s="9"/>
      <c r="X16" s="11"/>
      <c r="Y16" s="11"/>
      <c r="Z16" s="9"/>
      <c r="AA16" s="11"/>
      <c r="AB16" s="11"/>
      <c r="AC16" s="9"/>
      <c r="AD16" s="11"/>
      <c r="AE16" s="11"/>
      <c r="AF16" s="9"/>
      <c r="AG16" s="11"/>
      <c r="AH16" s="11"/>
      <c r="AI16" s="9"/>
      <c r="AJ16" s="11"/>
      <c r="AK16" s="11"/>
      <c r="AL16" s="9"/>
      <c r="AM16" s="11"/>
      <c r="AN16" s="11"/>
      <c r="AO16" s="9"/>
      <c r="AP16" s="11"/>
      <c r="AQ16" s="11"/>
      <c r="AR16" s="9"/>
      <c r="AS16" s="11">
        <v>289.83</v>
      </c>
      <c r="AT16" s="11">
        <v>15.35</v>
      </c>
      <c r="AU16" s="9">
        <f t="shared" si="14"/>
        <v>4.2681543234374994E-2</v>
      </c>
      <c r="AV16" s="11"/>
      <c r="AW16" s="11"/>
      <c r="AX16" s="9"/>
      <c r="AY16" s="11"/>
      <c r="AZ16" s="11"/>
      <c r="BA16" s="9"/>
      <c r="BB16" s="11"/>
      <c r="BC16" s="11"/>
      <c r="BD16" s="9"/>
      <c r="BE16" s="11"/>
      <c r="BF16" s="11"/>
      <c r="BG16" s="9"/>
      <c r="BH16" s="11"/>
      <c r="BI16" s="11"/>
      <c r="BJ16" s="9"/>
      <c r="BK16" s="11"/>
      <c r="BL16" s="11"/>
      <c r="BM16" s="9"/>
    </row>
    <row r="17" spans="3:65" x14ac:dyDescent="0.2">
      <c r="C17" s="11">
        <v>380.02</v>
      </c>
      <c r="D17" s="11">
        <v>18.64</v>
      </c>
      <c r="E17" s="9">
        <f t="shared" si="0"/>
        <v>8.2523623119999986E-2</v>
      </c>
      <c r="F17" s="11"/>
      <c r="G17" s="11"/>
      <c r="H17" s="9"/>
      <c r="I17" s="11">
        <v>424.6</v>
      </c>
      <c r="J17" s="11">
        <v>17.309999999999999</v>
      </c>
      <c r="K17" s="9">
        <f t="shared" si="2"/>
        <v>7.9515930037499988E-2</v>
      </c>
      <c r="L17" s="11">
        <v>409.65</v>
      </c>
      <c r="M17" s="11">
        <v>15.88</v>
      </c>
      <c r="N17" s="9">
        <f t="shared" si="3"/>
        <v>6.4564526849999998E-2</v>
      </c>
      <c r="O17" s="11">
        <v>1072.3599999999999</v>
      </c>
      <c r="P17" s="11">
        <v>37.92</v>
      </c>
      <c r="Q17" s="9">
        <f t="shared" si="4"/>
        <v>0.96373422143999998</v>
      </c>
      <c r="R17" s="11"/>
      <c r="S17" s="11"/>
      <c r="T17" s="9"/>
      <c r="U17" s="11"/>
      <c r="V17" s="11"/>
      <c r="W17" s="9"/>
      <c r="X17" s="11"/>
      <c r="Y17" s="11"/>
      <c r="Z17" s="9"/>
      <c r="AA17" s="11"/>
      <c r="AB17" s="11"/>
      <c r="AC17" s="9"/>
      <c r="AD17" s="11"/>
      <c r="AE17" s="11"/>
      <c r="AF17" s="9"/>
      <c r="AG17" s="11"/>
      <c r="AH17" s="11"/>
      <c r="AI17" s="9"/>
      <c r="AJ17" s="11"/>
      <c r="AK17" s="11"/>
      <c r="AL17" s="9"/>
      <c r="AM17" s="11"/>
      <c r="AN17" s="11"/>
      <c r="AO17" s="9"/>
      <c r="AP17" s="11"/>
      <c r="AQ17" s="11"/>
      <c r="AR17" s="9"/>
      <c r="AS17" s="11">
        <v>194.62</v>
      </c>
      <c r="AT17" s="11">
        <v>9.57</v>
      </c>
      <c r="AU17" s="9">
        <f t="shared" si="14"/>
        <v>1.1140158273750001E-2</v>
      </c>
      <c r="AV17" s="11"/>
      <c r="AW17" s="11"/>
      <c r="AX17" s="9"/>
      <c r="AY17" s="11"/>
      <c r="AZ17" s="11"/>
      <c r="BA17" s="9"/>
      <c r="BB17" s="11"/>
      <c r="BC17" s="11"/>
      <c r="BD17" s="9"/>
      <c r="BE17" s="11"/>
      <c r="BF17" s="11"/>
      <c r="BG17" s="9"/>
      <c r="BH17" s="11"/>
      <c r="BI17" s="11"/>
      <c r="BJ17" s="9"/>
      <c r="BK17" s="11"/>
      <c r="BL17" s="11"/>
      <c r="BM17" s="9"/>
    </row>
    <row r="18" spans="3:65" x14ac:dyDescent="0.2">
      <c r="C18" s="11">
        <v>415.72</v>
      </c>
      <c r="D18" s="11">
        <v>23.35</v>
      </c>
      <c r="E18" s="9">
        <f t="shared" si="0"/>
        <v>0.14166243606250004</v>
      </c>
      <c r="F18" s="11"/>
      <c r="G18" s="11"/>
      <c r="H18" s="9"/>
      <c r="I18" s="11">
        <v>393.4</v>
      </c>
      <c r="J18" s="11">
        <v>19.940000000000001</v>
      </c>
      <c r="K18" s="9">
        <f t="shared" si="2"/>
        <v>9.7760785150000015E-2</v>
      </c>
      <c r="L18" s="11">
        <v>331.51</v>
      </c>
      <c r="M18" s="11">
        <v>14.15</v>
      </c>
      <c r="N18" s="9">
        <f t="shared" si="3"/>
        <v>4.1484850609374999E-2</v>
      </c>
      <c r="O18" s="11">
        <v>1034.9000000000001</v>
      </c>
      <c r="P18" s="11">
        <v>33.01</v>
      </c>
      <c r="Q18" s="9">
        <f t="shared" si="4"/>
        <v>0.70480577343124995</v>
      </c>
      <c r="R18" s="11"/>
      <c r="S18" s="11"/>
      <c r="T18" s="9"/>
      <c r="U18" s="11"/>
      <c r="V18" s="11"/>
      <c r="W18" s="9"/>
      <c r="X18" s="11"/>
      <c r="Y18" s="11"/>
      <c r="Z18" s="9"/>
      <c r="AA18" s="11"/>
      <c r="AB18" s="11"/>
      <c r="AC18" s="9"/>
      <c r="AD18" s="11"/>
      <c r="AE18" s="11"/>
      <c r="AF18" s="9"/>
      <c r="AG18" s="11"/>
      <c r="AH18" s="11"/>
      <c r="AI18" s="9"/>
      <c r="AJ18" s="11"/>
      <c r="AK18" s="11"/>
      <c r="AL18" s="9"/>
      <c r="AM18" s="11"/>
      <c r="AN18" s="11"/>
      <c r="AO18" s="9"/>
      <c r="AP18" s="11"/>
      <c r="AQ18" s="11"/>
      <c r="AR18" s="9"/>
      <c r="AS18" s="11">
        <v>186.14</v>
      </c>
      <c r="AT18" s="11">
        <v>10.63</v>
      </c>
      <c r="AU18" s="9">
        <f t="shared" si="14"/>
        <v>1.3145776853750001E-2</v>
      </c>
      <c r="AV18" s="11"/>
      <c r="AW18" s="11"/>
      <c r="AX18" s="9"/>
      <c r="AY18" s="11"/>
      <c r="AZ18" s="11"/>
      <c r="BA18" s="9"/>
      <c r="BB18" s="11"/>
      <c r="BC18" s="11"/>
      <c r="BD18" s="9"/>
      <c r="BE18" s="11"/>
      <c r="BF18" s="11"/>
      <c r="BG18" s="9"/>
      <c r="BH18" s="11"/>
      <c r="BI18" s="11"/>
      <c r="BJ18" s="9"/>
      <c r="BK18" s="11"/>
      <c r="BL18" s="11"/>
      <c r="BM18" s="9"/>
    </row>
    <row r="19" spans="3:65" x14ac:dyDescent="0.2">
      <c r="C19" s="11">
        <v>320.79000000000002</v>
      </c>
      <c r="D19" s="11">
        <v>21.22</v>
      </c>
      <c r="E19" s="9">
        <f t="shared" si="0"/>
        <v>9.0280009897499999E-2</v>
      </c>
      <c r="F19" s="11"/>
      <c r="G19" s="11"/>
      <c r="H19" s="9"/>
      <c r="I19" s="11">
        <v>368.6</v>
      </c>
      <c r="J19" s="11">
        <v>20.74</v>
      </c>
      <c r="K19" s="9">
        <f t="shared" si="2"/>
        <v>9.9095253350000009E-2</v>
      </c>
      <c r="L19" s="11">
        <v>427.48</v>
      </c>
      <c r="M19" s="11">
        <v>21.59</v>
      </c>
      <c r="N19" s="9">
        <f t="shared" si="3"/>
        <v>0.1245377751175</v>
      </c>
      <c r="O19" s="11">
        <v>917.97</v>
      </c>
      <c r="P19" s="11">
        <v>31.28</v>
      </c>
      <c r="Q19" s="9">
        <f t="shared" si="4"/>
        <v>0.56136068628000013</v>
      </c>
      <c r="R19" s="11"/>
      <c r="S19" s="11"/>
      <c r="T19" s="9"/>
      <c r="U19" s="11"/>
      <c r="V19" s="11"/>
      <c r="W19" s="9"/>
      <c r="X19" s="11"/>
      <c r="Y19" s="11"/>
      <c r="Z19" s="9"/>
      <c r="AA19" s="11"/>
      <c r="AB19" s="11"/>
      <c r="AC19" s="9"/>
      <c r="AD19" s="11"/>
      <c r="AE19" s="11"/>
      <c r="AF19" s="9"/>
      <c r="AG19" s="11"/>
      <c r="AH19" s="11"/>
      <c r="AI19" s="9"/>
      <c r="AJ19" s="11"/>
      <c r="AK19" s="11"/>
      <c r="AL19" s="9"/>
      <c r="AM19" s="11"/>
      <c r="AN19" s="11"/>
      <c r="AO19" s="9"/>
      <c r="AP19" s="11"/>
      <c r="AQ19" s="11"/>
      <c r="AR19" s="9"/>
      <c r="AS19" s="11">
        <v>688.76</v>
      </c>
      <c r="AT19" s="11">
        <v>21.18</v>
      </c>
      <c r="AU19" s="9">
        <f t="shared" si="14"/>
        <v>0.19310781338999997</v>
      </c>
      <c r="AV19" s="11"/>
      <c r="AW19" s="11"/>
      <c r="AX19" s="9"/>
      <c r="AY19" s="11"/>
      <c r="AZ19" s="11"/>
      <c r="BA19" s="9"/>
      <c r="BB19" s="11"/>
      <c r="BC19" s="11"/>
      <c r="BD19" s="9"/>
      <c r="BE19" s="11"/>
      <c r="BF19" s="11"/>
      <c r="BG19" s="9"/>
      <c r="BH19" s="11"/>
      <c r="BI19" s="11"/>
      <c r="BJ19" s="9"/>
      <c r="BK19" s="11"/>
      <c r="BL19" s="11"/>
      <c r="BM19" s="9"/>
    </row>
    <row r="20" spans="3:65" x14ac:dyDescent="0.2">
      <c r="C20" s="11">
        <v>234.75</v>
      </c>
      <c r="D20" s="11">
        <v>15.81</v>
      </c>
      <c r="E20" s="9">
        <f t="shared" si="0"/>
        <v>3.6673246546875003E-2</v>
      </c>
      <c r="F20" s="11"/>
      <c r="G20" s="11"/>
      <c r="H20" s="9"/>
      <c r="I20" s="11">
        <v>399.56</v>
      </c>
      <c r="J20" s="11">
        <v>14.97</v>
      </c>
      <c r="K20" s="9">
        <f t="shared" si="2"/>
        <v>5.5963597252500004E-2</v>
      </c>
      <c r="L20" s="11">
        <v>379.65</v>
      </c>
      <c r="M20" s="11">
        <v>17.36</v>
      </c>
      <c r="N20" s="9">
        <f t="shared" si="3"/>
        <v>7.1509355399999988E-2</v>
      </c>
      <c r="O20" s="11">
        <v>838.55</v>
      </c>
      <c r="P20" s="11">
        <v>27.05</v>
      </c>
      <c r="Q20" s="9">
        <f t="shared" si="4"/>
        <v>0.38348070710937499</v>
      </c>
      <c r="R20" s="11"/>
      <c r="S20" s="11"/>
      <c r="T20" s="9"/>
      <c r="U20" s="11"/>
      <c r="V20" s="11"/>
      <c r="W20" s="9"/>
      <c r="X20" s="11"/>
      <c r="Y20" s="11"/>
      <c r="Z20" s="9"/>
      <c r="AA20" s="11"/>
      <c r="AB20" s="11"/>
      <c r="AC20" s="9"/>
      <c r="AD20" s="11"/>
      <c r="AE20" s="11"/>
      <c r="AF20" s="9"/>
      <c r="AG20" s="11"/>
      <c r="AH20" s="11"/>
      <c r="AI20" s="9"/>
      <c r="AJ20" s="11"/>
      <c r="AK20" s="11"/>
      <c r="AL20" s="9"/>
      <c r="AM20" s="11"/>
      <c r="AN20" s="11"/>
      <c r="AO20" s="9"/>
      <c r="AP20" s="11"/>
      <c r="AQ20" s="11"/>
      <c r="AR20" s="9"/>
      <c r="AS20" s="11">
        <v>529.58000000000004</v>
      </c>
      <c r="AT20" s="11">
        <v>20.85</v>
      </c>
      <c r="AU20" s="9">
        <f t="shared" si="14"/>
        <v>0.14388771346875004</v>
      </c>
      <c r="AV20" s="11"/>
      <c r="AW20" s="11"/>
      <c r="AX20" s="9"/>
      <c r="AY20" s="11"/>
      <c r="AZ20" s="11"/>
      <c r="BA20" s="9"/>
      <c r="BB20" s="11"/>
      <c r="BC20" s="11"/>
      <c r="BD20" s="9"/>
      <c r="BE20" s="11"/>
      <c r="BF20" s="11"/>
      <c r="BG20" s="9"/>
      <c r="BH20" s="11"/>
      <c r="BI20" s="11"/>
      <c r="BJ20" s="9"/>
      <c r="BK20" s="11"/>
      <c r="BL20" s="11"/>
      <c r="BM20" s="9"/>
    </row>
    <row r="21" spans="3:65" x14ac:dyDescent="0.2">
      <c r="C21" s="11">
        <v>193.82</v>
      </c>
      <c r="D21" s="11">
        <v>20.309999999999999</v>
      </c>
      <c r="E21" s="9">
        <f t="shared" si="0"/>
        <v>4.9968746313749986E-2</v>
      </c>
      <c r="F21" s="11"/>
      <c r="G21" s="11"/>
      <c r="H21" s="9"/>
      <c r="I21" s="11">
        <v>360.66</v>
      </c>
      <c r="J21" s="11">
        <v>18.04</v>
      </c>
      <c r="K21" s="9">
        <f t="shared" si="2"/>
        <v>7.3358604660000007E-2</v>
      </c>
      <c r="L21" s="11">
        <v>360.43</v>
      </c>
      <c r="M21" s="11">
        <v>17.37</v>
      </c>
      <c r="N21" s="9">
        <f t="shared" si="3"/>
        <v>6.796738891687501E-2</v>
      </c>
      <c r="O21" s="11">
        <v>520.72</v>
      </c>
      <c r="P21" s="11">
        <v>21.75</v>
      </c>
      <c r="Q21" s="9">
        <f t="shared" si="4"/>
        <v>0.15395819062500002</v>
      </c>
      <c r="R21" s="11"/>
      <c r="S21" s="11"/>
      <c r="T21" s="9"/>
      <c r="U21" s="11"/>
      <c r="V21" s="11"/>
      <c r="W21" s="9"/>
      <c r="X21" s="11"/>
      <c r="Y21" s="11"/>
      <c r="Z21" s="9"/>
      <c r="AA21" s="11"/>
      <c r="AB21" s="11"/>
      <c r="AC21" s="9"/>
      <c r="AD21" s="11"/>
      <c r="AE21" s="11"/>
      <c r="AF21" s="9"/>
      <c r="AG21" s="11"/>
      <c r="AH21" s="11"/>
      <c r="AI21" s="9"/>
      <c r="AJ21" s="11"/>
      <c r="AK21" s="11"/>
      <c r="AL21" s="9"/>
      <c r="AM21" s="11"/>
      <c r="AN21" s="11"/>
      <c r="AO21" s="9"/>
      <c r="AP21" s="11"/>
      <c r="AQ21" s="11"/>
      <c r="AR21" s="9"/>
      <c r="AS21" s="11">
        <v>263.54000000000002</v>
      </c>
      <c r="AT21" s="11">
        <v>11.59</v>
      </c>
      <c r="AU21" s="9">
        <f t="shared" si="14"/>
        <v>2.2125517171250005E-2</v>
      </c>
      <c r="AV21" s="11"/>
      <c r="AW21" s="11"/>
      <c r="AX21" s="9"/>
      <c r="AY21" s="11"/>
      <c r="AZ21" s="11"/>
      <c r="BA21" s="9"/>
      <c r="BB21" s="11"/>
      <c r="BC21" s="11"/>
      <c r="BD21" s="9"/>
      <c r="BE21" s="11"/>
      <c r="BF21" s="11"/>
      <c r="BG21" s="9"/>
      <c r="BH21" s="11"/>
      <c r="BI21" s="11"/>
      <c r="BJ21" s="9"/>
      <c r="BK21" s="11"/>
      <c r="BL21" s="11"/>
      <c r="BM21" s="9"/>
    </row>
    <row r="22" spans="3:65" x14ac:dyDescent="0.2">
      <c r="C22" s="11">
        <v>287.95999999999998</v>
      </c>
      <c r="D22" s="11">
        <v>19.48</v>
      </c>
      <c r="E22" s="9">
        <f t="shared" si="0"/>
        <v>6.829518524E-2</v>
      </c>
      <c r="F22" s="11"/>
      <c r="G22" s="11"/>
      <c r="H22" s="9"/>
      <c r="I22" s="11">
        <v>359.58</v>
      </c>
      <c r="J22" s="11">
        <v>18.3</v>
      </c>
      <c r="K22" s="9">
        <f t="shared" si="2"/>
        <v>7.5262341375E-2</v>
      </c>
      <c r="L22" s="11">
        <v>330.39</v>
      </c>
      <c r="M22" s="11">
        <v>17.28</v>
      </c>
      <c r="N22" s="9">
        <f t="shared" si="3"/>
        <v>6.1658703360000011E-2</v>
      </c>
      <c r="O22" s="11">
        <v>434.04</v>
      </c>
      <c r="P22" s="11">
        <v>20.13</v>
      </c>
      <c r="Q22" s="9">
        <f t="shared" si="4"/>
        <v>0.1099252145475</v>
      </c>
      <c r="R22" s="11"/>
      <c r="S22" s="11"/>
      <c r="T22" s="9"/>
      <c r="U22" s="11"/>
      <c r="V22" s="11"/>
      <c r="W22" s="9"/>
      <c r="X22" s="11"/>
      <c r="Y22" s="11"/>
      <c r="Z22" s="9"/>
      <c r="AA22" s="11"/>
      <c r="AB22" s="11"/>
      <c r="AC22" s="9"/>
      <c r="AD22" s="11"/>
      <c r="AE22" s="11"/>
      <c r="AF22" s="9"/>
      <c r="AG22" s="11"/>
      <c r="AH22" s="11"/>
      <c r="AI22" s="9"/>
      <c r="AJ22" s="11"/>
      <c r="AK22" s="11"/>
      <c r="AL22" s="9"/>
      <c r="AM22" s="11"/>
      <c r="AN22" s="11"/>
      <c r="AO22" s="9"/>
      <c r="AP22" s="11"/>
      <c r="AQ22" s="11"/>
      <c r="AR22" s="9"/>
      <c r="AS22" s="11">
        <v>541.96</v>
      </c>
      <c r="AT22" s="11">
        <v>20.38</v>
      </c>
      <c r="AU22" s="9">
        <f t="shared" si="14"/>
        <v>0.14068753188999999</v>
      </c>
      <c r="AV22" s="11"/>
      <c r="AW22" s="11"/>
      <c r="AX22" s="9"/>
      <c r="AY22" s="11"/>
      <c r="AZ22" s="11"/>
      <c r="BA22" s="9"/>
      <c r="BB22" s="11"/>
      <c r="BC22" s="11"/>
      <c r="BD22" s="9"/>
      <c r="BE22" s="11"/>
      <c r="BF22" s="11"/>
      <c r="BG22" s="9"/>
      <c r="BH22" s="11"/>
      <c r="BI22" s="11"/>
      <c r="BJ22" s="9"/>
      <c r="BK22" s="11"/>
      <c r="BL22" s="11"/>
      <c r="BM22" s="9"/>
    </row>
    <row r="23" spans="3:65" x14ac:dyDescent="0.2">
      <c r="C23" s="11">
        <v>327.11</v>
      </c>
      <c r="D23" s="11">
        <v>27.43</v>
      </c>
      <c r="E23" s="9">
        <f t="shared" si="0"/>
        <v>0.15382447927437501</v>
      </c>
      <c r="F23" s="11"/>
      <c r="G23" s="11"/>
      <c r="H23" s="9"/>
      <c r="I23" s="11">
        <v>422</v>
      </c>
      <c r="J23" s="11">
        <v>18.02</v>
      </c>
      <c r="K23" s="9">
        <f t="shared" si="2"/>
        <v>8.5645005499999982E-2</v>
      </c>
      <c r="L23" s="11">
        <v>277.95</v>
      </c>
      <c r="M23" s="11">
        <v>14.98</v>
      </c>
      <c r="N23" s="9">
        <f t="shared" si="3"/>
        <v>3.89825569875E-2</v>
      </c>
      <c r="O23" s="11">
        <v>941.56</v>
      </c>
      <c r="P23" s="11">
        <v>38.31</v>
      </c>
      <c r="Q23" s="9">
        <f t="shared" si="4"/>
        <v>0.86367892344749997</v>
      </c>
      <c r="R23" s="11"/>
      <c r="S23" s="11"/>
      <c r="T23" s="9"/>
      <c r="U23" s="11"/>
      <c r="V23" s="11"/>
      <c r="W23" s="9"/>
      <c r="X23" s="11"/>
      <c r="Y23" s="11"/>
      <c r="Z23" s="9"/>
      <c r="AA23" s="11"/>
      <c r="AB23" s="11"/>
      <c r="AC23" s="9"/>
      <c r="AD23" s="11"/>
      <c r="AE23" s="11"/>
      <c r="AF23" s="9"/>
      <c r="AG23" s="11"/>
      <c r="AH23" s="11"/>
      <c r="AI23" s="9"/>
      <c r="AJ23" s="11"/>
      <c r="AK23" s="11"/>
      <c r="AL23" s="9"/>
      <c r="AM23" s="11"/>
      <c r="AN23" s="11"/>
      <c r="AO23" s="9"/>
      <c r="AP23" s="11"/>
      <c r="AQ23" s="11"/>
      <c r="AR23" s="9"/>
      <c r="AS23" s="11">
        <v>173.61</v>
      </c>
      <c r="AT23" s="11">
        <v>13.3</v>
      </c>
      <c r="AU23" s="9">
        <f t="shared" si="14"/>
        <v>1.9193670562500004E-2</v>
      </c>
      <c r="AV23" s="11"/>
      <c r="AW23" s="11"/>
      <c r="AX23" s="9"/>
      <c r="AY23" s="11"/>
      <c r="AZ23" s="11"/>
      <c r="BA23" s="9"/>
      <c r="BB23" s="11"/>
      <c r="BC23" s="11"/>
      <c r="BD23" s="9"/>
      <c r="BE23" s="11"/>
      <c r="BF23" s="11"/>
      <c r="BG23" s="9"/>
      <c r="BH23" s="11"/>
      <c r="BI23" s="11"/>
      <c r="BJ23" s="9"/>
      <c r="BK23" s="11"/>
      <c r="BL23" s="11"/>
      <c r="BM23" s="9"/>
    </row>
    <row r="24" spans="3:65" x14ac:dyDescent="0.2">
      <c r="C24" s="11">
        <v>236.31</v>
      </c>
      <c r="D24" s="11">
        <v>16.48</v>
      </c>
      <c r="E24" s="9">
        <f t="shared" si="0"/>
        <v>4.0112204640000003E-2</v>
      </c>
      <c r="F24" s="11"/>
      <c r="G24" s="11"/>
      <c r="H24" s="9"/>
      <c r="I24" s="11">
        <v>318.64999999999998</v>
      </c>
      <c r="J24" s="11">
        <v>17.420000000000002</v>
      </c>
      <c r="K24" s="9">
        <f t="shared" si="2"/>
        <v>6.0435238662500008E-2</v>
      </c>
      <c r="L24" s="11">
        <v>420.56</v>
      </c>
      <c r="M24" s="11">
        <v>18.91</v>
      </c>
      <c r="N24" s="9">
        <f t="shared" si="3"/>
        <v>9.399203208500001E-2</v>
      </c>
      <c r="O24" s="11">
        <v>383</v>
      </c>
      <c r="P24" s="11">
        <v>11.79</v>
      </c>
      <c r="Q24" s="9">
        <f t="shared" si="4"/>
        <v>3.3274106437499992E-2</v>
      </c>
      <c r="R24" s="11"/>
      <c r="S24" s="11"/>
      <c r="T24" s="9"/>
      <c r="U24" s="11"/>
      <c r="V24" s="11"/>
      <c r="W24" s="9"/>
      <c r="X24" s="11"/>
      <c r="Y24" s="11"/>
      <c r="Z24" s="9"/>
      <c r="AA24" s="11"/>
      <c r="AB24" s="11"/>
      <c r="AC24" s="9"/>
      <c r="AD24" s="11"/>
      <c r="AE24" s="11"/>
      <c r="AF24" s="9"/>
      <c r="AG24" s="11"/>
      <c r="AH24" s="11"/>
      <c r="AI24" s="9"/>
      <c r="AJ24" s="11"/>
      <c r="AK24" s="11"/>
      <c r="AL24" s="9"/>
      <c r="AM24" s="11"/>
      <c r="AN24" s="11"/>
      <c r="AO24" s="9"/>
      <c r="AP24" s="11"/>
      <c r="AQ24" s="11"/>
      <c r="AR24" s="9"/>
      <c r="AS24" s="11">
        <v>483.04</v>
      </c>
      <c r="AT24" s="11">
        <v>19.059999999999999</v>
      </c>
      <c r="AU24" s="9">
        <f t="shared" si="14"/>
        <v>0.10967531883999998</v>
      </c>
      <c r="AV24" s="11"/>
      <c r="AW24" s="11"/>
      <c r="AX24" s="9"/>
      <c r="AY24" s="11"/>
      <c r="AZ24" s="11"/>
      <c r="BA24" s="9"/>
      <c r="BB24" s="11"/>
      <c r="BC24" s="11"/>
      <c r="BD24" s="9"/>
      <c r="BE24" s="11"/>
      <c r="BF24" s="11"/>
      <c r="BG24" s="9"/>
      <c r="BH24" s="11"/>
      <c r="BI24" s="11"/>
      <c r="BJ24" s="9"/>
      <c r="BK24" s="11"/>
      <c r="BL24" s="11"/>
      <c r="BM24" s="9"/>
    </row>
    <row r="25" spans="3:65" x14ac:dyDescent="0.2">
      <c r="C25" s="11">
        <v>259.5</v>
      </c>
      <c r="D25" s="11">
        <v>15.18</v>
      </c>
      <c r="E25" s="9">
        <f t="shared" si="0"/>
        <v>3.7373254874999998E-2</v>
      </c>
      <c r="F25" s="11"/>
      <c r="G25" s="11"/>
      <c r="H25" s="9"/>
      <c r="I25" s="11">
        <v>357.65</v>
      </c>
      <c r="J25" s="11">
        <v>17.36</v>
      </c>
      <c r="K25" s="9">
        <f t="shared" si="2"/>
        <v>6.7365523399999988E-2</v>
      </c>
      <c r="L25" s="11">
        <v>367.25</v>
      </c>
      <c r="M25" s="11">
        <v>15.38</v>
      </c>
      <c r="N25" s="9">
        <f t="shared" si="3"/>
        <v>5.4294331812500006E-2</v>
      </c>
      <c r="O25" s="11">
        <v>669.5</v>
      </c>
      <c r="P25" s="11">
        <v>25.11</v>
      </c>
      <c r="Q25" s="9">
        <f t="shared" si="4"/>
        <v>0.26382990684375002</v>
      </c>
      <c r="R25" s="11"/>
      <c r="S25" s="11"/>
      <c r="T25" s="9"/>
      <c r="U25" s="11"/>
      <c r="V25" s="11"/>
      <c r="W25" s="9"/>
      <c r="X25" s="11"/>
      <c r="Y25" s="11"/>
      <c r="Z25" s="9"/>
      <c r="AA25" s="11"/>
      <c r="AB25" s="11"/>
      <c r="AC25" s="9"/>
      <c r="AD25" s="11"/>
      <c r="AE25" s="11"/>
      <c r="AF25" s="9"/>
      <c r="AG25" s="11"/>
      <c r="AH25" s="11"/>
      <c r="AI25" s="9"/>
      <c r="AJ25" s="11"/>
      <c r="AK25" s="11"/>
      <c r="AL25" s="9"/>
      <c r="AM25" s="11"/>
      <c r="AN25" s="11"/>
      <c r="AO25" s="9"/>
      <c r="AP25" s="11"/>
      <c r="AQ25" s="11"/>
      <c r="AR25" s="9"/>
      <c r="AS25" s="11">
        <v>394.77</v>
      </c>
      <c r="AT25" s="11">
        <v>12.2</v>
      </c>
      <c r="AU25" s="9">
        <f t="shared" si="14"/>
        <v>3.6723479249999996E-2</v>
      </c>
      <c r="AV25" s="11"/>
      <c r="AW25" s="11"/>
      <c r="AX25" s="9"/>
      <c r="AY25" s="11"/>
      <c r="AZ25" s="11"/>
      <c r="BA25" s="9"/>
      <c r="BB25" s="11"/>
      <c r="BC25" s="11"/>
      <c r="BD25" s="9"/>
      <c r="BE25" s="11"/>
      <c r="BF25" s="11"/>
      <c r="BG25" s="9"/>
      <c r="BH25" s="11"/>
      <c r="BI25" s="11"/>
      <c r="BJ25" s="9"/>
      <c r="BK25" s="11"/>
      <c r="BL25" s="11"/>
      <c r="BM25" s="9"/>
    </row>
    <row r="26" spans="3:65" x14ac:dyDescent="0.2">
      <c r="C26" s="11">
        <v>258.38</v>
      </c>
      <c r="D26" s="11">
        <v>16.89</v>
      </c>
      <c r="E26" s="9">
        <f t="shared" si="0"/>
        <v>4.6067878248750006E-2</v>
      </c>
      <c r="F26" s="11"/>
      <c r="G26" s="11"/>
      <c r="H26" s="9"/>
      <c r="I26" s="11">
        <v>265.02</v>
      </c>
      <c r="J26" s="11">
        <v>13.71</v>
      </c>
      <c r="K26" s="9">
        <f t="shared" si="2"/>
        <v>3.1133903613750003E-2</v>
      </c>
      <c r="L26" s="11">
        <v>369.7</v>
      </c>
      <c r="M26" s="11">
        <v>16.55</v>
      </c>
      <c r="N26" s="9">
        <f t="shared" si="3"/>
        <v>6.3288596406249994E-2</v>
      </c>
      <c r="O26" s="11">
        <v>757.53</v>
      </c>
      <c r="P26" s="11">
        <v>27.08</v>
      </c>
      <c r="Q26" s="9">
        <f t="shared" si="4"/>
        <v>0.34719796736999997</v>
      </c>
      <c r="R26" s="11"/>
      <c r="S26" s="11"/>
      <c r="T26" s="9"/>
      <c r="U26" s="11"/>
      <c r="V26" s="11"/>
      <c r="W26" s="9"/>
      <c r="X26" s="11"/>
      <c r="Y26" s="11"/>
      <c r="Z26" s="9"/>
      <c r="AA26" s="11"/>
      <c r="AB26" s="11"/>
      <c r="AC26" s="9"/>
      <c r="AD26" s="11"/>
      <c r="AE26" s="11"/>
      <c r="AF26" s="9"/>
      <c r="AG26" s="11"/>
      <c r="AH26" s="11"/>
      <c r="AI26" s="9"/>
      <c r="AJ26" s="11"/>
      <c r="AK26" s="11"/>
      <c r="AL26" s="9"/>
      <c r="AM26" s="11"/>
      <c r="AN26" s="11"/>
      <c r="AO26" s="9"/>
      <c r="AP26" s="11"/>
      <c r="AQ26" s="11"/>
      <c r="AR26" s="9"/>
      <c r="AS26" s="11">
        <v>207.03</v>
      </c>
      <c r="AT26" s="11">
        <v>11.46</v>
      </c>
      <c r="AU26" s="9">
        <f t="shared" si="14"/>
        <v>1.6993488217500002E-2</v>
      </c>
      <c r="AV26" s="11"/>
      <c r="AW26" s="11"/>
      <c r="AX26" s="9"/>
      <c r="AY26" s="11"/>
      <c r="AZ26" s="11"/>
      <c r="BA26" s="9"/>
      <c r="BB26" s="11"/>
      <c r="BC26" s="11"/>
      <c r="BD26" s="9"/>
      <c r="BE26" s="11"/>
      <c r="BF26" s="11"/>
      <c r="BG26" s="9"/>
      <c r="BH26" s="11"/>
      <c r="BI26" s="11"/>
      <c r="BJ26" s="9"/>
      <c r="BK26" s="11"/>
      <c r="BL26" s="11"/>
      <c r="BM26" s="9"/>
    </row>
    <row r="27" spans="3:65" x14ac:dyDescent="0.2">
      <c r="C27" s="11">
        <v>243.46</v>
      </c>
      <c r="D27" s="11">
        <v>19.91</v>
      </c>
      <c r="E27" s="9">
        <f t="shared" si="0"/>
        <v>6.0318447516249998E-2</v>
      </c>
      <c r="F27" s="11"/>
      <c r="G27" s="11"/>
      <c r="H27" s="9"/>
      <c r="I27" s="11">
        <v>350.05</v>
      </c>
      <c r="J27" s="11">
        <v>17</v>
      </c>
      <c r="K27" s="9">
        <f t="shared" si="2"/>
        <v>6.3227781250000004E-2</v>
      </c>
      <c r="L27" s="11">
        <v>359.72</v>
      </c>
      <c r="M27" s="11">
        <v>14.61</v>
      </c>
      <c r="N27" s="9">
        <f t="shared" si="3"/>
        <v>4.7989368382500008E-2</v>
      </c>
      <c r="O27" s="11">
        <v>907.86</v>
      </c>
      <c r="P27" s="11">
        <v>31.71</v>
      </c>
      <c r="Q27" s="9">
        <f t="shared" si="4"/>
        <v>0.57054694339125001</v>
      </c>
      <c r="R27" s="11"/>
      <c r="S27" s="11"/>
      <c r="T27" s="9"/>
      <c r="U27" s="11"/>
      <c r="V27" s="11"/>
      <c r="W27" s="9"/>
      <c r="X27" s="11"/>
      <c r="Y27" s="11"/>
      <c r="Z27" s="9"/>
      <c r="AA27" s="11"/>
      <c r="AB27" s="11"/>
      <c r="AC27" s="9"/>
      <c r="AD27" s="11"/>
      <c r="AE27" s="11"/>
      <c r="AF27" s="9"/>
      <c r="AG27" s="11"/>
      <c r="AH27" s="11"/>
      <c r="AI27" s="9"/>
      <c r="AJ27" s="11"/>
      <c r="AK27" s="11"/>
      <c r="AL27" s="9"/>
      <c r="AM27" s="11"/>
      <c r="AN27" s="11"/>
      <c r="AO27" s="9"/>
      <c r="AP27" s="11"/>
      <c r="AQ27" s="11"/>
      <c r="AR27" s="9"/>
      <c r="AS27" s="11">
        <v>282.58</v>
      </c>
      <c r="AT27" s="11">
        <v>11.39</v>
      </c>
      <c r="AU27" s="9">
        <f t="shared" si="14"/>
        <v>2.2912310511250002E-2</v>
      </c>
      <c r="AV27" s="11"/>
      <c r="AW27" s="11"/>
      <c r="AX27" s="9"/>
      <c r="AY27" s="11"/>
      <c r="AZ27" s="11"/>
      <c r="BA27" s="9"/>
      <c r="BB27" s="11"/>
      <c r="BC27" s="11"/>
      <c r="BD27" s="9"/>
      <c r="BE27" s="11"/>
      <c r="BF27" s="11"/>
      <c r="BG27" s="9"/>
      <c r="BH27" s="11"/>
      <c r="BI27" s="11"/>
      <c r="BJ27" s="9"/>
      <c r="BK27" s="11"/>
      <c r="BL27" s="11"/>
      <c r="BM27" s="9"/>
    </row>
    <row r="28" spans="3:65" x14ac:dyDescent="0.2">
      <c r="C28" s="11">
        <v>234.16</v>
      </c>
      <c r="D28" s="11">
        <v>14.36</v>
      </c>
      <c r="E28" s="9">
        <f t="shared" si="0"/>
        <v>3.0178774959999995E-2</v>
      </c>
      <c r="F28" s="11"/>
      <c r="G28" s="11"/>
      <c r="H28" s="9"/>
      <c r="I28" s="11">
        <v>429.54</v>
      </c>
      <c r="J28" s="11">
        <v>17.03</v>
      </c>
      <c r="K28" s="9">
        <f t="shared" si="2"/>
        <v>7.7859735866250016E-2</v>
      </c>
      <c r="L28" s="11">
        <v>367.29</v>
      </c>
      <c r="M28" s="11">
        <v>19.79</v>
      </c>
      <c r="N28" s="9">
        <f t="shared" si="3"/>
        <v>8.9904350930625002E-2</v>
      </c>
      <c r="O28" s="11"/>
      <c r="P28" s="11"/>
      <c r="Q28" s="9"/>
      <c r="R28" s="11"/>
      <c r="S28" s="11"/>
      <c r="T28" s="9"/>
      <c r="U28" s="11"/>
      <c r="V28" s="11"/>
      <c r="W28" s="9"/>
      <c r="X28" s="11"/>
      <c r="Y28" s="11"/>
      <c r="Z28" s="9"/>
      <c r="AA28" s="11"/>
      <c r="AB28" s="11"/>
      <c r="AC28" s="9"/>
      <c r="AD28" s="11"/>
      <c r="AE28" s="11"/>
      <c r="AF28" s="9"/>
      <c r="AG28" s="11"/>
      <c r="AH28" s="11"/>
      <c r="AI28" s="9"/>
      <c r="AJ28" s="11"/>
      <c r="AK28" s="11"/>
      <c r="AL28" s="9"/>
      <c r="AM28" s="11"/>
      <c r="AN28" s="11"/>
      <c r="AO28" s="9"/>
      <c r="AP28" s="11"/>
      <c r="AQ28" s="11"/>
      <c r="AR28" s="9"/>
      <c r="AS28" s="11">
        <v>445.15</v>
      </c>
      <c r="AT28" s="11">
        <v>15.96</v>
      </c>
      <c r="AU28" s="9">
        <f t="shared" si="14"/>
        <v>7.0868325149999994E-2</v>
      </c>
      <c r="AV28" s="11"/>
      <c r="AW28" s="11"/>
      <c r="AX28" s="9"/>
      <c r="AY28" s="11"/>
      <c r="AZ28" s="11"/>
      <c r="BA28" s="9"/>
      <c r="BB28" s="11"/>
      <c r="BC28" s="11"/>
      <c r="BD28" s="9"/>
      <c r="BE28" s="11"/>
      <c r="BF28" s="11"/>
      <c r="BG28" s="9"/>
      <c r="BH28" s="11"/>
      <c r="BI28" s="11"/>
      <c r="BJ28" s="9"/>
      <c r="BK28" s="11"/>
      <c r="BL28" s="11"/>
      <c r="BM28" s="9"/>
    </row>
    <row r="29" spans="3:65" x14ac:dyDescent="0.2">
      <c r="C29" s="11">
        <v>347.03</v>
      </c>
      <c r="D29" s="11">
        <v>19.850000000000001</v>
      </c>
      <c r="E29" s="9">
        <f t="shared" si="0"/>
        <v>8.5461017609375009E-2</v>
      </c>
      <c r="F29" s="11"/>
      <c r="G29" s="11"/>
      <c r="H29" s="9"/>
      <c r="I29" s="11">
        <v>365.01</v>
      </c>
      <c r="J29" s="11">
        <v>15.19</v>
      </c>
      <c r="K29" s="9">
        <f t="shared" si="2"/>
        <v>5.2638114913124992E-2</v>
      </c>
      <c r="L29" s="11">
        <v>374.99</v>
      </c>
      <c r="M29" s="11">
        <v>14.35</v>
      </c>
      <c r="N29" s="9">
        <f t="shared" si="3"/>
        <v>4.8261798921874995E-2</v>
      </c>
      <c r="O29" s="11"/>
      <c r="P29" s="11"/>
      <c r="Q29" s="9"/>
      <c r="R29" s="11"/>
      <c r="S29" s="11"/>
      <c r="T29" s="9"/>
      <c r="U29" s="11"/>
      <c r="V29" s="11"/>
      <c r="W29" s="9"/>
      <c r="X29" s="11"/>
      <c r="Y29" s="11"/>
      <c r="Z29" s="9"/>
      <c r="AA29" s="11"/>
      <c r="AB29" s="11"/>
      <c r="AC29" s="9"/>
      <c r="AD29" s="11"/>
      <c r="AE29" s="11"/>
      <c r="AF29" s="9"/>
      <c r="AG29" s="11"/>
      <c r="AH29" s="11"/>
      <c r="AI29" s="9"/>
      <c r="AJ29" s="11"/>
      <c r="AK29" s="11"/>
      <c r="AL29" s="9"/>
      <c r="AM29" s="11"/>
      <c r="AN29" s="11"/>
      <c r="AO29" s="9"/>
      <c r="AP29" s="11"/>
      <c r="AQ29" s="11"/>
      <c r="AR29" s="9"/>
      <c r="AS29" s="11">
        <v>357.42</v>
      </c>
      <c r="AT29" s="11">
        <v>15.6</v>
      </c>
      <c r="AU29" s="9">
        <f t="shared" si="14"/>
        <v>5.4363582000000008E-2</v>
      </c>
      <c r="AV29" s="11"/>
      <c r="AW29" s="11"/>
      <c r="AX29" s="9"/>
      <c r="AY29" s="11"/>
      <c r="AZ29" s="11"/>
      <c r="BA29" s="9"/>
      <c r="BB29" s="11"/>
      <c r="BC29" s="11"/>
      <c r="BD29" s="9"/>
      <c r="BE29" s="11"/>
      <c r="BF29" s="11"/>
      <c r="BG29" s="9"/>
      <c r="BH29" s="11"/>
      <c r="BI29" s="11"/>
      <c r="BJ29" s="9"/>
      <c r="BK29" s="11"/>
      <c r="BL29" s="11"/>
      <c r="BM29" s="9"/>
    </row>
    <row r="30" spans="3:65" x14ac:dyDescent="0.2">
      <c r="C30" s="11">
        <v>480.26</v>
      </c>
      <c r="D30" s="11">
        <v>25.73</v>
      </c>
      <c r="E30" s="9">
        <f t="shared" si="0"/>
        <v>0.19871745034625002</v>
      </c>
      <c r="F30" s="11"/>
      <c r="G30" s="11"/>
      <c r="H30" s="9"/>
      <c r="I30" s="11">
        <v>239.48</v>
      </c>
      <c r="J30" s="11">
        <v>13.01</v>
      </c>
      <c r="K30" s="9">
        <f t="shared" si="2"/>
        <v>2.5334005467499997E-2</v>
      </c>
      <c r="L30" s="11">
        <v>372.22</v>
      </c>
      <c r="M30" s="11">
        <v>15.22</v>
      </c>
      <c r="N30" s="9">
        <f t="shared" si="3"/>
        <v>5.3890104655000014E-2</v>
      </c>
      <c r="O30" s="11"/>
      <c r="P30" s="11"/>
      <c r="Q30" s="9"/>
      <c r="R30" s="11"/>
      <c r="S30" s="11"/>
      <c r="T30" s="9"/>
      <c r="U30" s="11"/>
      <c r="V30" s="11"/>
      <c r="W30" s="9"/>
      <c r="X30" s="11"/>
      <c r="Y30" s="11"/>
      <c r="Z30" s="9"/>
      <c r="AA30" s="11"/>
      <c r="AB30" s="11"/>
      <c r="AC30" s="9"/>
      <c r="AD30" s="11"/>
      <c r="AE30" s="11"/>
      <c r="AF30" s="9"/>
      <c r="AG30" s="11"/>
      <c r="AH30" s="11"/>
      <c r="AI30" s="9"/>
      <c r="AJ30" s="11"/>
      <c r="AK30" s="11"/>
      <c r="AL30" s="9"/>
      <c r="AM30" s="11"/>
      <c r="AN30" s="11"/>
      <c r="AO30" s="9"/>
      <c r="AP30" s="11"/>
      <c r="AQ30" s="11"/>
      <c r="AR30" s="9"/>
      <c r="AS30" s="11">
        <v>608.5</v>
      </c>
      <c r="AT30" s="11">
        <v>22.42</v>
      </c>
      <c r="AU30" s="9">
        <f t="shared" si="14"/>
        <v>0.19116651212500005</v>
      </c>
      <c r="AV30" s="11"/>
      <c r="AW30" s="11"/>
      <c r="AX30" s="9"/>
      <c r="AY30" s="11"/>
      <c r="AZ30" s="11"/>
      <c r="BA30" s="9"/>
      <c r="BB30" s="11"/>
      <c r="BC30" s="11"/>
      <c r="BD30" s="9"/>
      <c r="BE30" s="11"/>
      <c r="BF30" s="11"/>
      <c r="BG30" s="9"/>
      <c r="BH30" s="11"/>
      <c r="BI30" s="11"/>
      <c r="BJ30" s="9"/>
      <c r="BK30" s="11"/>
      <c r="BL30" s="11"/>
      <c r="BM30" s="9"/>
    </row>
    <row r="31" spans="3:65" x14ac:dyDescent="0.2">
      <c r="C31" s="11">
        <v>263.14</v>
      </c>
      <c r="D31" s="11">
        <v>18.170000000000002</v>
      </c>
      <c r="E31" s="9">
        <f t="shared" si="0"/>
        <v>5.4297113466250012E-2</v>
      </c>
      <c r="F31" s="11"/>
      <c r="G31" s="11"/>
      <c r="H31" s="9"/>
      <c r="I31" s="11">
        <v>373.43</v>
      </c>
      <c r="J31" s="11">
        <v>20.420000000000002</v>
      </c>
      <c r="K31" s="9">
        <f t="shared" si="2"/>
        <v>9.7319685657500016E-2</v>
      </c>
      <c r="L31" s="11">
        <v>428.78</v>
      </c>
      <c r="M31" s="11">
        <v>16.059999999999999</v>
      </c>
      <c r="N31" s="9">
        <f t="shared" si="3"/>
        <v>6.9120300754999975E-2</v>
      </c>
      <c r="O31" s="11"/>
      <c r="P31" s="11"/>
      <c r="Q31" s="9"/>
      <c r="R31" s="11"/>
      <c r="S31" s="11"/>
      <c r="T31" s="9"/>
      <c r="U31" s="11"/>
      <c r="V31" s="11"/>
      <c r="W31" s="9"/>
      <c r="X31" s="11"/>
      <c r="Y31" s="11"/>
      <c r="Z31" s="9"/>
      <c r="AA31" s="11"/>
      <c r="AB31" s="11"/>
      <c r="AC31" s="9"/>
      <c r="AD31" s="11"/>
      <c r="AE31" s="11"/>
      <c r="AF31" s="9"/>
      <c r="AG31" s="11"/>
      <c r="AH31" s="11"/>
      <c r="AI31" s="9"/>
      <c r="AJ31" s="11"/>
      <c r="AK31" s="11"/>
      <c r="AL31" s="9"/>
      <c r="AM31" s="11"/>
      <c r="AN31" s="11"/>
      <c r="AO31" s="9"/>
      <c r="AP31" s="11"/>
      <c r="AQ31" s="11"/>
      <c r="AR31" s="9"/>
      <c r="AS31" s="11">
        <v>173.3</v>
      </c>
      <c r="AT31" s="11">
        <v>9.82</v>
      </c>
      <c r="AU31" s="9">
        <f t="shared" si="14"/>
        <v>1.0444834325000001E-2</v>
      </c>
      <c r="AV31" s="11"/>
      <c r="AW31" s="11"/>
      <c r="AX31" s="9"/>
      <c r="AY31" s="11"/>
      <c r="AZ31" s="11"/>
      <c r="BA31" s="9"/>
      <c r="BB31" s="11"/>
      <c r="BC31" s="11"/>
      <c r="BD31" s="9"/>
      <c r="BE31" s="11"/>
      <c r="BF31" s="11"/>
      <c r="BG31" s="9"/>
      <c r="BH31" s="11"/>
      <c r="BI31" s="11"/>
      <c r="BJ31" s="9"/>
      <c r="BK31" s="11"/>
      <c r="BL31" s="11"/>
      <c r="BM31" s="9"/>
    </row>
    <row r="32" spans="3:65" x14ac:dyDescent="0.2">
      <c r="C32" s="11">
        <v>239.97</v>
      </c>
      <c r="D32" s="11">
        <v>15.06</v>
      </c>
      <c r="E32" s="9">
        <f t="shared" si="0"/>
        <v>3.40162874325E-2</v>
      </c>
      <c r="F32" s="11"/>
      <c r="G32" s="11"/>
      <c r="H32" s="9"/>
      <c r="I32" s="11">
        <v>417.12</v>
      </c>
      <c r="J32" s="11">
        <v>19.45</v>
      </c>
      <c r="K32" s="9">
        <f t="shared" si="2"/>
        <v>9.8623461749999988E-2</v>
      </c>
      <c r="L32" s="11">
        <v>383.95</v>
      </c>
      <c r="M32" s="11">
        <v>15.19</v>
      </c>
      <c r="N32" s="9">
        <f t="shared" si="3"/>
        <v>5.5369453496874992E-2</v>
      </c>
      <c r="O32" s="11"/>
      <c r="P32" s="11"/>
      <c r="Q32" s="9"/>
      <c r="R32" s="11"/>
      <c r="S32" s="11"/>
      <c r="T32" s="9"/>
      <c r="U32" s="11"/>
      <c r="V32" s="11"/>
      <c r="W32" s="9"/>
      <c r="X32" s="11"/>
      <c r="Y32" s="11"/>
      <c r="Z32" s="9"/>
      <c r="AA32" s="11"/>
      <c r="AB32" s="11"/>
      <c r="AC32" s="9"/>
      <c r="AD32" s="11"/>
      <c r="AE32" s="11"/>
      <c r="AF32" s="9"/>
      <c r="AG32" s="11"/>
      <c r="AH32" s="11"/>
      <c r="AI32" s="9"/>
      <c r="AJ32" s="11"/>
      <c r="AK32" s="11"/>
      <c r="AL32" s="9"/>
      <c r="AM32" s="11"/>
      <c r="AN32" s="11"/>
      <c r="AO32" s="9"/>
      <c r="AP32" s="11"/>
      <c r="AQ32" s="11"/>
      <c r="AR32" s="9"/>
      <c r="AS32" s="11">
        <v>367.68</v>
      </c>
      <c r="AT32" s="11">
        <v>15.31</v>
      </c>
      <c r="AU32" s="9">
        <f t="shared" si="14"/>
        <v>5.3864223780000005E-2</v>
      </c>
      <c r="AV32" s="11"/>
      <c r="AW32" s="11"/>
      <c r="AX32" s="9"/>
      <c r="AY32" s="11"/>
      <c r="AZ32" s="11"/>
      <c r="BA32" s="9"/>
      <c r="BB32" s="11"/>
      <c r="BC32" s="11"/>
      <c r="BD32" s="9"/>
      <c r="BE32" s="11"/>
      <c r="BF32" s="11"/>
      <c r="BG32" s="9"/>
      <c r="BH32" s="11"/>
      <c r="BI32" s="11"/>
      <c r="BJ32" s="9"/>
      <c r="BK32" s="11"/>
      <c r="BL32" s="11"/>
      <c r="BM32" s="9"/>
    </row>
    <row r="33" spans="3:65" x14ac:dyDescent="0.2">
      <c r="C33" s="11">
        <v>196.06</v>
      </c>
      <c r="D33" s="11">
        <v>14.89</v>
      </c>
      <c r="E33" s="9">
        <f t="shared" si="0"/>
        <v>2.7168046453750004E-2</v>
      </c>
      <c r="F33" s="11"/>
      <c r="G33" s="11"/>
      <c r="H33" s="9"/>
      <c r="I33" s="11">
        <v>263.16000000000003</v>
      </c>
      <c r="J33" s="11">
        <v>20.48</v>
      </c>
      <c r="K33" s="9">
        <f t="shared" si="2"/>
        <v>6.8985815040000009E-2</v>
      </c>
      <c r="L33" s="11">
        <v>374.78</v>
      </c>
      <c r="M33" s="11">
        <v>17.36</v>
      </c>
      <c r="N33" s="9">
        <f t="shared" si="3"/>
        <v>7.0592061679999984E-2</v>
      </c>
      <c r="O33" s="11"/>
      <c r="P33" s="11"/>
      <c r="Q33" s="9"/>
      <c r="R33" s="11"/>
      <c r="S33" s="11"/>
      <c r="T33" s="9"/>
      <c r="U33" s="11"/>
      <c r="V33" s="11"/>
      <c r="W33" s="9"/>
      <c r="X33" s="11"/>
      <c r="Y33" s="11"/>
      <c r="Z33" s="9"/>
      <c r="AA33" s="11"/>
      <c r="AB33" s="11"/>
      <c r="AC33" s="9"/>
      <c r="AD33" s="11"/>
      <c r="AE33" s="11"/>
      <c r="AF33" s="9"/>
      <c r="AG33" s="11"/>
      <c r="AH33" s="11"/>
      <c r="AI33" s="9"/>
      <c r="AJ33" s="11"/>
      <c r="AK33" s="11"/>
      <c r="AL33" s="9"/>
      <c r="AM33" s="11"/>
      <c r="AN33" s="11"/>
      <c r="AO33" s="9"/>
      <c r="AP33" s="11"/>
      <c r="AQ33" s="11"/>
      <c r="AR33" s="9"/>
      <c r="AS33" s="11">
        <v>323.38</v>
      </c>
      <c r="AT33" s="11">
        <v>12.68</v>
      </c>
      <c r="AU33" s="9">
        <f t="shared" si="14"/>
        <v>3.2496132819999995E-2</v>
      </c>
      <c r="AV33" s="11"/>
      <c r="AW33" s="11"/>
      <c r="AX33" s="9"/>
      <c r="AY33" s="11"/>
      <c r="AZ33" s="11"/>
      <c r="BA33" s="9"/>
      <c r="BB33" s="11"/>
      <c r="BC33" s="11"/>
      <c r="BD33" s="9"/>
      <c r="BE33" s="11"/>
      <c r="BF33" s="11"/>
      <c r="BG33" s="9"/>
      <c r="BH33" s="11"/>
      <c r="BI33" s="11"/>
      <c r="BJ33" s="9"/>
      <c r="BK33" s="11"/>
      <c r="BL33" s="11"/>
      <c r="BM33" s="9"/>
    </row>
    <row r="34" spans="3:65" x14ac:dyDescent="0.2">
      <c r="C34" s="11">
        <v>341.96</v>
      </c>
      <c r="D34" s="11">
        <v>18.14</v>
      </c>
      <c r="E34" s="9">
        <f t="shared" si="0"/>
        <v>7.0328263009999989E-2</v>
      </c>
      <c r="F34" s="11"/>
      <c r="G34" s="11"/>
      <c r="H34" s="9"/>
      <c r="I34" s="11">
        <v>416.93</v>
      </c>
      <c r="J34" s="11">
        <v>20.29</v>
      </c>
      <c r="K34" s="9">
        <f t="shared" si="2"/>
        <v>0.107277157383125</v>
      </c>
      <c r="L34" s="11">
        <v>407.38</v>
      </c>
      <c r="M34" s="11">
        <v>18.440000000000001</v>
      </c>
      <c r="N34" s="9">
        <f t="shared" si="3"/>
        <v>8.6576804980000019E-2</v>
      </c>
      <c r="O34" s="11"/>
      <c r="P34" s="11"/>
      <c r="Q34" s="9"/>
      <c r="R34" s="11"/>
      <c r="S34" s="11"/>
      <c r="T34" s="9"/>
      <c r="U34" s="11"/>
      <c r="V34" s="11"/>
      <c r="W34" s="9"/>
      <c r="X34" s="11"/>
      <c r="Y34" s="11"/>
      <c r="Z34" s="9"/>
      <c r="AA34" s="11"/>
      <c r="AB34" s="11"/>
      <c r="AC34" s="9"/>
      <c r="AD34" s="11"/>
      <c r="AE34" s="11"/>
      <c r="AF34" s="9"/>
      <c r="AG34" s="11"/>
      <c r="AH34" s="11"/>
      <c r="AI34" s="9"/>
      <c r="AJ34" s="11"/>
      <c r="AK34" s="11"/>
      <c r="AL34" s="9"/>
      <c r="AM34" s="11"/>
      <c r="AN34" s="11"/>
      <c r="AO34" s="9"/>
      <c r="AP34" s="11"/>
      <c r="AQ34" s="11"/>
      <c r="AR34" s="9"/>
      <c r="AS34" s="11">
        <v>422.75</v>
      </c>
      <c r="AT34" s="11">
        <v>14.43</v>
      </c>
      <c r="AU34" s="9">
        <f t="shared" si="14"/>
        <v>5.5016922796875006E-2</v>
      </c>
      <c r="AV34" s="11"/>
      <c r="AW34" s="11"/>
      <c r="AX34" s="9"/>
      <c r="AY34" s="11"/>
      <c r="AZ34" s="11"/>
      <c r="BA34" s="9"/>
      <c r="BB34" s="11"/>
      <c r="BC34" s="11"/>
      <c r="BD34" s="9"/>
      <c r="BE34" s="11"/>
      <c r="BF34" s="11"/>
      <c r="BG34" s="9"/>
      <c r="BH34" s="11"/>
      <c r="BI34" s="11"/>
      <c r="BJ34" s="9"/>
      <c r="BK34" s="11"/>
      <c r="BL34" s="11"/>
      <c r="BM34" s="9"/>
    </row>
    <row r="35" spans="3:65" x14ac:dyDescent="0.2">
      <c r="C35" s="11">
        <v>359.18</v>
      </c>
      <c r="D35" s="11">
        <v>18.53</v>
      </c>
      <c r="E35" s="9">
        <f t="shared" si="0"/>
        <v>7.7080230038750003E-2</v>
      </c>
      <c r="F35" s="11"/>
      <c r="G35" s="11"/>
      <c r="H35" s="9"/>
      <c r="I35" s="11">
        <v>389.94</v>
      </c>
      <c r="J35" s="11">
        <v>15.17</v>
      </c>
      <c r="K35" s="9">
        <f t="shared" si="2"/>
        <v>5.6085289541249993E-2</v>
      </c>
      <c r="L35" s="11">
        <v>369.51</v>
      </c>
      <c r="M35" s="11">
        <v>15</v>
      </c>
      <c r="N35" s="9">
        <f t="shared" si="3"/>
        <v>5.1962343750000001E-2</v>
      </c>
      <c r="O35" s="11"/>
      <c r="P35" s="11"/>
      <c r="Q35" s="9"/>
      <c r="R35" s="11"/>
      <c r="S35" s="11"/>
      <c r="T35" s="9"/>
      <c r="U35" s="11"/>
      <c r="V35" s="11"/>
      <c r="W35" s="9"/>
      <c r="X35" s="11"/>
      <c r="Y35" s="11"/>
      <c r="Z35" s="9"/>
      <c r="AA35" s="11"/>
      <c r="AB35" s="11"/>
      <c r="AC35" s="9"/>
      <c r="AD35" s="11"/>
      <c r="AE35" s="11"/>
      <c r="AF35" s="9"/>
      <c r="AG35" s="11"/>
      <c r="AH35" s="11"/>
      <c r="AI35" s="9"/>
      <c r="AJ35" s="11"/>
      <c r="AK35" s="11"/>
      <c r="AL35" s="9"/>
      <c r="AM35" s="11"/>
      <c r="AN35" s="11"/>
      <c r="AO35" s="9"/>
      <c r="AP35" s="11"/>
      <c r="AQ35" s="11"/>
      <c r="AR35" s="9"/>
      <c r="AS35" s="11">
        <v>385.81</v>
      </c>
      <c r="AT35" s="11">
        <v>15.45</v>
      </c>
      <c r="AU35" s="9">
        <f t="shared" si="14"/>
        <v>5.7558632203124988E-2</v>
      </c>
      <c r="AV35" s="11"/>
      <c r="AW35" s="11"/>
      <c r="AX35" s="9"/>
      <c r="AY35" s="11"/>
      <c r="AZ35" s="11"/>
      <c r="BA35" s="9"/>
      <c r="BB35" s="11"/>
      <c r="BC35" s="11"/>
      <c r="BD35" s="9"/>
      <c r="BE35" s="11"/>
      <c r="BF35" s="11"/>
      <c r="BG35" s="9"/>
      <c r="BH35" s="11"/>
      <c r="BI35" s="11"/>
      <c r="BJ35" s="9"/>
      <c r="BK35" s="11"/>
      <c r="BL35" s="11"/>
      <c r="BM35" s="9"/>
    </row>
    <row r="36" spans="3:65" x14ac:dyDescent="0.2">
      <c r="C36" s="11">
        <v>371.26</v>
      </c>
      <c r="D36" s="11">
        <v>25.73</v>
      </c>
      <c r="E36" s="9">
        <f t="shared" si="0"/>
        <v>0.15361645903374999</v>
      </c>
      <c r="F36" s="11"/>
      <c r="G36" s="11"/>
      <c r="H36" s="9"/>
      <c r="I36" s="11">
        <f>625.74/2</f>
        <v>312.87</v>
      </c>
      <c r="J36" s="11">
        <f>39/2</f>
        <v>19.5</v>
      </c>
      <c r="K36" s="9">
        <f t="shared" si="2"/>
        <v>7.4355510937500008E-2</v>
      </c>
      <c r="L36" s="11">
        <v>341.34</v>
      </c>
      <c r="M36" s="11">
        <v>14.57</v>
      </c>
      <c r="N36" s="9">
        <f t="shared" si="3"/>
        <v>4.5288329853750003E-2</v>
      </c>
      <c r="O36" s="11"/>
      <c r="P36" s="11"/>
      <c r="Q36" s="9"/>
      <c r="R36" s="11"/>
      <c r="S36" s="11"/>
      <c r="T36" s="9"/>
      <c r="U36" s="11"/>
      <c r="V36" s="11"/>
      <c r="W36" s="9"/>
      <c r="X36" s="11"/>
      <c r="Y36" s="11"/>
      <c r="Z36" s="9"/>
      <c r="AA36" s="11"/>
      <c r="AB36" s="11"/>
      <c r="AC36" s="9"/>
      <c r="AD36" s="11"/>
      <c r="AE36" s="11"/>
      <c r="AF36" s="9"/>
      <c r="AG36" s="11"/>
      <c r="AH36" s="11"/>
      <c r="AI36" s="9"/>
      <c r="AJ36" s="11"/>
      <c r="AK36" s="11"/>
      <c r="AL36" s="9"/>
      <c r="AM36" s="11"/>
      <c r="AN36" s="11"/>
      <c r="AO36" s="9"/>
      <c r="AP36" s="11"/>
      <c r="AQ36" s="11"/>
      <c r="AR36" s="9"/>
      <c r="AS36" s="11">
        <v>282.13</v>
      </c>
      <c r="AT36" s="11">
        <v>10.99</v>
      </c>
      <c r="AU36" s="9">
        <f t="shared" si="14"/>
        <v>2.1297306008125003E-2</v>
      </c>
      <c r="AV36" s="11"/>
      <c r="AW36" s="11"/>
      <c r="AX36" s="9"/>
      <c r="AY36" s="11"/>
      <c r="AZ36" s="11"/>
      <c r="BA36" s="9"/>
      <c r="BB36" s="11"/>
      <c r="BC36" s="11"/>
      <c r="BD36" s="9"/>
      <c r="BE36" s="11"/>
      <c r="BF36" s="11"/>
      <c r="BG36" s="9"/>
      <c r="BH36" s="11"/>
      <c r="BI36" s="11"/>
      <c r="BJ36" s="9"/>
      <c r="BK36" s="11"/>
      <c r="BL36" s="11"/>
      <c r="BM36" s="9"/>
    </row>
    <row r="37" spans="3:65" x14ac:dyDescent="0.2">
      <c r="C37" s="11">
        <v>239.97</v>
      </c>
      <c r="D37" s="11">
        <v>15.06</v>
      </c>
      <c r="E37" s="9">
        <f t="shared" si="0"/>
        <v>3.40162874325E-2</v>
      </c>
      <c r="F37" s="11"/>
      <c r="G37" s="11"/>
      <c r="H37" s="9"/>
      <c r="I37" s="11">
        <v>389.52</v>
      </c>
      <c r="J37" s="11">
        <v>16.75</v>
      </c>
      <c r="K37" s="9">
        <f t="shared" si="2"/>
        <v>6.8302940625000003E-2</v>
      </c>
      <c r="L37" s="11">
        <v>393.41</v>
      </c>
      <c r="M37" s="11">
        <v>17.78</v>
      </c>
      <c r="N37" s="9">
        <f t="shared" si="3"/>
        <v>7.7730046152500024E-2</v>
      </c>
      <c r="O37" s="11"/>
      <c r="P37" s="11"/>
      <c r="Q37" s="9"/>
      <c r="R37" s="11"/>
      <c r="S37" s="11"/>
      <c r="T37" s="9"/>
      <c r="U37" s="11"/>
      <c r="V37" s="11"/>
      <c r="W37" s="9"/>
      <c r="X37" s="11"/>
      <c r="Y37" s="11"/>
      <c r="Z37" s="9"/>
      <c r="AA37" s="11"/>
      <c r="AB37" s="11"/>
      <c r="AC37" s="9"/>
      <c r="AD37" s="11"/>
      <c r="AE37" s="11"/>
      <c r="AF37" s="9"/>
      <c r="AG37" s="11"/>
      <c r="AH37" s="11"/>
      <c r="AI37" s="9"/>
      <c r="AJ37" s="11"/>
      <c r="AK37" s="11"/>
      <c r="AL37" s="9"/>
      <c r="AM37" s="11"/>
      <c r="AN37" s="11"/>
      <c r="AO37" s="9"/>
      <c r="AP37" s="11"/>
      <c r="AQ37" s="11"/>
      <c r="AR37" s="9"/>
      <c r="AS37" s="11">
        <v>349.26</v>
      </c>
      <c r="AT37" s="11">
        <v>12.84</v>
      </c>
      <c r="AU37" s="9">
        <f t="shared" si="14"/>
        <v>3.5988099659999995E-2</v>
      </c>
      <c r="AV37" s="11"/>
      <c r="AW37" s="11"/>
      <c r="AX37" s="9"/>
      <c r="AY37" s="11"/>
      <c r="AZ37" s="11"/>
      <c r="BA37" s="9"/>
      <c r="BB37" s="11"/>
      <c r="BC37" s="11"/>
      <c r="BD37" s="9"/>
      <c r="BE37" s="11"/>
      <c r="BF37" s="11"/>
      <c r="BG37" s="9"/>
      <c r="BH37" s="11"/>
      <c r="BI37" s="11"/>
      <c r="BJ37" s="9"/>
      <c r="BK37" s="11"/>
      <c r="BL37" s="11"/>
      <c r="BM37" s="9"/>
    </row>
    <row r="38" spans="3:65" x14ac:dyDescent="0.2">
      <c r="C38" s="11">
        <v>196.06</v>
      </c>
      <c r="D38" s="11">
        <v>14.89</v>
      </c>
      <c r="E38" s="9">
        <f t="shared" ref="E38:E49" si="21">(C38*D38*D38)/1600000</f>
        <v>2.7168046453750004E-2</v>
      </c>
      <c r="F38" s="11"/>
      <c r="G38" s="11"/>
      <c r="H38" s="9"/>
      <c r="I38" s="11">
        <v>396.97</v>
      </c>
      <c r="J38" s="11">
        <v>21.04</v>
      </c>
      <c r="K38" s="9">
        <f t="shared" ref="K38:K62" si="22">(I38*J38*J38)/1600000</f>
        <v>0.10983207171999998</v>
      </c>
      <c r="L38" s="11">
        <v>396.61</v>
      </c>
      <c r="M38" s="11">
        <v>21.12</v>
      </c>
      <c r="N38" s="9">
        <f t="shared" ref="N38:N42" si="23">(L38*M38*M38)/1600000</f>
        <v>0.11056852224000002</v>
      </c>
      <c r="O38" s="11"/>
      <c r="P38" s="11"/>
      <c r="Q38" s="9"/>
      <c r="R38" s="11"/>
      <c r="S38" s="11"/>
      <c r="T38" s="9"/>
      <c r="U38" s="11"/>
      <c r="V38" s="11"/>
      <c r="W38" s="9"/>
      <c r="X38" s="11"/>
      <c r="Y38" s="11"/>
      <c r="Z38" s="9"/>
      <c r="AA38" s="11"/>
      <c r="AB38" s="11"/>
      <c r="AC38" s="9"/>
      <c r="AD38" s="11"/>
      <c r="AE38" s="11"/>
      <c r="AF38" s="9"/>
      <c r="AG38" s="11"/>
      <c r="AH38" s="11"/>
      <c r="AI38" s="9"/>
      <c r="AJ38" s="11"/>
      <c r="AK38" s="11"/>
      <c r="AL38" s="9"/>
      <c r="AM38" s="11"/>
      <c r="AN38" s="11"/>
      <c r="AO38" s="9"/>
      <c r="AP38" s="11"/>
      <c r="AQ38" s="11"/>
      <c r="AR38" s="9"/>
      <c r="AS38" s="11">
        <v>351.51</v>
      </c>
      <c r="AT38" s="11">
        <v>12.97</v>
      </c>
      <c r="AU38" s="9">
        <f t="shared" ref="AU38:AU48" si="24">(AS38*AT38*AT38)/1600000</f>
        <v>3.6957080349375004E-2</v>
      </c>
      <c r="AV38" s="11"/>
      <c r="AW38" s="11"/>
      <c r="AX38" s="9"/>
      <c r="AY38" s="11"/>
      <c r="AZ38" s="11"/>
      <c r="BA38" s="9"/>
      <c r="BB38" s="11"/>
      <c r="BC38" s="11"/>
      <c r="BD38" s="9"/>
      <c r="BE38" s="11"/>
      <c r="BF38" s="11"/>
      <c r="BG38" s="9"/>
      <c r="BH38" s="11"/>
      <c r="BI38" s="11"/>
      <c r="BJ38" s="9"/>
      <c r="BK38" s="11"/>
      <c r="BL38" s="11"/>
      <c r="BM38" s="9"/>
    </row>
    <row r="39" spans="3:65" x14ac:dyDescent="0.2">
      <c r="C39" s="11">
        <v>341.94</v>
      </c>
      <c r="D39" s="11">
        <v>18.14</v>
      </c>
      <c r="E39" s="9">
        <f t="shared" si="21"/>
        <v>7.032414976500001E-2</v>
      </c>
      <c r="F39" s="11"/>
      <c r="G39" s="11"/>
      <c r="H39" s="9"/>
      <c r="I39" s="11">
        <v>228.34</v>
      </c>
      <c r="J39" s="11">
        <v>14.24</v>
      </c>
      <c r="K39" s="9">
        <f t="shared" si="22"/>
        <v>2.893889824E-2</v>
      </c>
      <c r="L39" s="11">
        <v>434.6</v>
      </c>
      <c r="M39" s="11">
        <v>15.366</v>
      </c>
      <c r="N39" s="9">
        <f t="shared" si="23"/>
        <v>6.4134453298499997E-2</v>
      </c>
      <c r="O39" s="11"/>
      <c r="P39" s="11"/>
      <c r="Q39" s="9"/>
      <c r="R39" s="11"/>
      <c r="S39" s="11"/>
      <c r="T39" s="9"/>
      <c r="U39" s="11"/>
      <c r="V39" s="11"/>
      <c r="W39" s="9"/>
      <c r="X39" s="11"/>
      <c r="Y39" s="11"/>
      <c r="Z39" s="9"/>
      <c r="AA39" s="11"/>
      <c r="AB39" s="11"/>
      <c r="AC39" s="9"/>
      <c r="AD39" s="11"/>
      <c r="AE39" s="11"/>
      <c r="AF39" s="9"/>
      <c r="AG39" s="11"/>
      <c r="AH39" s="11"/>
      <c r="AI39" s="9"/>
      <c r="AJ39" s="11"/>
      <c r="AK39" s="11"/>
      <c r="AL39" s="9"/>
      <c r="AM39" s="11"/>
      <c r="AN39" s="11"/>
      <c r="AO39" s="9"/>
      <c r="AP39" s="11"/>
      <c r="AQ39" s="11"/>
      <c r="AR39" s="9"/>
      <c r="AS39" s="11">
        <v>475.81</v>
      </c>
      <c r="AT39" s="11">
        <v>17.8</v>
      </c>
      <c r="AU39" s="9">
        <f t="shared" si="24"/>
        <v>9.4222275250000001E-2</v>
      </c>
      <c r="AV39" s="11"/>
      <c r="AW39" s="11"/>
      <c r="AX39" s="9"/>
      <c r="AY39" s="11"/>
      <c r="AZ39" s="11"/>
      <c r="BA39" s="9"/>
      <c r="BB39" s="11"/>
      <c r="BC39" s="11"/>
      <c r="BD39" s="9"/>
      <c r="BE39" s="11"/>
      <c r="BF39" s="11"/>
      <c r="BG39" s="9"/>
      <c r="BH39" s="11"/>
      <c r="BI39" s="11"/>
      <c r="BJ39" s="9"/>
      <c r="BK39" s="11"/>
      <c r="BL39" s="11"/>
      <c r="BM39" s="9"/>
    </row>
    <row r="40" spans="3:65" x14ac:dyDescent="0.2">
      <c r="C40" s="11">
        <v>359.18</v>
      </c>
      <c r="D40" s="11">
        <v>18.53</v>
      </c>
      <c r="E40" s="9">
        <f t="shared" si="21"/>
        <v>7.7080230038750003E-2</v>
      </c>
      <c r="F40" s="11"/>
      <c r="G40" s="11"/>
      <c r="H40" s="9"/>
      <c r="I40" s="11">
        <v>368.71</v>
      </c>
      <c r="J40" s="11">
        <v>16.57</v>
      </c>
      <c r="K40" s="9">
        <f t="shared" si="22"/>
        <v>6.3271765174375008E-2</v>
      </c>
      <c r="L40" s="11">
        <v>404.65</v>
      </c>
      <c r="M40" s="11">
        <v>14.55</v>
      </c>
      <c r="N40" s="9">
        <f t="shared" si="23"/>
        <v>5.3540885390625008E-2</v>
      </c>
      <c r="O40" s="11"/>
      <c r="P40" s="11"/>
      <c r="Q40" s="9"/>
      <c r="R40" s="11"/>
      <c r="S40" s="11"/>
      <c r="T40" s="9"/>
      <c r="U40" s="11"/>
      <c r="V40" s="11"/>
      <c r="W40" s="9"/>
      <c r="X40" s="11"/>
      <c r="Y40" s="11"/>
      <c r="Z40" s="9"/>
      <c r="AA40" s="11"/>
      <c r="AB40" s="11"/>
      <c r="AC40" s="9"/>
      <c r="AD40" s="11"/>
      <c r="AE40" s="11"/>
      <c r="AF40" s="9"/>
      <c r="AG40" s="11"/>
      <c r="AH40" s="11"/>
      <c r="AI40" s="9"/>
      <c r="AJ40" s="11"/>
      <c r="AK40" s="11"/>
      <c r="AL40" s="9"/>
      <c r="AM40" s="11"/>
      <c r="AN40" s="11"/>
      <c r="AO40" s="9"/>
      <c r="AP40" s="11"/>
      <c r="AQ40" s="11"/>
      <c r="AR40" s="9"/>
      <c r="AS40" s="11">
        <v>314.45</v>
      </c>
      <c r="AT40" s="11">
        <v>15.47</v>
      </c>
      <c r="AU40" s="9">
        <f t="shared" si="24"/>
        <v>4.7034035628125005E-2</v>
      </c>
      <c r="AV40" s="11"/>
      <c r="AW40" s="11"/>
      <c r="AX40" s="9"/>
      <c r="AY40" s="11"/>
      <c r="AZ40" s="11"/>
      <c r="BA40" s="9"/>
      <c r="BB40" s="11"/>
      <c r="BC40" s="11"/>
      <c r="BD40" s="9"/>
      <c r="BE40" s="11"/>
      <c r="BF40" s="11"/>
      <c r="BG40" s="9"/>
      <c r="BH40" s="11"/>
      <c r="BI40" s="11"/>
      <c r="BJ40" s="9"/>
      <c r="BK40" s="11"/>
      <c r="BL40" s="11"/>
      <c r="BM40" s="9"/>
    </row>
    <row r="41" spans="3:65" x14ac:dyDescent="0.2">
      <c r="C41" s="11">
        <v>371.26</v>
      </c>
      <c r="D41" s="11">
        <v>19.36</v>
      </c>
      <c r="E41" s="9">
        <f t="shared" si="21"/>
        <v>8.6969882559999989E-2</v>
      </c>
      <c r="F41" s="11"/>
      <c r="G41" s="11"/>
      <c r="H41" s="9"/>
      <c r="I41" s="11">
        <v>323.97000000000003</v>
      </c>
      <c r="J41" s="11">
        <v>19.989999999999998</v>
      </c>
      <c r="K41" s="9">
        <f t="shared" si="22"/>
        <v>8.0911527748125003E-2</v>
      </c>
      <c r="L41" s="11">
        <v>401.73</v>
      </c>
      <c r="M41" s="11">
        <v>19.34</v>
      </c>
      <c r="N41" s="9">
        <f t="shared" si="23"/>
        <v>9.3913325992499991E-2</v>
      </c>
      <c r="O41" s="11"/>
      <c r="P41" s="11"/>
      <c r="Q41" s="9"/>
      <c r="R41" s="11"/>
      <c r="S41" s="11"/>
      <c r="T41" s="9"/>
      <c r="U41" s="11"/>
      <c r="V41" s="11"/>
      <c r="W41" s="9"/>
      <c r="X41" s="11"/>
      <c r="Y41" s="11"/>
      <c r="Z41" s="9"/>
      <c r="AA41" s="11"/>
      <c r="AB41" s="11"/>
      <c r="AC41" s="9"/>
      <c r="AD41" s="11"/>
      <c r="AE41" s="11"/>
      <c r="AF41" s="9"/>
      <c r="AG41" s="11"/>
      <c r="AH41" s="11"/>
      <c r="AI41" s="9"/>
      <c r="AJ41" s="11"/>
      <c r="AK41" s="11"/>
      <c r="AL41" s="9"/>
      <c r="AM41" s="11"/>
      <c r="AN41" s="11"/>
      <c r="AO41" s="9"/>
      <c r="AP41" s="11"/>
      <c r="AQ41" s="11"/>
      <c r="AR41" s="9"/>
      <c r="AS41" s="11">
        <v>444.49</v>
      </c>
      <c r="AT41" s="11">
        <v>17.510000000000002</v>
      </c>
      <c r="AU41" s="9">
        <f t="shared" si="24"/>
        <v>8.5175424030625016E-2</v>
      </c>
      <c r="AV41" s="11"/>
      <c r="AW41" s="11"/>
      <c r="AX41" s="9"/>
      <c r="AY41" s="11"/>
      <c r="AZ41" s="11"/>
      <c r="BA41" s="9"/>
      <c r="BB41" s="11"/>
      <c r="BC41" s="11"/>
      <c r="BD41" s="9"/>
      <c r="BE41" s="11"/>
      <c r="BF41" s="11"/>
      <c r="BG41" s="9"/>
      <c r="BH41" s="11"/>
      <c r="BI41" s="11"/>
      <c r="BJ41" s="9"/>
      <c r="BK41" s="11"/>
      <c r="BL41" s="11"/>
      <c r="BM41" s="9"/>
    </row>
    <row r="42" spans="3:65" x14ac:dyDescent="0.2">
      <c r="C42" s="11">
        <v>262.68</v>
      </c>
      <c r="D42" s="11">
        <v>15.38</v>
      </c>
      <c r="E42" s="9">
        <f t="shared" si="21"/>
        <v>3.8834676870000008E-2</v>
      </c>
      <c r="F42" s="11"/>
      <c r="G42" s="11"/>
      <c r="H42" s="9"/>
      <c r="I42" s="11">
        <v>322.19</v>
      </c>
      <c r="J42" s="11">
        <v>17.29</v>
      </c>
      <c r="K42" s="9">
        <f t="shared" si="22"/>
        <v>6.0197999736874987E-2</v>
      </c>
      <c r="L42" s="11">
        <v>411.11</v>
      </c>
      <c r="M42" s="11">
        <v>14.54</v>
      </c>
      <c r="N42" s="9">
        <f t="shared" si="23"/>
        <v>5.4320889297500001E-2</v>
      </c>
      <c r="O42" s="11"/>
      <c r="P42" s="11"/>
      <c r="Q42" s="9"/>
      <c r="R42" s="11"/>
      <c r="S42" s="11"/>
      <c r="T42" s="9"/>
      <c r="U42" s="11"/>
      <c r="V42" s="11"/>
      <c r="W42" s="9"/>
      <c r="X42" s="11"/>
      <c r="Y42" s="11"/>
      <c r="Z42" s="9"/>
      <c r="AA42" s="11"/>
      <c r="AB42" s="11"/>
      <c r="AC42" s="9"/>
      <c r="AD42" s="11"/>
      <c r="AE42" s="11"/>
      <c r="AF42" s="9"/>
      <c r="AG42" s="11"/>
      <c r="AH42" s="11"/>
      <c r="AI42" s="9"/>
      <c r="AJ42" s="11"/>
      <c r="AK42" s="11"/>
      <c r="AL42" s="9"/>
      <c r="AM42" s="11"/>
      <c r="AN42" s="11"/>
      <c r="AO42" s="9"/>
      <c r="AP42" s="11"/>
      <c r="AQ42" s="11"/>
      <c r="AR42" s="9"/>
      <c r="AS42" s="11">
        <v>194.3</v>
      </c>
      <c r="AT42" s="11">
        <v>10.94</v>
      </c>
      <c r="AU42" s="9">
        <f t="shared" si="24"/>
        <v>1.4534077174999998E-2</v>
      </c>
      <c r="AV42" s="11"/>
      <c r="AW42" s="11"/>
      <c r="AX42" s="9"/>
      <c r="AY42" s="11"/>
      <c r="AZ42" s="11"/>
      <c r="BA42" s="9"/>
      <c r="BB42" s="11"/>
      <c r="BC42" s="11"/>
      <c r="BD42" s="9"/>
      <c r="BE42" s="11"/>
      <c r="BF42" s="11"/>
      <c r="BG42" s="9"/>
      <c r="BH42" s="11"/>
      <c r="BI42" s="11"/>
      <c r="BJ42" s="9"/>
      <c r="BK42" s="11"/>
      <c r="BL42" s="11"/>
      <c r="BM42" s="9"/>
    </row>
    <row r="43" spans="3:65" x14ac:dyDescent="0.2">
      <c r="C43" s="11">
        <v>354.16</v>
      </c>
      <c r="D43" s="11">
        <v>23.79</v>
      </c>
      <c r="E43" s="9">
        <f t="shared" si="21"/>
        <v>0.12527615353500002</v>
      </c>
      <c r="F43" s="11"/>
      <c r="G43" s="11"/>
      <c r="H43" s="9"/>
      <c r="I43" s="11">
        <v>309.38</v>
      </c>
      <c r="J43" s="11">
        <v>14.09</v>
      </c>
      <c r="K43" s="9">
        <f t="shared" si="22"/>
        <v>3.838788973625E-2</v>
      </c>
      <c r="L43" s="11"/>
      <c r="M43" s="11"/>
      <c r="N43" s="9"/>
      <c r="O43" s="11"/>
      <c r="P43" s="11"/>
      <c r="Q43" s="9"/>
      <c r="R43" s="11"/>
      <c r="S43" s="11"/>
      <c r="T43" s="9"/>
      <c r="U43" s="11"/>
      <c r="V43" s="11"/>
      <c r="W43" s="9"/>
      <c r="X43" s="11"/>
      <c r="Y43" s="11"/>
      <c r="Z43" s="9"/>
      <c r="AA43" s="11"/>
      <c r="AB43" s="11"/>
      <c r="AC43" s="9"/>
      <c r="AD43" s="11"/>
      <c r="AE43" s="11"/>
      <c r="AF43" s="9"/>
      <c r="AG43" s="11"/>
      <c r="AH43" s="11"/>
      <c r="AI43" s="9"/>
      <c r="AJ43" s="11"/>
      <c r="AK43" s="11"/>
      <c r="AL43" s="9"/>
      <c r="AM43" s="11"/>
      <c r="AN43" s="11"/>
      <c r="AO43" s="9"/>
      <c r="AP43" s="11"/>
      <c r="AQ43" s="11"/>
      <c r="AR43" s="9"/>
      <c r="AS43" s="11">
        <v>462.62</v>
      </c>
      <c r="AT43" s="11">
        <v>16.850000000000001</v>
      </c>
      <c r="AU43" s="9">
        <f t="shared" si="24"/>
        <v>8.2092641843750008E-2</v>
      </c>
      <c r="AV43" s="11"/>
      <c r="AW43" s="11"/>
      <c r="AX43" s="9"/>
      <c r="AY43" s="11"/>
      <c r="AZ43" s="11"/>
      <c r="BA43" s="9"/>
      <c r="BB43" s="11"/>
      <c r="BC43" s="11"/>
      <c r="BD43" s="9"/>
      <c r="BE43" s="11"/>
      <c r="BF43" s="11"/>
      <c r="BG43" s="9"/>
      <c r="BH43" s="11"/>
      <c r="BI43" s="11"/>
      <c r="BJ43" s="9"/>
      <c r="BK43" s="11"/>
      <c r="BL43" s="11"/>
      <c r="BM43" s="9"/>
    </row>
    <row r="44" spans="3:65" x14ac:dyDescent="0.2">
      <c r="C44" s="11">
        <v>366.2</v>
      </c>
      <c r="D44" s="11">
        <v>21.52</v>
      </c>
      <c r="E44" s="9">
        <f t="shared" si="21"/>
        <v>0.10599439279999999</v>
      </c>
      <c r="F44" s="11"/>
      <c r="G44" s="11"/>
      <c r="H44" s="9"/>
      <c r="I44" s="11">
        <v>367.25</v>
      </c>
      <c r="J44" s="11">
        <v>15.79</v>
      </c>
      <c r="K44" s="9">
        <f t="shared" si="22"/>
        <v>5.7227672328124993E-2</v>
      </c>
      <c r="L44" s="11"/>
      <c r="M44" s="11"/>
      <c r="N44" s="9"/>
      <c r="O44" s="11"/>
      <c r="P44" s="11"/>
      <c r="Q44" s="9"/>
      <c r="R44" s="11"/>
      <c r="S44" s="11"/>
      <c r="T44" s="9"/>
      <c r="U44" s="11"/>
      <c r="V44" s="11"/>
      <c r="W44" s="9"/>
      <c r="X44" s="11"/>
      <c r="Y44" s="11"/>
      <c r="Z44" s="9"/>
      <c r="AA44" s="11"/>
      <c r="AB44" s="11"/>
      <c r="AC44" s="9"/>
      <c r="AD44" s="11"/>
      <c r="AE44" s="11"/>
      <c r="AF44" s="9"/>
      <c r="AG44" s="11"/>
      <c r="AH44" s="11"/>
      <c r="AI44" s="9"/>
      <c r="AJ44" s="11"/>
      <c r="AK44" s="11"/>
      <c r="AL44" s="9"/>
      <c r="AM44" s="11"/>
      <c r="AN44" s="11"/>
      <c r="AO44" s="9"/>
      <c r="AP44" s="11"/>
      <c r="AQ44" s="11"/>
      <c r="AR44" s="9"/>
      <c r="AS44" s="11">
        <v>441.75</v>
      </c>
      <c r="AT44" s="11">
        <v>14.68</v>
      </c>
      <c r="AU44" s="9">
        <f t="shared" si="24"/>
        <v>5.9498865750000005E-2</v>
      </c>
      <c r="AV44" s="11"/>
      <c r="AW44" s="11"/>
      <c r="AX44" s="9"/>
      <c r="AY44" s="11"/>
      <c r="AZ44" s="11"/>
      <c r="BA44" s="9"/>
      <c r="BB44" s="11"/>
      <c r="BC44" s="11"/>
      <c r="BD44" s="9"/>
      <c r="BE44" s="11"/>
      <c r="BF44" s="11"/>
      <c r="BG44" s="9"/>
      <c r="BH44" s="11"/>
      <c r="BI44" s="11"/>
      <c r="BJ44" s="9"/>
      <c r="BK44" s="11"/>
      <c r="BL44" s="11"/>
      <c r="BM44" s="9"/>
    </row>
    <row r="45" spans="3:65" x14ac:dyDescent="0.2">
      <c r="C45" s="11">
        <v>343.37</v>
      </c>
      <c r="D45" s="11">
        <v>22.02</v>
      </c>
      <c r="E45" s="9">
        <f t="shared" si="21"/>
        <v>0.10405836434249999</v>
      </c>
      <c r="F45" s="11"/>
      <c r="G45" s="11"/>
      <c r="H45" s="9"/>
      <c r="I45" s="11">
        <v>381.77</v>
      </c>
      <c r="J45" s="11">
        <v>15.47</v>
      </c>
      <c r="K45" s="9">
        <f t="shared" si="22"/>
        <v>5.7103462495625E-2</v>
      </c>
      <c r="L45" s="11"/>
      <c r="M45" s="11"/>
      <c r="N45" s="9"/>
      <c r="O45" s="11"/>
      <c r="P45" s="11"/>
      <c r="Q45" s="9"/>
      <c r="R45" s="11"/>
      <c r="S45" s="11"/>
      <c r="T45" s="9"/>
      <c r="U45" s="11"/>
      <c r="V45" s="11"/>
      <c r="W45" s="9"/>
      <c r="X45" s="11"/>
      <c r="Y45" s="11"/>
      <c r="Z45" s="9"/>
      <c r="AA45" s="11"/>
      <c r="AB45" s="11"/>
      <c r="AC45" s="9"/>
      <c r="AD45" s="11"/>
      <c r="AE45" s="11"/>
      <c r="AF45" s="9"/>
      <c r="AG45" s="11"/>
      <c r="AH45" s="11"/>
      <c r="AI45" s="9"/>
      <c r="AJ45" s="11"/>
      <c r="AK45" s="11"/>
      <c r="AL45" s="9"/>
      <c r="AM45" s="11"/>
      <c r="AN45" s="11"/>
      <c r="AO45" s="9"/>
      <c r="AP45" s="11"/>
      <c r="AQ45" s="11"/>
      <c r="AR45" s="9"/>
      <c r="AS45" s="11">
        <v>477.52</v>
      </c>
      <c r="AT45" s="11">
        <v>20.14</v>
      </c>
      <c r="AU45" s="9">
        <f t="shared" si="24"/>
        <v>0.12105716962</v>
      </c>
      <c r="AV45" s="11"/>
      <c r="AW45" s="11"/>
      <c r="AX45" s="9"/>
      <c r="AY45" s="11"/>
      <c r="AZ45" s="11"/>
      <c r="BA45" s="9"/>
      <c r="BB45" s="11"/>
      <c r="BC45" s="11"/>
      <c r="BD45" s="9"/>
      <c r="BE45" s="11"/>
      <c r="BF45" s="11"/>
      <c r="BG45" s="9"/>
      <c r="BH45" s="11"/>
      <c r="BI45" s="11"/>
      <c r="BJ45" s="9"/>
      <c r="BK45" s="11"/>
      <c r="BL45" s="11"/>
      <c r="BM45" s="9"/>
    </row>
    <row r="46" spans="3:65" x14ac:dyDescent="0.2">
      <c r="C46" s="11">
        <v>296.14999999999998</v>
      </c>
      <c r="D46" s="11">
        <v>16.57</v>
      </c>
      <c r="E46" s="9">
        <f t="shared" si="21"/>
        <v>5.0820246959375003E-2</v>
      </c>
      <c r="F46" s="11"/>
      <c r="G46" s="11"/>
      <c r="H46" s="9"/>
      <c r="I46" s="11">
        <v>404.63</v>
      </c>
      <c r="J46" s="11">
        <v>15.53</v>
      </c>
      <c r="K46" s="9">
        <f t="shared" si="22"/>
        <v>6.0993142229374991E-2</v>
      </c>
      <c r="L46" s="11"/>
      <c r="M46" s="11"/>
      <c r="N46" s="9"/>
      <c r="O46" s="11"/>
      <c r="P46" s="11"/>
      <c r="Q46" s="9"/>
      <c r="R46" s="11"/>
      <c r="S46" s="11"/>
      <c r="T46" s="9"/>
      <c r="U46" s="11"/>
      <c r="V46" s="11"/>
      <c r="W46" s="9"/>
      <c r="X46" s="11"/>
      <c r="Y46" s="11"/>
      <c r="Z46" s="9"/>
      <c r="AA46" s="11"/>
      <c r="AB46" s="11"/>
      <c r="AC46" s="9"/>
      <c r="AD46" s="11"/>
      <c r="AE46" s="11"/>
      <c r="AF46" s="9"/>
      <c r="AG46" s="11"/>
      <c r="AH46" s="11"/>
      <c r="AI46" s="9"/>
      <c r="AJ46" s="11"/>
      <c r="AK46" s="11"/>
      <c r="AL46" s="9"/>
      <c r="AM46" s="11"/>
      <c r="AN46" s="11"/>
      <c r="AO46" s="9"/>
      <c r="AP46" s="11"/>
      <c r="AQ46" s="11"/>
      <c r="AR46" s="9"/>
      <c r="AS46" s="11">
        <v>371.9</v>
      </c>
      <c r="AT46" s="11">
        <v>12.31</v>
      </c>
      <c r="AU46" s="9">
        <f t="shared" si="24"/>
        <v>3.5222672243750003E-2</v>
      </c>
      <c r="AV46" s="11"/>
      <c r="AW46" s="11"/>
      <c r="AX46" s="9"/>
      <c r="AY46" s="11"/>
      <c r="AZ46" s="11"/>
      <c r="BA46" s="9"/>
      <c r="BB46" s="11"/>
      <c r="BC46" s="11"/>
      <c r="BD46" s="9"/>
      <c r="BE46" s="11"/>
      <c r="BF46" s="11"/>
      <c r="BG46" s="9"/>
      <c r="BH46" s="11"/>
      <c r="BI46" s="11"/>
      <c r="BJ46" s="9"/>
      <c r="BK46" s="11"/>
      <c r="BL46" s="11"/>
      <c r="BM46" s="9"/>
    </row>
    <row r="47" spans="3:65" x14ac:dyDescent="0.2">
      <c r="C47" s="11">
        <v>345.04</v>
      </c>
      <c r="D47" s="11">
        <v>23.72</v>
      </c>
      <c r="E47" s="9">
        <f t="shared" si="21"/>
        <v>0.12133297095999998</v>
      </c>
      <c r="F47" s="11"/>
      <c r="G47" s="11"/>
      <c r="H47" s="9"/>
      <c r="I47" s="11">
        <v>370.28</v>
      </c>
      <c r="J47" s="11">
        <v>16.899999999999999</v>
      </c>
      <c r="K47" s="9">
        <f t="shared" si="22"/>
        <v>6.609729424999998E-2</v>
      </c>
      <c r="L47" s="11"/>
      <c r="M47" s="11"/>
      <c r="N47" s="9"/>
      <c r="O47" s="11"/>
      <c r="P47" s="11"/>
      <c r="Q47" s="9"/>
      <c r="R47" s="11"/>
      <c r="S47" s="11"/>
      <c r="T47" s="9"/>
      <c r="U47" s="11"/>
      <c r="V47" s="11"/>
      <c r="W47" s="9"/>
      <c r="X47" s="11"/>
      <c r="Y47" s="11"/>
      <c r="Z47" s="9"/>
      <c r="AA47" s="11"/>
      <c r="AB47" s="11"/>
      <c r="AC47" s="9"/>
      <c r="AD47" s="11"/>
      <c r="AE47" s="11"/>
      <c r="AF47" s="9"/>
      <c r="AG47" s="11"/>
      <c r="AH47" s="11"/>
      <c r="AI47" s="9"/>
      <c r="AJ47" s="11"/>
      <c r="AK47" s="11"/>
      <c r="AL47" s="9"/>
      <c r="AM47" s="11"/>
      <c r="AN47" s="11"/>
      <c r="AO47" s="9"/>
      <c r="AP47" s="11"/>
      <c r="AQ47" s="11"/>
      <c r="AR47" s="9"/>
      <c r="AS47" s="11">
        <v>299.82</v>
      </c>
      <c r="AT47" s="11">
        <v>12.55</v>
      </c>
      <c r="AU47" s="9">
        <f t="shared" si="24"/>
        <v>2.951399971875E-2</v>
      </c>
      <c r="AV47" s="11"/>
      <c r="AW47" s="11"/>
      <c r="AX47" s="9"/>
      <c r="AY47" s="11"/>
      <c r="AZ47" s="11"/>
      <c r="BA47" s="9"/>
      <c r="BB47" s="11"/>
      <c r="BC47" s="11"/>
      <c r="BD47" s="9"/>
      <c r="BE47" s="11"/>
      <c r="BF47" s="11"/>
      <c r="BG47" s="9"/>
      <c r="BH47" s="11"/>
      <c r="BI47" s="11"/>
      <c r="BJ47" s="9"/>
      <c r="BK47" s="11"/>
      <c r="BL47" s="11"/>
      <c r="BM47" s="9"/>
    </row>
    <row r="48" spans="3:65" x14ac:dyDescent="0.2">
      <c r="C48" s="11">
        <v>257.25</v>
      </c>
      <c r="D48" s="11">
        <v>16.59</v>
      </c>
      <c r="E48" s="9">
        <f t="shared" si="21"/>
        <v>4.4251517953125007E-2</v>
      </c>
      <c r="F48" s="11"/>
      <c r="G48" s="11"/>
      <c r="H48" s="9"/>
      <c r="I48" s="11">
        <v>374.64</v>
      </c>
      <c r="J48" s="11">
        <v>12.67</v>
      </c>
      <c r="K48" s="9">
        <f t="shared" si="22"/>
        <v>3.7587841934999998E-2</v>
      </c>
      <c r="L48" s="11"/>
      <c r="M48" s="11"/>
      <c r="N48" s="9"/>
      <c r="O48" s="11"/>
      <c r="P48" s="11"/>
      <c r="Q48" s="9"/>
      <c r="R48" s="11"/>
      <c r="S48" s="11"/>
      <c r="T48" s="9"/>
      <c r="U48" s="11"/>
      <c r="V48" s="11"/>
      <c r="W48" s="9"/>
      <c r="X48" s="11"/>
      <c r="Y48" s="11"/>
      <c r="Z48" s="9"/>
      <c r="AA48" s="11"/>
      <c r="AB48" s="11"/>
      <c r="AC48" s="9"/>
      <c r="AD48" s="11"/>
      <c r="AE48" s="11"/>
      <c r="AF48" s="9"/>
      <c r="AG48" s="11"/>
      <c r="AH48" s="11"/>
      <c r="AI48" s="9"/>
      <c r="AJ48" s="11"/>
      <c r="AK48" s="11"/>
      <c r="AL48" s="9"/>
      <c r="AM48" s="11"/>
      <c r="AN48" s="11"/>
      <c r="AO48" s="9"/>
      <c r="AP48" s="11"/>
      <c r="AQ48" s="11"/>
      <c r="AR48" s="9"/>
      <c r="AS48" s="11">
        <v>450.78</v>
      </c>
      <c r="AT48" s="11">
        <v>15.97</v>
      </c>
      <c r="AU48" s="9">
        <f t="shared" si="24"/>
        <v>7.1854585563750004E-2</v>
      </c>
      <c r="AV48" s="11"/>
      <c r="AW48" s="11"/>
      <c r="AX48" s="9"/>
      <c r="AY48" s="11"/>
      <c r="AZ48" s="11"/>
      <c r="BA48" s="9"/>
      <c r="BB48" s="11"/>
      <c r="BC48" s="11"/>
      <c r="BD48" s="9"/>
      <c r="BE48" s="11"/>
      <c r="BF48" s="11"/>
      <c r="BG48" s="9"/>
      <c r="BH48" s="11"/>
      <c r="BI48" s="11"/>
      <c r="BJ48" s="9"/>
      <c r="BK48" s="11"/>
      <c r="BL48" s="11"/>
      <c r="BM48" s="9"/>
    </row>
    <row r="49" spans="3:65" x14ac:dyDescent="0.2">
      <c r="C49" s="11">
        <v>226.51</v>
      </c>
      <c r="D49" s="11">
        <v>15.12</v>
      </c>
      <c r="E49" s="9">
        <f t="shared" si="21"/>
        <v>3.2364654839999993E-2</v>
      </c>
      <c r="F49" s="11"/>
      <c r="G49" s="11"/>
      <c r="H49" s="9"/>
      <c r="I49" s="11">
        <v>325.13</v>
      </c>
      <c r="J49" s="11">
        <v>12.28</v>
      </c>
      <c r="K49" s="9">
        <f t="shared" si="22"/>
        <v>3.064317737E-2</v>
      </c>
      <c r="L49" s="11"/>
      <c r="M49" s="11"/>
      <c r="N49" s="9"/>
      <c r="O49" s="11"/>
      <c r="P49" s="11"/>
      <c r="Q49" s="9"/>
      <c r="R49" s="11"/>
      <c r="S49" s="11"/>
      <c r="T49" s="9"/>
      <c r="U49" s="11"/>
      <c r="V49" s="11"/>
      <c r="W49" s="9"/>
      <c r="X49" s="11"/>
      <c r="Y49" s="11"/>
      <c r="Z49" s="9"/>
      <c r="AA49" s="11"/>
      <c r="AB49" s="11"/>
      <c r="AC49" s="9"/>
      <c r="AD49" s="11"/>
      <c r="AE49" s="11"/>
      <c r="AF49" s="9"/>
      <c r="AG49" s="11"/>
      <c r="AH49" s="11"/>
      <c r="AI49" s="9"/>
      <c r="AJ49" s="11"/>
      <c r="AK49" s="11"/>
      <c r="AL49" s="9"/>
      <c r="AM49" s="11"/>
      <c r="AN49" s="11"/>
      <c r="AO49" s="9"/>
      <c r="AP49" s="11"/>
      <c r="AQ49" s="11"/>
      <c r="AR49" s="9"/>
      <c r="AS49" s="11"/>
      <c r="AT49" s="11"/>
      <c r="AU49" s="9"/>
      <c r="AV49" s="11"/>
      <c r="AW49" s="11"/>
      <c r="AX49" s="9"/>
      <c r="AY49" s="11"/>
      <c r="AZ49" s="11"/>
      <c r="BA49" s="9"/>
      <c r="BB49" s="11"/>
      <c r="BC49" s="11"/>
      <c r="BD49" s="9"/>
      <c r="BE49" s="11"/>
      <c r="BF49" s="11"/>
      <c r="BG49" s="9"/>
      <c r="BH49" s="11"/>
      <c r="BI49" s="11"/>
      <c r="BJ49" s="9"/>
      <c r="BK49" s="11"/>
      <c r="BL49" s="11"/>
      <c r="BM49" s="9"/>
    </row>
    <row r="50" spans="3:65" x14ac:dyDescent="0.2">
      <c r="C50" s="11"/>
      <c r="D50" s="11"/>
      <c r="E50" s="9"/>
      <c r="F50" s="11"/>
      <c r="G50" s="11"/>
      <c r="H50" s="9"/>
      <c r="I50" s="11">
        <v>368.75</v>
      </c>
      <c r="J50" s="11">
        <v>16.53</v>
      </c>
      <c r="K50" s="9">
        <f t="shared" si="22"/>
        <v>6.2973488671875008E-2</v>
      </c>
      <c r="L50" s="11"/>
      <c r="M50" s="11"/>
      <c r="N50" s="9"/>
      <c r="O50" s="11"/>
      <c r="P50" s="11"/>
      <c r="Q50" s="9"/>
      <c r="R50" s="11"/>
      <c r="S50" s="11"/>
      <c r="T50" s="9"/>
      <c r="U50" s="11"/>
      <c r="V50" s="11"/>
      <c r="W50" s="9"/>
      <c r="X50" s="11"/>
      <c r="Y50" s="11"/>
      <c r="Z50" s="9"/>
      <c r="AA50" s="11"/>
      <c r="AB50" s="11"/>
      <c r="AC50" s="9"/>
      <c r="AD50" s="11"/>
      <c r="AE50" s="11"/>
      <c r="AF50" s="9"/>
      <c r="AG50" s="11"/>
      <c r="AH50" s="11"/>
      <c r="AI50" s="9"/>
      <c r="AJ50" s="11"/>
      <c r="AK50" s="11"/>
      <c r="AL50" s="9"/>
      <c r="AM50" s="11"/>
      <c r="AN50" s="11"/>
      <c r="AO50" s="9"/>
      <c r="AP50" s="11"/>
      <c r="AQ50" s="11"/>
      <c r="AR50" s="9"/>
      <c r="AS50" s="11"/>
      <c r="AT50" s="11"/>
      <c r="AU50" s="9"/>
      <c r="AV50" s="11"/>
      <c r="AW50" s="11"/>
      <c r="AX50" s="9"/>
      <c r="AY50" s="11"/>
      <c r="AZ50" s="11"/>
      <c r="BA50" s="9"/>
      <c r="BB50" s="11"/>
      <c r="BC50" s="11"/>
      <c r="BD50" s="9"/>
      <c r="BE50" s="11"/>
      <c r="BF50" s="11"/>
      <c r="BG50" s="9"/>
      <c r="BH50" s="11"/>
      <c r="BI50" s="11"/>
      <c r="BJ50" s="9"/>
      <c r="BK50" s="11"/>
      <c r="BL50" s="11"/>
      <c r="BM50" s="9"/>
    </row>
    <row r="51" spans="3:65" x14ac:dyDescent="0.2">
      <c r="C51" s="11"/>
      <c r="D51" s="11"/>
      <c r="E51" s="9"/>
      <c r="F51" s="11"/>
      <c r="G51" s="11"/>
      <c r="H51" s="9"/>
      <c r="I51" s="11">
        <v>350.92</v>
      </c>
      <c r="J51" s="11">
        <v>18.71</v>
      </c>
      <c r="K51" s="9">
        <f t="shared" si="22"/>
        <v>7.6777808732500008E-2</v>
      </c>
      <c r="L51" s="11"/>
      <c r="M51" s="11"/>
      <c r="N51" s="9"/>
      <c r="O51" s="11"/>
      <c r="P51" s="11"/>
      <c r="Q51" s="9"/>
      <c r="R51" s="11"/>
      <c r="S51" s="11"/>
      <c r="T51" s="9"/>
      <c r="U51" s="11"/>
      <c r="V51" s="11"/>
      <c r="W51" s="9"/>
      <c r="X51" s="11"/>
      <c r="Y51" s="11"/>
      <c r="Z51" s="9"/>
      <c r="AA51" s="11"/>
      <c r="AB51" s="11"/>
      <c r="AC51" s="9"/>
      <c r="AD51" s="11"/>
      <c r="AE51" s="11"/>
      <c r="AF51" s="9"/>
      <c r="AG51" s="11"/>
      <c r="AH51" s="11"/>
      <c r="AI51" s="9"/>
      <c r="AJ51" s="11"/>
      <c r="AK51" s="11"/>
      <c r="AL51" s="9"/>
      <c r="AM51" s="11"/>
      <c r="AN51" s="11"/>
      <c r="AO51" s="9"/>
      <c r="AP51" s="11"/>
      <c r="AQ51" s="11"/>
      <c r="AR51" s="9"/>
      <c r="AS51" s="11"/>
      <c r="AT51" s="11"/>
      <c r="AU51" s="9"/>
      <c r="AV51" s="11"/>
      <c r="AW51" s="11"/>
      <c r="AX51" s="9"/>
      <c r="AY51" s="11"/>
      <c r="AZ51" s="11"/>
      <c r="BA51" s="9"/>
      <c r="BB51" s="11"/>
      <c r="BC51" s="11"/>
      <c r="BD51" s="9"/>
      <c r="BE51" s="11"/>
      <c r="BF51" s="11"/>
      <c r="BG51" s="9"/>
      <c r="BH51" s="11"/>
      <c r="BI51" s="11"/>
      <c r="BJ51" s="9"/>
      <c r="BK51" s="11"/>
      <c r="BL51" s="11"/>
      <c r="BM51" s="9"/>
    </row>
    <row r="52" spans="3:65" x14ac:dyDescent="0.2">
      <c r="C52" s="11"/>
      <c r="D52" s="11"/>
      <c r="E52" s="9"/>
      <c r="F52" s="11"/>
      <c r="G52" s="11"/>
      <c r="H52" s="9"/>
      <c r="I52" s="11">
        <v>362.85</v>
      </c>
      <c r="J52" s="11">
        <v>14.91</v>
      </c>
      <c r="K52" s="9">
        <f t="shared" si="22"/>
        <v>5.0415308803124996E-2</v>
      </c>
      <c r="L52" s="11"/>
      <c r="M52" s="11"/>
      <c r="N52" s="9"/>
      <c r="O52" s="11"/>
      <c r="P52" s="11"/>
      <c r="Q52" s="9"/>
      <c r="R52" s="11"/>
      <c r="S52" s="11"/>
      <c r="T52" s="9"/>
      <c r="U52" s="11"/>
      <c r="V52" s="11"/>
      <c r="W52" s="9"/>
      <c r="X52" s="11"/>
      <c r="Y52" s="11"/>
      <c r="Z52" s="9"/>
      <c r="AA52" s="11"/>
      <c r="AB52" s="11"/>
      <c r="AC52" s="9"/>
      <c r="AD52" s="11"/>
      <c r="AE52" s="11"/>
      <c r="AF52" s="9"/>
      <c r="AG52" s="11"/>
      <c r="AH52" s="11"/>
      <c r="AI52" s="9"/>
      <c r="AJ52" s="11"/>
      <c r="AK52" s="11"/>
      <c r="AL52" s="9"/>
      <c r="AM52" s="11"/>
      <c r="AN52" s="11"/>
      <c r="AO52" s="9"/>
      <c r="AP52" s="11"/>
      <c r="AQ52" s="11"/>
      <c r="AR52" s="9"/>
      <c r="AS52" s="11"/>
      <c r="AT52" s="11"/>
      <c r="AU52" s="9"/>
      <c r="AV52" s="11"/>
      <c r="AW52" s="11"/>
      <c r="AX52" s="9"/>
      <c r="AY52" s="11"/>
      <c r="AZ52" s="11"/>
      <c r="BA52" s="9"/>
      <c r="BB52" s="11"/>
      <c r="BC52" s="11"/>
      <c r="BD52" s="9"/>
      <c r="BE52" s="11"/>
      <c r="BF52" s="11"/>
      <c r="BG52" s="9"/>
      <c r="BH52" s="11"/>
      <c r="BI52" s="11"/>
      <c r="BJ52" s="9"/>
      <c r="BK52" s="11"/>
      <c r="BL52" s="11"/>
      <c r="BM52" s="9"/>
    </row>
    <row r="53" spans="3:65" x14ac:dyDescent="0.2">
      <c r="C53" s="11"/>
      <c r="D53" s="11"/>
      <c r="E53" s="9"/>
      <c r="F53" s="11"/>
      <c r="G53" s="11"/>
      <c r="H53" s="9"/>
      <c r="I53" s="11">
        <v>383.4</v>
      </c>
      <c r="J53" s="11">
        <v>15.45</v>
      </c>
      <c r="K53" s="9">
        <f t="shared" si="22"/>
        <v>5.7199086562499994E-2</v>
      </c>
      <c r="L53" s="11"/>
      <c r="M53" s="11"/>
      <c r="N53" s="9"/>
      <c r="O53" s="11"/>
      <c r="P53" s="11"/>
      <c r="Q53" s="9"/>
      <c r="R53" s="11"/>
      <c r="S53" s="11"/>
      <c r="T53" s="9"/>
      <c r="U53" s="11"/>
      <c r="V53" s="11"/>
      <c r="W53" s="9"/>
      <c r="X53" s="11"/>
      <c r="Y53" s="11"/>
      <c r="Z53" s="9"/>
      <c r="AA53" s="11"/>
      <c r="AB53" s="11"/>
      <c r="AC53" s="9"/>
      <c r="AD53" s="11"/>
      <c r="AE53" s="11"/>
      <c r="AF53" s="9"/>
      <c r="AG53" s="11"/>
      <c r="AH53" s="11"/>
      <c r="AI53" s="9"/>
      <c r="AJ53" s="11"/>
      <c r="AK53" s="11"/>
      <c r="AL53" s="9"/>
      <c r="AM53" s="11"/>
      <c r="AN53" s="11"/>
      <c r="AO53" s="9"/>
      <c r="AP53" s="11"/>
      <c r="AQ53" s="11"/>
      <c r="AR53" s="9"/>
      <c r="AS53" s="11"/>
      <c r="AT53" s="11"/>
      <c r="AU53" s="9"/>
      <c r="AV53" s="11"/>
      <c r="AW53" s="11"/>
      <c r="AX53" s="9"/>
      <c r="AY53" s="11"/>
      <c r="AZ53" s="11"/>
      <c r="BA53" s="9"/>
      <c r="BB53" s="11"/>
      <c r="BC53" s="11"/>
      <c r="BD53" s="9"/>
      <c r="BE53" s="11"/>
      <c r="BF53" s="11"/>
      <c r="BG53" s="9"/>
      <c r="BH53" s="11"/>
      <c r="BI53" s="11"/>
      <c r="BJ53" s="9"/>
      <c r="BK53" s="11"/>
      <c r="BL53" s="11"/>
      <c r="BM53" s="9"/>
    </row>
    <row r="54" spans="3:65" x14ac:dyDescent="0.2">
      <c r="C54" s="11"/>
      <c r="D54" s="11"/>
      <c r="E54" s="9"/>
      <c r="F54" s="11"/>
      <c r="G54" s="11"/>
      <c r="H54" s="9"/>
      <c r="I54" s="11">
        <v>361.32</v>
      </c>
      <c r="J54" s="11">
        <v>17.88</v>
      </c>
      <c r="K54" s="9">
        <f t="shared" si="22"/>
        <v>7.2194987879999992E-2</v>
      </c>
      <c r="L54" s="11"/>
      <c r="M54" s="11"/>
      <c r="N54" s="9"/>
      <c r="O54" s="11"/>
      <c r="P54" s="11"/>
      <c r="Q54" s="9"/>
      <c r="R54" s="11"/>
      <c r="S54" s="11"/>
      <c r="T54" s="9"/>
      <c r="U54" s="11"/>
      <c r="V54" s="11"/>
      <c r="W54" s="9"/>
      <c r="X54" s="11"/>
      <c r="Y54" s="11"/>
      <c r="Z54" s="9"/>
      <c r="AA54" s="11"/>
      <c r="AB54" s="11"/>
      <c r="AC54" s="9"/>
      <c r="AD54" s="11"/>
      <c r="AE54" s="11"/>
      <c r="AF54" s="9"/>
      <c r="AG54" s="11"/>
      <c r="AH54" s="11"/>
      <c r="AI54" s="9"/>
      <c r="AJ54" s="11"/>
      <c r="AK54" s="11"/>
      <c r="AL54" s="9"/>
      <c r="AM54" s="11"/>
      <c r="AN54" s="11"/>
      <c r="AO54" s="9"/>
      <c r="AP54" s="11"/>
      <c r="AQ54" s="11"/>
      <c r="AR54" s="9"/>
      <c r="AS54" s="11"/>
      <c r="AT54" s="11"/>
      <c r="AU54" s="9"/>
      <c r="AV54" s="11"/>
      <c r="AW54" s="11"/>
      <c r="AX54" s="9"/>
      <c r="AY54" s="11"/>
      <c r="AZ54" s="11"/>
      <c r="BA54" s="9"/>
      <c r="BB54" s="11"/>
      <c r="BC54" s="11"/>
      <c r="BD54" s="9"/>
      <c r="BE54" s="11"/>
      <c r="BF54" s="11"/>
      <c r="BG54" s="9"/>
      <c r="BH54" s="11"/>
      <c r="BI54" s="11"/>
      <c r="BJ54" s="9"/>
      <c r="BK54" s="11"/>
      <c r="BL54" s="11"/>
      <c r="BM54" s="9"/>
    </row>
    <row r="55" spans="3:65" x14ac:dyDescent="0.2">
      <c r="C55" s="11"/>
      <c r="D55" s="11"/>
      <c r="E55" s="9"/>
      <c r="F55" s="11"/>
      <c r="G55" s="11"/>
      <c r="H55" s="9"/>
      <c r="I55" s="11">
        <v>372.78</v>
      </c>
      <c r="J55" s="11">
        <v>14.74</v>
      </c>
      <c r="K55" s="9">
        <f t="shared" si="22"/>
        <v>5.0620634954999993E-2</v>
      </c>
      <c r="L55" s="11"/>
      <c r="M55" s="11"/>
      <c r="N55" s="9"/>
      <c r="O55" s="11"/>
      <c r="P55" s="11"/>
      <c r="Q55" s="9"/>
      <c r="R55" s="11"/>
      <c r="S55" s="11"/>
      <c r="T55" s="9"/>
      <c r="U55" s="11"/>
      <c r="V55" s="11"/>
      <c r="W55" s="9"/>
      <c r="X55" s="11"/>
      <c r="Y55" s="11"/>
      <c r="Z55" s="9"/>
      <c r="AA55" s="11"/>
      <c r="AB55" s="11"/>
      <c r="AC55" s="9"/>
      <c r="AD55" s="11"/>
      <c r="AE55" s="11"/>
      <c r="AF55" s="9"/>
      <c r="AG55" s="11"/>
      <c r="AH55" s="11"/>
      <c r="AI55" s="9"/>
      <c r="AJ55" s="11"/>
      <c r="AK55" s="11"/>
      <c r="AL55" s="9"/>
      <c r="AM55" s="11"/>
      <c r="AN55" s="11"/>
      <c r="AO55" s="9"/>
      <c r="AP55" s="11"/>
      <c r="AQ55" s="11"/>
      <c r="AR55" s="9"/>
      <c r="AS55" s="11"/>
      <c r="AT55" s="11"/>
      <c r="AU55" s="9"/>
      <c r="AV55" s="11"/>
      <c r="AW55" s="11"/>
      <c r="AX55" s="9"/>
      <c r="AY55" s="11"/>
      <c r="AZ55" s="11"/>
      <c r="BA55" s="9"/>
      <c r="BB55" s="11"/>
      <c r="BC55" s="11"/>
      <c r="BD55" s="9"/>
      <c r="BE55" s="11"/>
      <c r="BF55" s="11"/>
      <c r="BG55" s="9"/>
      <c r="BH55" s="11"/>
      <c r="BI55" s="11"/>
      <c r="BJ55" s="9"/>
      <c r="BK55" s="11"/>
      <c r="BL55" s="11"/>
      <c r="BM55" s="9"/>
    </row>
    <row r="56" spans="3:65" x14ac:dyDescent="0.2">
      <c r="C56" s="11"/>
      <c r="D56" s="11"/>
      <c r="E56" s="9"/>
      <c r="F56" s="11"/>
      <c r="G56" s="11"/>
      <c r="H56" s="9"/>
      <c r="I56" s="11">
        <v>398.54</v>
      </c>
      <c r="J56" s="11">
        <v>20.09</v>
      </c>
      <c r="K56" s="9">
        <f t="shared" si="22"/>
        <v>0.10053373260875</v>
      </c>
      <c r="L56" s="11"/>
      <c r="M56" s="11"/>
      <c r="N56" s="9"/>
      <c r="O56" s="11"/>
      <c r="P56" s="11"/>
      <c r="Q56" s="9"/>
      <c r="R56" s="11"/>
      <c r="S56" s="11"/>
      <c r="T56" s="9"/>
      <c r="U56" s="11"/>
      <c r="V56" s="11"/>
      <c r="W56" s="9"/>
      <c r="X56" s="11"/>
      <c r="Y56" s="11"/>
      <c r="Z56" s="9"/>
      <c r="AA56" s="11"/>
      <c r="AB56" s="11"/>
      <c r="AC56" s="9"/>
      <c r="AD56" s="11"/>
      <c r="AE56" s="11"/>
      <c r="AF56" s="9"/>
      <c r="AG56" s="11"/>
      <c r="AH56" s="11"/>
      <c r="AI56" s="9"/>
      <c r="AJ56" s="11"/>
      <c r="AK56" s="11"/>
      <c r="AL56" s="9"/>
      <c r="AM56" s="11"/>
      <c r="AN56" s="11"/>
      <c r="AO56" s="9"/>
      <c r="AP56" s="11"/>
      <c r="AQ56" s="11"/>
      <c r="AR56" s="9"/>
      <c r="AS56" s="11"/>
      <c r="AT56" s="11"/>
      <c r="AU56" s="9"/>
      <c r="AV56" s="11"/>
      <c r="AW56" s="11"/>
      <c r="AX56" s="9"/>
      <c r="AY56" s="11"/>
      <c r="AZ56" s="11"/>
      <c r="BA56" s="9"/>
      <c r="BB56" s="11"/>
      <c r="BC56" s="11"/>
      <c r="BD56" s="9"/>
      <c r="BE56" s="11"/>
      <c r="BF56" s="11"/>
      <c r="BG56" s="9"/>
      <c r="BH56" s="11"/>
      <c r="BI56" s="11"/>
      <c r="BJ56" s="9"/>
      <c r="BK56" s="11"/>
      <c r="BL56" s="11"/>
      <c r="BM56" s="9"/>
    </row>
    <row r="57" spans="3:65" x14ac:dyDescent="0.2">
      <c r="C57" s="11"/>
      <c r="D57" s="11"/>
      <c r="E57" s="9"/>
      <c r="F57" s="11"/>
      <c r="G57" s="11"/>
      <c r="H57" s="9"/>
      <c r="I57" s="11">
        <v>386.48</v>
      </c>
      <c r="J57" s="11">
        <v>14.4</v>
      </c>
      <c r="K57" s="9">
        <f t="shared" si="22"/>
        <v>5.0087808000000004E-2</v>
      </c>
      <c r="L57" s="11"/>
      <c r="M57" s="11"/>
      <c r="N57" s="9"/>
      <c r="O57" s="11"/>
      <c r="P57" s="11"/>
      <c r="Q57" s="9"/>
      <c r="R57" s="11"/>
      <c r="S57" s="11"/>
      <c r="T57" s="9"/>
      <c r="U57" s="11"/>
      <c r="V57" s="11"/>
      <c r="W57" s="9"/>
      <c r="X57" s="11"/>
      <c r="Y57" s="11"/>
      <c r="Z57" s="9"/>
      <c r="AA57" s="11"/>
      <c r="AB57" s="11"/>
      <c r="AC57" s="9"/>
      <c r="AD57" s="11"/>
      <c r="AE57" s="11"/>
      <c r="AF57" s="9"/>
      <c r="AG57" s="11"/>
      <c r="AH57" s="11"/>
      <c r="AI57" s="9"/>
      <c r="AJ57" s="11"/>
      <c r="AK57" s="11"/>
      <c r="AL57" s="9"/>
      <c r="AM57" s="11"/>
      <c r="AN57" s="11"/>
      <c r="AO57" s="9"/>
      <c r="AP57" s="11"/>
      <c r="AQ57" s="11"/>
      <c r="AR57" s="9"/>
      <c r="AS57" s="11"/>
      <c r="AT57" s="11"/>
      <c r="AU57" s="9"/>
      <c r="AV57" s="11"/>
      <c r="AW57" s="11"/>
      <c r="AX57" s="9"/>
      <c r="AY57" s="11"/>
      <c r="AZ57" s="11"/>
      <c r="BA57" s="9"/>
      <c r="BB57" s="11"/>
      <c r="BC57" s="11"/>
      <c r="BD57" s="9"/>
      <c r="BE57" s="11"/>
      <c r="BF57" s="11"/>
      <c r="BG57" s="9"/>
      <c r="BH57" s="11"/>
      <c r="BI57" s="11"/>
      <c r="BJ57" s="9"/>
      <c r="BK57" s="11"/>
      <c r="BL57" s="11"/>
      <c r="BM57" s="9"/>
    </row>
    <row r="58" spans="3:65" x14ac:dyDescent="0.2">
      <c r="C58" s="11"/>
      <c r="D58" s="11"/>
      <c r="E58" s="9"/>
      <c r="F58" s="11"/>
      <c r="G58" s="11"/>
      <c r="H58" s="9"/>
      <c r="I58" s="11">
        <v>408.7</v>
      </c>
      <c r="J58" s="11">
        <v>17.100000000000001</v>
      </c>
      <c r="K58" s="9">
        <f t="shared" si="22"/>
        <v>7.4692479375000009E-2</v>
      </c>
      <c r="L58" s="11"/>
      <c r="M58" s="11"/>
      <c r="N58" s="9"/>
      <c r="O58" s="11"/>
      <c r="P58" s="11"/>
      <c r="Q58" s="9"/>
      <c r="R58" s="11"/>
      <c r="S58" s="11"/>
      <c r="T58" s="9"/>
      <c r="U58" s="11"/>
      <c r="V58" s="11"/>
      <c r="W58" s="9"/>
      <c r="X58" s="11"/>
      <c r="Y58" s="11"/>
      <c r="Z58" s="9"/>
      <c r="AA58" s="11"/>
      <c r="AB58" s="11"/>
      <c r="AC58" s="9"/>
      <c r="AD58" s="11"/>
      <c r="AE58" s="11"/>
      <c r="AF58" s="9"/>
      <c r="AG58" s="11"/>
      <c r="AH58" s="11"/>
      <c r="AI58" s="9"/>
      <c r="AJ58" s="11"/>
      <c r="AK58" s="11"/>
      <c r="AL58" s="9"/>
      <c r="AM58" s="11"/>
      <c r="AN58" s="11"/>
      <c r="AO58" s="9"/>
      <c r="AP58" s="11"/>
      <c r="AQ58" s="11"/>
      <c r="AR58" s="9"/>
      <c r="AS58" s="11"/>
      <c r="AT58" s="11"/>
      <c r="AU58" s="9"/>
      <c r="AV58" s="11"/>
      <c r="AW58" s="11"/>
      <c r="AX58" s="9"/>
      <c r="AY58" s="11"/>
      <c r="AZ58" s="11"/>
      <c r="BA58" s="9"/>
      <c r="BB58" s="11"/>
      <c r="BC58" s="11"/>
      <c r="BD58" s="9"/>
      <c r="BE58" s="11"/>
      <c r="BF58" s="11"/>
      <c r="BG58" s="9"/>
      <c r="BH58" s="11"/>
      <c r="BI58" s="11"/>
      <c r="BJ58" s="9"/>
      <c r="BK58" s="11"/>
      <c r="BL58" s="11"/>
      <c r="BM58" s="9"/>
    </row>
    <row r="59" spans="3:65" x14ac:dyDescent="0.2">
      <c r="C59" s="11"/>
      <c r="D59" s="11"/>
      <c r="E59" s="9"/>
      <c r="F59" s="11"/>
      <c r="G59" s="11"/>
      <c r="H59" s="9"/>
      <c r="I59" s="11">
        <v>392.34</v>
      </c>
      <c r="J59" s="11">
        <v>14.18</v>
      </c>
      <c r="K59" s="9">
        <f t="shared" si="22"/>
        <v>4.9305465884999997E-2</v>
      </c>
      <c r="L59" s="11"/>
      <c r="M59" s="11"/>
      <c r="N59" s="9"/>
      <c r="O59" s="11"/>
      <c r="P59" s="11"/>
      <c r="Q59" s="9"/>
      <c r="R59" s="11"/>
      <c r="S59" s="11"/>
      <c r="T59" s="9"/>
      <c r="U59" s="11"/>
      <c r="V59" s="11"/>
      <c r="W59" s="9"/>
      <c r="X59" s="11"/>
      <c r="Y59" s="11"/>
      <c r="Z59" s="9"/>
      <c r="AA59" s="11"/>
      <c r="AB59" s="11"/>
      <c r="AC59" s="9"/>
      <c r="AD59" s="11"/>
      <c r="AE59" s="11"/>
      <c r="AF59" s="9"/>
      <c r="AG59" s="11"/>
      <c r="AH59" s="11"/>
      <c r="AI59" s="9"/>
      <c r="AJ59" s="11"/>
      <c r="AK59" s="11"/>
      <c r="AL59" s="9"/>
      <c r="AM59" s="11"/>
      <c r="AN59" s="11"/>
      <c r="AO59" s="9"/>
      <c r="AP59" s="11"/>
      <c r="AQ59" s="11"/>
      <c r="AR59" s="9"/>
      <c r="AS59" s="11"/>
      <c r="AT59" s="11"/>
      <c r="AU59" s="9"/>
      <c r="AV59" s="11"/>
      <c r="AW59" s="11"/>
      <c r="AX59" s="9"/>
      <c r="AY59" s="11"/>
      <c r="AZ59" s="11"/>
      <c r="BA59" s="9"/>
      <c r="BB59" s="11"/>
      <c r="BC59" s="11"/>
      <c r="BD59" s="9"/>
      <c r="BE59" s="11"/>
      <c r="BF59" s="11"/>
      <c r="BG59" s="9"/>
      <c r="BH59" s="11"/>
      <c r="BI59" s="11"/>
      <c r="BJ59" s="9"/>
      <c r="BK59" s="11"/>
      <c r="BL59" s="11"/>
      <c r="BM59" s="9"/>
    </row>
    <row r="60" spans="3:65" x14ac:dyDescent="0.2">
      <c r="C60" s="11"/>
      <c r="D60" s="11"/>
      <c r="E60" s="9"/>
      <c r="F60" s="11"/>
      <c r="G60" s="11"/>
      <c r="H60" s="9"/>
      <c r="I60" s="11">
        <v>376.92</v>
      </c>
      <c r="J60" s="11">
        <v>16.98</v>
      </c>
      <c r="K60" s="9">
        <f t="shared" si="22"/>
        <v>6.7921078230000015E-2</v>
      </c>
      <c r="L60" s="11"/>
      <c r="M60" s="11"/>
      <c r="N60" s="9"/>
      <c r="O60" s="11"/>
      <c r="P60" s="11"/>
      <c r="Q60" s="9"/>
      <c r="R60" s="11"/>
      <c r="S60" s="11"/>
      <c r="T60" s="9"/>
      <c r="U60" s="11"/>
      <c r="V60" s="11"/>
      <c r="W60" s="9"/>
      <c r="X60" s="11"/>
      <c r="Y60" s="11"/>
      <c r="Z60" s="9"/>
      <c r="AA60" s="11"/>
      <c r="AB60" s="11"/>
      <c r="AC60" s="9"/>
      <c r="AD60" s="11"/>
      <c r="AE60" s="11"/>
      <c r="AF60" s="9"/>
      <c r="AG60" s="11"/>
      <c r="AH60" s="11"/>
      <c r="AI60" s="9"/>
      <c r="AJ60" s="11"/>
      <c r="AK60" s="11"/>
      <c r="AL60" s="9"/>
      <c r="AM60" s="11"/>
      <c r="AN60" s="11"/>
      <c r="AO60" s="9"/>
      <c r="AP60" s="11"/>
      <c r="AQ60" s="11"/>
      <c r="AR60" s="9"/>
      <c r="AS60" s="11"/>
      <c r="AT60" s="11"/>
      <c r="AU60" s="9"/>
      <c r="AV60" s="11"/>
      <c r="AW60" s="11"/>
      <c r="AX60" s="9"/>
      <c r="AY60" s="11"/>
      <c r="AZ60" s="11"/>
      <c r="BA60" s="9"/>
      <c r="BB60" s="11"/>
      <c r="BC60" s="11"/>
      <c r="BD60" s="9"/>
      <c r="BE60" s="11"/>
      <c r="BF60" s="11"/>
      <c r="BG60" s="9"/>
      <c r="BH60" s="11"/>
      <c r="BI60" s="11"/>
      <c r="BJ60" s="9"/>
      <c r="BK60" s="11"/>
      <c r="BL60" s="11"/>
      <c r="BM60" s="9"/>
    </row>
    <row r="61" spans="3:65" x14ac:dyDescent="0.2">
      <c r="C61" s="11"/>
      <c r="D61" s="11"/>
      <c r="E61" s="9"/>
      <c r="F61" s="11"/>
      <c r="G61" s="11"/>
      <c r="H61" s="9"/>
      <c r="I61" s="11">
        <v>416.77</v>
      </c>
      <c r="J61" s="11">
        <v>17.64</v>
      </c>
      <c r="K61" s="9">
        <f t="shared" si="22"/>
        <v>8.1053846370000002E-2</v>
      </c>
      <c r="L61" s="11"/>
      <c r="M61" s="11"/>
      <c r="N61" s="9"/>
      <c r="O61" s="11"/>
      <c r="P61" s="11"/>
      <c r="Q61" s="9"/>
      <c r="R61" s="11"/>
      <c r="S61" s="11"/>
      <c r="T61" s="9"/>
      <c r="U61" s="11"/>
      <c r="V61" s="11"/>
      <c r="W61" s="9"/>
      <c r="X61" s="11"/>
      <c r="Y61" s="11"/>
      <c r="Z61" s="9"/>
      <c r="AA61" s="11"/>
      <c r="AB61" s="11"/>
      <c r="AC61" s="9"/>
      <c r="AD61" s="11"/>
      <c r="AE61" s="11"/>
      <c r="AF61" s="9"/>
      <c r="AG61" s="11"/>
      <c r="AH61" s="11"/>
      <c r="AI61" s="9"/>
      <c r="AJ61" s="11"/>
      <c r="AK61" s="11"/>
      <c r="AL61" s="9"/>
      <c r="AM61" s="11"/>
      <c r="AN61" s="11"/>
      <c r="AO61" s="9"/>
      <c r="AP61" s="11"/>
      <c r="AQ61" s="11"/>
      <c r="AR61" s="9"/>
      <c r="AS61" s="11"/>
      <c r="AT61" s="11"/>
      <c r="AU61" s="9"/>
      <c r="AV61" s="11"/>
      <c r="AW61" s="11"/>
      <c r="AX61" s="9"/>
      <c r="AY61" s="11"/>
      <c r="AZ61" s="11"/>
      <c r="BA61" s="9"/>
      <c r="BB61" s="11"/>
      <c r="BC61" s="11"/>
      <c r="BD61" s="9"/>
      <c r="BE61" s="11"/>
      <c r="BF61" s="11"/>
      <c r="BG61" s="9"/>
      <c r="BH61" s="11"/>
      <c r="BI61" s="11"/>
      <c r="BJ61" s="9"/>
      <c r="BK61" s="11"/>
      <c r="BL61" s="11"/>
      <c r="BM61" s="9"/>
    </row>
    <row r="62" spans="3:65" x14ac:dyDescent="0.2">
      <c r="C62" s="11"/>
      <c r="D62" s="11"/>
      <c r="E62" s="9"/>
      <c r="F62" s="11"/>
      <c r="G62" s="11"/>
      <c r="H62" s="9"/>
      <c r="I62" s="11">
        <v>429.2</v>
      </c>
      <c r="J62" s="11">
        <v>19.64</v>
      </c>
      <c r="K62" s="9">
        <f t="shared" si="22"/>
        <v>0.1034719652</v>
      </c>
      <c r="L62" s="11"/>
      <c r="M62" s="11"/>
      <c r="N62" s="9"/>
      <c r="O62" s="11"/>
      <c r="P62" s="11"/>
      <c r="Q62" s="9"/>
      <c r="R62" s="11"/>
      <c r="S62" s="11"/>
      <c r="T62" s="9"/>
      <c r="U62" s="11"/>
      <c r="V62" s="11"/>
      <c r="W62" s="9"/>
      <c r="X62" s="11"/>
      <c r="Y62" s="11"/>
      <c r="Z62" s="9"/>
      <c r="AA62" s="11"/>
      <c r="AB62" s="11"/>
      <c r="AC62" s="9"/>
      <c r="AD62" s="11"/>
      <c r="AE62" s="11"/>
      <c r="AF62" s="9"/>
      <c r="AG62" s="11"/>
      <c r="AH62" s="11"/>
      <c r="AI62" s="9"/>
      <c r="AJ62" s="11"/>
      <c r="AK62" s="11"/>
      <c r="AL62" s="9"/>
      <c r="AM62" s="11"/>
      <c r="AN62" s="11"/>
      <c r="AO62" s="9"/>
      <c r="AP62" s="11"/>
      <c r="AQ62" s="11"/>
      <c r="AR62" s="9"/>
      <c r="AS62" s="11"/>
      <c r="AT62" s="11"/>
      <c r="AU62" s="9"/>
      <c r="AV62" s="11"/>
      <c r="AW62" s="11"/>
      <c r="AX62" s="9"/>
      <c r="AY62" s="11"/>
      <c r="AZ62" s="11"/>
      <c r="BA62" s="9"/>
      <c r="BB62" s="11"/>
      <c r="BC62" s="11"/>
      <c r="BD62" s="9"/>
      <c r="BE62" s="11"/>
      <c r="BF62" s="11"/>
      <c r="BG62" s="9"/>
      <c r="BH62" s="11"/>
      <c r="BI62" s="11"/>
      <c r="BJ62" s="9"/>
      <c r="BK62" s="11"/>
      <c r="BL62" s="11"/>
      <c r="BM62" s="9"/>
    </row>
    <row r="63" spans="3:65" x14ac:dyDescent="0.2">
      <c r="C63" s="11"/>
      <c r="D63" s="11"/>
      <c r="E63" s="9"/>
      <c r="F63" s="11"/>
      <c r="G63" s="11"/>
      <c r="H63" s="9"/>
      <c r="I63" s="11"/>
      <c r="J63" s="11"/>
      <c r="K63" s="9"/>
      <c r="L63" s="11"/>
      <c r="M63" s="11"/>
      <c r="N63" s="9"/>
      <c r="O63" s="11"/>
      <c r="P63" s="11"/>
      <c r="Q63" s="9"/>
      <c r="R63" s="11"/>
      <c r="S63" s="11"/>
      <c r="T63" s="9"/>
      <c r="U63" s="11"/>
      <c r="V63" s="11"/>
      <c r="W63" s="9"/>
      <c r="X63" s="11"/>
      <c r="Y63" s="11"/>
      <c r="Z63" s="9"/>
      <c r="AA63" s="11"/>
      <c r="AB63" s="11"/>
      <c r="AC63" s="9"/>
      <c r="AD63" s="11"/>
      <c r="AE63" s="11"/>
      <c r="AF63" s="9"/>
      <c r="AG63" s="11"/>
      <c r="AH63" s="11"/>
      <c r="AI63" s="9"/>
      <c r="AJ63" s="11"/>
      <c r="AK63" s="11"/>
      <c r="AL63" s="9"/>
      <c r="AM63" s="11"/>
      <c r="AN63" s="11"/>
      <c r="AO63" s="9"/>
      <c r="AP63" s="11"/>
      <c r="AQ63" s="11"/>
      <c r="AR63" s="9"/>
      <c r="AS63" s="11"/>
      <c r="AT63" s="11"/>
      <c r="AU63" s="9"/>
      <c r="AV63" s="11"/>
      <c r="AW63" s="11"/>
      <c r="AX63" s="9"/>
      <c r="AY63" s="11"/>
      <c r="AZ63" s="11"/>
      <c r="BA63" s="9"/>
      <c r="BB63" s="11"/>
      <c r="BC63" s="11"/>
      <c r="BD63" s="9"/>
      <c r="BE63" s="11"/>
      <c r="BF63" s="11"/>
      <c r="BG63" s="9"/>
      <c r="BH63" s="11"/>
      <c r="BI63" s="11"/>
      <c r="BJ63" s="9"/>
      <c r="BK63" s="11"/>
      <c r="BL63" s="11"/>
      <c r="BM63" s="9"/>
    </row>
    <row r="64" spans="3:65" x14ac:dyDescent="0.2">
      <c r="C64" s="11"/>
      <c r="D64" s="11"/>
      <c r="E64" s="9"/>
      <c r="F64" s="11"/>
      <c r="G64" s="11"/>
      <c r="H64" s="9"/>
      <c r="I64" s="11"/>
      <c r="J64" s="11"/>
      <c r="K64" s="9"/>
      <c r="L64" s="11"/>
      <c r="M64" s="11"/>
      <c r="N64" s="9"/>
      <c r="O64" s="11"/>
      <c r="P64" s="11"/>
      <c r="Q64" s="9"/>
      <c r="R64" s="11"/>
      <c r="S64" s="11"/>
      <c r="T64" s="9"/>
      <c r="U64" s="11"/>
      <c r="V64" s="11"/>
      <c r="W64" s="9"/>
      <c r="X64" s="11"/>
      <c r="Y64" s="11"/>
      <c r="Z64" s="9"/>
      <c r="AA64" s="11"/>
      <c r="AB64" s="11"/>
      <c r="AC64" s="9"/>
      <c r="AD64" s="11"/>
      <c r="AE64" s="11"/>
      <c r="AF64" s="9"/>
      <c r="AG64" s="11"/>
      <c r="AH64" s="11"/>
      <c r="AI64" s="9"/>
      <c r="AJ64" s="11"/>
      <c r="AK64" s="11"/>
      <c r="AL64" s="9"/>
      <c r="AM64" s="11"/>
      <c r="AN64" s="11"/>
      <c r="AO64" s="9"/>
      <c r="AP64" s="11"/>
      <c r="AQ64" s="11"/>
      <c r="AR64" s="9"/>
      <c r="AS64" s="11"/>
      <c r="AT64" s="11"/>
      <c r="AU64" s="9"/>
      <c r="AV64" s="11"/>
      <c r="AW64" s="11"/>
      <c r="AX64" s="9"/>
      <c r="AY64" s="11"/>
      <c r="AZ64" s="11"/>
      <c r="BA64" s="9"/>
      <c r="BB64" s="11"/>
      <c r="BC64" s="11"/>
      <c r="BD64" s="9"/>
      <c r="BE64" s="11"/>
      <c r="BF64" s="11"/>
      <c r="BG64" s="9"/>
      <c r="BH64" s="11"/>
      <c r="BI64" s="11"/>
      <c r="BJ64" s="9"/>
      <c r="BK64" s="11"/>
      <c r="BL64" s="11"/>
      <c r="BM64" s="9"/>
    </row>
    <row r="65" spans="3:65" x14ac:dyDescent="0.2">
      <c r="C65" s="11"/>
      <c r="D65" s="11"/>
      <c r="E65" s="9"/>
      <c r="F65" s="11"/>
      <c r="G65" s="11"/>
      <c r="H65" s="9"/>
      <c r="I65" s="11"/>
      <c r="J65" s="11"/>
      <c r="K65" s="9"/>
      <c r="L65" s="11"/>
      <c r="M65" s="11"/>
      <c r="N65" s="9"/>
      <c r="O65" s="11"/>
      <c r="P65" s="11"/>
      <c r="Q65" s="9"/>
      <c r="R65" s="11"/>
      <c r="S65" s="11"/>
      <c r="T65" s="9"/>
      <c r="U65" s="11"/>
      <c r="V65" s="11"/>
      <c r="W65" s="9"/>
      <c r="X65" s="11"/>
      <c r="Y65" s="11"/>
      <c r="Z65" s="9"/>
      <c r="AA65" s="11"/>
      <c r="AB65" s="11"/>
      <c r="AC65" s="9"/>
      <c r="AD65" s="11"/>
      <c r="AE65" s="11"/>
      <c r="AF65" s="9"/>
      <c r="AG65" s="11"/>
      <c r="AH65" s="11"/>
      <c r="AI65" s="9"/>
      <c r="AJ65" s="11"/>
      <c r="AK65" s="11"/>
      <c r="AL65" s="9"/>
      <c r="AM65" s="11"/>
      <c r="AN65" s="11"/>
      <c r="AO65" s="9"/>
      <c r="AP65" s="11"/>
      <c r="AQ65" s="11"/>
      <c r="AR65" s="9"/>
      <c r="AS65" s="11"/>
      <c r="AT65" s="11"/>
      <c r="AU65" s="9"/>
      <c r="AV65" s="11"/>
      <c r="AW65" s="11"/>
      <c r="AX65" s="9"/>
      <c r="AY65" s="11"/>
      <c r="AZ65" s="11"/>
      <c r="BA65" s="9"/>
      <c r="BB65" s="11"/>
      <c r="BC65" s="11"/>
      <c r="BD65" s="9"/>
      <c r="BE65" s="11"/>
      <c r="BF65" s="11"/>
      <c r="BG65" s="9"/>
      <c r="BH65" s="11"/>
      <c r="BI65" s="11"/>
      <c r="BJ65" s="9"/>
      <c r="BK65" s="11"/>
      <c r="BL65" s="11"/>
      <c r="BM65" s="9"/>
    </row>
    <row r="66" spans="3:65" x14ac:dyDescent="0.2">
      <c r="E66" s="9"/>
      <c r="H66" s="9"/>
      <c r="K66" s="9"/>
      <c r="N66" s="9"/>
      <c r="Q66" s="9"/>
      <c r="T66" s="9"/>
      <c r="W66" s="9"/>
      <c r="Z66" s="9"/>
      <c r="AC66" s="9"/>
      <c r="AF66" s="9"/>
      <c r="AI66" s="9"/>
      <c r="AL66" s="9"/>
      <c r="AO66" s="9"/>
      <c r="AR66" s="9"/>
      <c r="AU66" s="9"/>
      <c r="AX66" s="9"/>
      <c r="BA66" s="9"/>
      <c r="BD66" s="9"/>
      <c r="BG66" s="9"/>
      <c r="BJ66" s="9"/>
      <c r="BM66" s="9"/>
    </row>
    <row r="67" spans="3:65" x14ac:dyDescent="0.2">
      <c r="E67" s="9"/>
      <c r="H67" s="9"/>
      <c r="K67" s="9"/>
      <c r="N67" s="9"/>
      <c r="Q67" s="9"/>
      <c r="T67" s="9"/>
      <c r="W67" s="9"/>
      <c r="Z67" s="9"/>
      <c r="AC67" s="9"/>
      <c r="AF67" s="9"/>
      <c r="AI67" s="9"/>
      <c r="AL67" s="9"/>
      <c r="AO67" s="9"/>
      <c r="AR67" s="9"/>
      <c r="AU67" s="9"/>
      <c r="AX67" s="9"/>
      <c r="BA67" s="9"/>
      <c r="BD67" s="9"/>
      <c r="BG67" s="9"/>
      <c r="BJ67" s="9"/>
      <c r="BM67" s="9"/>
    </row>
    <row r="68" spans="3:65" x14ac:dyDescent="0.2">
      <c r="E68" s="9"/>
      <c r="H68" s="9"/>
      <c r="K68" s="9"/>
      <c r="N68" s="9"/>
      <c r="Q68" s="9"/>
      <c r="T68" s="9"/>
      <c r="W68" s="9"/>
      <c r="Z68" s="9"/>
      <c r="AC68" s="9"/>
      <c r="AF68" s="9"/>
      <c r="AI68" s="9"/>
      <c r="AL68" s="9"/>
      <c r="AO68" s="9"/>
      <c r="AR68" s="9"/>
      <c r="AU68" s="9"/>
      <c r="AX68" s="9"/>
      <c r="BA68" s="9"/>
      <c r="BD68" s="9"/>
      <c r="BG68" s="9"/>
      <c r="BJ68" s="9"/>
      <c r="BM68" s="9"/>
    </row>
    <row r="69" spans="3:65" x14ac:dyDescent="0.2">
      <c r="E69" s="9"/>
      <c r="H69" s="9"/>
      <c r="K69" s="9"/>
      <c r="N69" s="9"/>
      <c r="Q69" s="9"/>
      <c r="T69" s="9"/>
      <c r="W69" s="9"/>
      <c r="Z69" s="9"/>
      <c r="AC69" s="9"/>
      <c r="AF69" s="9"/>
      <c r="AI69" s="9"/>
      <c r="AL69" s="9"/>
      <c r="AO69" s="9"/>
      <c r="AR69" s="9"/>
      <c r="AU69" s="9"/>
      <c r="AX69" s="9"/>
      <c r="BA69" s="9"/>
      <c r="BD69" s="9"/>
      <c r="BG69" s="9"/>
      <c r="BJ69" s="9"/>
      <c r="BM69" s="9"/>
    </row>
    <row r="70" spans="3:65" x14ac:dyDescent="0.2">
      <c r="E70" s="9"/>
      <c r="H70" s="9"/>
      <c r="K70" s="9"/>
      <c r="N70" s="9"/>
      <c r="Q70" s="9"/>
      <c r="T70" s="9"/>
      <c r="W70" s="9"/>
      <c r="Z70" s="9"/>
      <c r="AC70" s="9"/>
      <c r="AF70" s="9"/>
      <c r="AI70" s="9"/>
      <c r="AL70" s="9"/>
      <c r="AO70" s="9"/>
      <c r="AR70" s="9"/>
      <c r="AU70" s="9"/>
      <c r="AX70" s="9"/>
      <c r="BA70" s="9"/>
      <c r="BD70" s="9"/>
      <c r="BG70" s="9"/>
      <c r="BJ70" s="9"/>
      <c r="BM70" s="9"/>
    </row>
    <row r="71" spans="3:65" x14ac:dyDescent="0.2">
      <c r="E71" s="9"/>
      <c r="H71" s="9"/>
      <c r="K71" s="9"/>
      <c r="N71" s="9"/>
      <c r="Q71" s="9"/>
      <c r="T71" s="9"/>
      <c r="W71" s="9"/>
      <c r="Z71" s="9"/>
      <c r="AC71" s="9"/>
      <c r="AF71" s="9"/>
      <c r="AI71" s="9"/>
      <c r="AL71" s="9"/>
      <c r="AO71" s="9"/>
      <c r="AR71" s="9"/>
      <c r="AU71" s="9"/>
      <c r="AX71" s="9"/>
      <c r="BA71" s="9"/>
      <c r="BD71" s="9"/>
      <c r="BG71" s="9"/>
      <c r="BJ71" s="9"/>
      <c r="BM71" s="9"/>
    </row>
    <row r="72" spans="3:65" x14ac:dyDescent="0.2">
      <c r="E72" s="9"/>
      <c r="H72" s="9"/>
      <c r="K72" s="9"/>
      <c r="N72" s="9"/>
      <c r="Q72" s="9"/>
      <c r="T72" s="9"/>
      <c r="W72" s="9"/>
      <c r="Z72" s="9"/>
      <c r="AC72" s="9"/>
      <c r="AF72" s="9"/>
      <c r="AI72" s="9"/>
      <c r="AL72" s="9"/>
      <c r="AO72" s="9"/>
      <c r="AR72" s="9"/>
      <c r="AU72" s="9"/>
      <c r="AX72" s="9"/>
      <c r="BA72" s="9"/>
      <c r="BD72" s="9"/>
      <c r="BG72" s="9"/>
      <c r="BJ72" s="9"/>
      <c r="BM72" s="9"/>
    </row>
    <row r="73" spans="3:65" x14ac:dyDescent="0.2">
      <c r="E73" s="9"/>
      <c r="H73" s="9"/>
      <c r="K73" s="9"/>
      <c r="N73" s="9"/>
      <c r="Q73" s="9"/>
      <c r="T73" s="9"/>
      <c r="W73" s="9"/>
      <c r="Z73" s="9"/>
      <c r="AC73" s="9"/>
      <c r="AF73" s="9"/>
      <c r="AI73" s="9"/>
      <c r="AL73" s="9"/>
      <c r="AO73" s="9"/>
      <c r="AR73" s="9"/>
      <c r="AU73" s="9"/>
      <c r="AX73" s="9"/>
      <c r="BA73" s="9"/>
      <c r="BD73" s="9"/>
      <c r="BG73" s="9"/>
      <c r="BJ73" s="9"/>
      <c r="BM73" s="9"/>
    </row>
    <row r="74" spans="3:65" x14ac:dyDescent="0.2">
      <c r="E74" s="9"/>
      <c r="H74" s="9"/>
      <c r="K74" s="9"/>
      <c r="N74" s="9"/>
      <c r="Q74" s="9"/>
      <c r="T74" s="9"/>
      <c r="W74" s="9"/>
      <c r="Z74" s="9"/>
      <c r="AC74" s="9"/>
      <c r="AF74" s="9"/>
      <c r="AI74" s="9"/>
      <c r="AL74" s="9"/>
      <c r="AO74" s="9"/>
      <c r="AR74" s="9"/>
      <c r="AU74" s="9"/>
      <c r="AX74" s="9"/>
      <c r="BA74" s="9"/>
      <c r="BD74" s="9"/>
      <c r="BG74" s="9"/>
      <c r="BJ74" s="9"/>
      <c r="BM74" s="9"/>
    </row>
    <row r="75" spans="3:65" x14ac:dyDescent="0.2">
      <c r="E75" s="9"/>
      <c r="H75" s="9"/>
      <c r="K75" s="9"/>
      <c r="N75" s="9"/>
      <c r="Q75" s="9"/>
      <c r="T75" s="9"/>
      <c r="W75" s="9"/>
      <c r="Z75" s="9"/>
      <c r="AC75" s="9"/>
      <c r="AF75" s="9"/>
      <c r="AI75" s="9"/>
      <c r="AL75" s="9"/>
      <c r="AO75" s="9"/>
      <c r="AR75" s="9"/>
      <c r="AU75" s="9"/>
      <c r="AX75" s="9"/>
      <c r="BA75" s="9"/>
      <c r="BD75" s="9"/>
      <c r="BG75" s="9"/>
      <c r="BJ75" s="9"/>
      <c r="BM75" s="9"/>
    </row>
    <row r="76" spans="3:65" x14ac:dyDescent="0.2">
      <c r="E76" s="9"/>
      <c r="H76" s="9"/>
      <c r="K76" s="9"/>
      <c r="N76" s="9"/>
      <c r="Q76" s="9"/>
      <c r="T76" s="9"/>
      <c r="W76" s="9"/>
      <c r="Z76" s="9"/>
      <c r="AC76" s="9"/>
      <c r="AF76" s="9"/>
      <c r="AI76" s="9"/>
      <c r="AL76" s="9"/>
      <c r="AO76" s="9"/>
      <c r="AR76" s="9"/>
      <c r="AU76" s="9"/>
      <c r="AX76" s="9"/>
      <c r="BA76" s="9"/>
      <c r="BD76" s="9"/>
      <c r="BG76" s="9"/>
      <c r="BJ76" s="9"/>
      <c r="BM76" s="9"/>
    </row>
    <row r="77" spans="3:65" x14ac:dyDescent="0.2">
      <c r="E77" s="9"/>
      <c r="H77" s="9"/>
      <c r="K77" s="9"/>
      <c r="N77" s="9"/>
      <c r="Q77" s="9"/>
      <c r="T77" s="9"/>
      <c r="W77" s="9"/>
      <c r="Z77" s="9"/>
      <c r="AC77" s="9"/>
      <c r="AF77" s="9"/>
      <c r="AI77" s="9"/>
      <c r="AL77" s="9"/>
      <c r="AO77" s="9"/>
      <c r="AR77" s="9"/>
      <c r="AU77" s="9"/>
      <c r="AX77" s="9"/>
      <c r="BA77" s="9"/>
      <c r="BD77" s="9"/>
      <c r="BG77" s="9"/>
      <c r="BJ77" s="9"/>
      <c r="BM77" s="9"/>
    </row>
    <row r="78" spans="3:65" x14ac:dyDescent="0.2">
      <c r="E78" s="9"/>
      <c r="H78" s="9"/>
      <c r="K78" s="9"/>
      <c r="N78" s="9"/>
      <c r="Q78" s="9"/>
      <c r="T78" s="9"/>
      <c r="W78" s="9"/>
      <c r="Z78" s="9"/>
      <c r="AC78" s="9"/>
      <c r="AF78" s="9"/>
      <c r="AI78" s="9"/>
      <c r="AL78" s="9"/>
      <c r="AO78" s="9"/>
      <c r="AR78" s="9"/>
      <c r="AU78" s="9"/>
      <c r="AX78" s="9"/>
      <c r="BA78" s="9"/>
      <c r="BD78" s="9"/>
      <c r="BG78" s="9"/>
      <c r="BJ78" s="9"/>
      <c r="BM78" s="9"/>
    </row>
    <row r="79" spans="3:65" x14ac:dyDescent="0.2">
      <c r="E79" s="9"/>
      <c r="H79" s="9"/>
      <c r="K79" s="9"/>
      <c r="N79" s="9"/>
      <c r="Q79" s="9"/>
      <c r="T79" s="9"/>
      <c r="W79" s="9"/>
      <c r="Z79" s="9"/>
      <c r="AC79" s="9"/>
      <c r="AF79" s="9"/>
      <c r="AI79" s="9"/>
      <c r="AL79" s="9"/>
      <c r="AO79" s="9"/>
      <c r="AR79" s="9"/>
      <c r="AU79" s="9"/>
      <c r="AX79" s="9"/>
      <c r="BA79" s="9"/>
      <c r="BD79" s="9"/>
      <c r="BG79" s="9"/>
      <c r="BJ79" s="9"/>
      <c r="BM79" s="9"/>
    </row>
    <row r="80" spans="3:65" x14ac:dyDescent="0.2">
      <c r="E80" s="9"/>
      <c r="H80" s="9"/>
      <c r="K80" s="9"/>
      <c r="N80" s="9"/>
      <c r="Q80" s="9"/>
      <c r="T80" s="9"/>
      <c r="W80" s="9"/>
      <c r="Z80" s="9"/>
      <c r="AC80" s="9"/>
      <c r="AF80" s="9"/>
      <c r="AI80" s="9"/>
      <c r="AL80" s="9"/>
      <c r="AO80" s="9"/>
      <c r="AR80" s="9"/>
      <c r="AU80" s="9"/>
      <c r="AX80" s="9"/>
      <c r="BA80" s="9"/>
      <c r="BD80" s="9"/>
      <c r="BG80" s="9"/>
      <c r="BJ80" s="9"/>
      <c r="BM80" s="9"/>
    </row>
    <row r="81" spans="5:65" x14ac:dyDescent="0.2">
      <c r="E81" s="9"/>
      <c r="H81" s="9"/>
      <c r="K81" s="9"/>
      <c r="N81" s="9"/>
      <c r="Q81" s="9"/>
      <c r="T81" s="9"/>
      <c r="W81" s="9"/>
      <c r="Z81" s="9"/>
      <c r="AC81" s="9"/>
      <c r="AF81" s="9"/>
      <c r="AI81" s="9"/>
      <c r="AL81" s="9"/>
      <c r="AO81" s="9"/>
      <c r="AR81" s="9"/>
      <c r="AU81" s="9"/>
      <c r="AX81" s="9"/>
      <c r="BA81" s="9"/>
      <c r="BD81" s="9"/>
      <c r="BG81" s="9"/>
      <c r="BJ81" s="9"/>
      <c r="BM81" s="9"/>
    </row>
    <row r="82" spans="5:65" x14ac:dyDescent="0.2">
      <c r="E82" s="9"/>
      <c r="H82" s="9"/>
      <c r="K82" s="9"/>
      <c r="N82" s="9"/>
      <c r="Q82" s="9"/>
      <c r="T82" s="9"/>
      <c r="W82" s="9"/>
      <c r="Z82" s="9"/>
      <c r="AC82" s="9"/>
      <c r="AF82" s="9"/>
      <c r="AI82" s="9"/>
      <c r="AL82" s="9"/>
      <c r="AO82" s="9"/>
      <c r="AR82" s="9"/>
      <c r="AU82" s="9"/>
      <c r="AX82" s="9"/>
      <c r="BA82" s="9"/>
      <c r="BD82" s="9"/>
      <c r="BG82" s="9"/>
      <c r="BJ82" s="9"/>
      <c r="BM82" s="9"/>
    </row>
    <row r="83" spans="5:65" x14ac:dyDescent="0.2">
      <c r="E83" s="9"/>
      <c r="H83" s="9"/>
      <c r="K83" s="9"/>
      <c r="N83" s="9"/>
      <c r="Q83" s="9"/>
      <c r="T83" s="9"/>
      <c r="W83" s="9"/>
      <c r="Z83" s="9"/>
      <c r="AC83" s="9"/>
      <c r="AF83" s="9"/>
      <c r="AI83" s="9"/>
      <c r="AL83" s="9"/>
      <c r="AO83" s="9"/>
      <c r="AR83" s="9"/>
      <c r="AU83" s="9"/>
      <c r="AX83" s="9"/>
      <c r="BA83" s="9"/>
      <c r="BD83" s="9"/>
      <c r="BG83" s="9"/>
      <c r="BJ83" s="9"/>
      <c r="BM83" s="9"/>
    </row>
    <row r="84" spans="5:65" x14ac:dyDescent="0.2">
      <c r="E84" s="9"/>
      <c r="H84" s="9"/>
      <c r="K84" s="9"/>
      <c r="N84" s="9"/>
      <c r="Q84" s="9"/>
      <c r="T84" s="9"/>
      <c r="W84" s="9"/>
      <c r="Z84" s="9"/>
      <c r="AC84" s="9"/>
      <c r="AF84" s="9"/>
      <c r="AI84" s="9"/>
      <c r="AL84" s="9"/>
      <c r="AO84" s="9"/>
      <c r="AR84" s="9"/>
      <c r="AU84" s="9"/>
      <c r="AX84" s="9"/>
      <c r="BA84" s="9"/>
      <c r="BD84" s="9"/>
      <c r="BG84" s="9"/>
      <c r="BJ84" s="9"/>
      <c r="BM84" s="9"/>
    </row>
    <row r="85" spans="5:65" x14ac:dyDescent="0.2">
      <c r="E85" s="9"/>
      <c r="H85" s="9"/>
      <c r="K85" s="9"/>
      <c r="N85" s="9"/>
      <c r="Q85" s="9"/>
      <c r="T85" s="9"/>
      <c r="W85" s="9"/>
      <c r="Z85" s="9"/>
      <c r="AC85" s="9"/>
      <c r="AF85" s="9"/>
      <c r="AI85" s="9"/>
      <c r="AL85" s="9"/>
      <c r="AO85" s="9"/>
      <c r="AR85" s="9"/>
      <c r="AU85" s="9"/>
      <c r="AX85" s="9"/>
      <c r="BA85" s="9"/>
      <c r="BD85" s="9"/>
      <c r="BG85" s="9"/>
      <c r="BJ85" s="9"/>
      <c r="BM85" s="9"/>
    </row>
    <row r="86" spans="5:65" x14ac:dyDescent="0.2">
      <c r="E86" s="9"/>
      <c r="H86" s="9"/>
      <c r="K86" s="9"/>
      <c r="N86" s="9"/>
      <c r="Q86" s="9"/>
      <c r="T86" s="9"/>
      <c r="W86" s="9"/>
      <c r="Z86" s="9"/>
      <c r="AC86" s="9"/>
      <c r="AF86" s="9"/>
      <c r="AI86" s="9"/>
      <c r="AL86" s="9"/>
      <c r="AO86" s="9"/>
      <c r="AR86" s="9"/>
      <c r="AU86" s="9"/>
      <c r="AX86" s="9"/>
      <c r="BA86" s="9"/>
      <c r="BD86" s="9"/>
      <c r="BG86" s="9"/>
      <c r="BJ86" s="9"/>
      <c r="BM86" s="9"/>
    </row>
    <row r="87" spans="5:65" x14ac:dyDescent="0.2">
      <c r="E87" s="9"/>
      <c r="H87" s="9"/>
      <c r="K87" s="9"/>
      <c r="N87" s="9"/>
      <c r="Q87" s="9"/>
      <c r="T87" s="9"/>
      <c r="W87" s="9"/>
      <c r="Z87" s="9"/>
      <c r="AC87" s="9"/>
      <c r="AF87" s="9"/>
      <c r="AI87" s="9"/>
      <c r="AL87" s="9"/>
      <c r="AO87" s="9"/>
      <c r="AR87" s="9"/>
      <c r="AU87" s="9"/>
      <c r="AX87" s="9"/>
      <c r="BA87" s="9"/>
      <c r="BD87" s="9"/>
      <c r="BG87" s="9"/>
      <c r="BJ87" s="9"/>
      <c r="BM87" s="9"/>
    </row>
    <row r="88" spans="5:65" x14ac:dyDescent="0.2">
      <c r="E88" s="9"/>
      <c r="H88" s="9"/>
      <c r="K88" s="9"/>
      <c r="N88" s="9"/>
      <c r="Q88" s="9"/>
      <c r="T88" s="9"/>
      <c r="W88" s="9"/>
      <c r="Z88" s="9"/>
      <c r="AC88" s="9"/>
      <c r="AF88" s="9"/>
      <c r="AI88" s="9"/>
      <c r="AL88" s="9"/>
      <c r="AO88" s="9"/>
      <c r="AR88" s="9"/>
      <c r="AU88" s="9"/>
      <c r="AX88" s="9"/>
      <c r="BA88" s="9"/>
      <c r="BD88" s="9"/>
      <c r="BG88" s="9"/>
      <c r="BJ88" s="9"/>
      <c r="BM88" s="9"/>
    </row>
    <row r="89" spans="5:65" x14ac:dyDescent="0.2">
      <c r="E89" s="9"/>
      <c r="H89" s="9"/>
      <c r="K89" s="9"/>
      <c r="N89" s="9"/>
      <c r="Q89" s="9"/>
      <c r="T89" s="9"/>
      <c r="W89" s="9"/>
      <c r="Z89" s="9"/>
      <c r="AC89" s="9"/>
      <c r="AF89" s="9"/>
      <c r="AI89" s="9"/>
      <c r="AL89" s="9"/>
      <c r="AO89" s="9"/>
      <c r="AR89" s="9"/>
      <c r="AU89" s="9"/>
      <c r="AX89" s="9"/>
      <c r="BA89" s="9"/>
      <c r="BD89" s="9"/>
      <c r="BG89" s="9"/>
      <c r="BJ89" s="9"/>
      <c r="BM89" s="9"/>
    </row>
    <row r="90" spans="5:65" x14ac:dyDescent="0.2">
      <c r="E90" s="9"/>
      <c r="H90" s="9"/>
      <c r="K90" s="9"/>
      <c r="N90" s="9"/>
      <c r="Q90" s="9"/>
      <c r="T90" s="9"/>
      <c r="W90" s="9"/>
      <c r="Z90" s="9"/>
      <c r="AC90" s="9"/>
      <c r="AF90" s="9"/>
      <c r="AI90" s="9"/>
      <c r="AL90" s="9"/>
      <c r="AO90" s="9"/>
      <c r="AR90" s="9"/>
      <c r="AU90" s="9"/>
      <c r="AX90" s="9"/>
      <c r="BA90" s="9"/>
      <c r="BD90" s="9"/>
      <c r="BG90" s="9"/>
      <c r="BJ90" s="9"/>
      <c r="BM90" s="9"/>
    </row>
    <row r="91" spans="5:65" x14ac:dyDescent="0.2">
      <c r="E91" s="9"/>
      <c r="H91" s="9"/>
      <c r="K91" s="9"/>
      <c r="N91" s="9"/>
      <c r="Q91" s="9"/>
      <c r="T91" s="9"/>
      <c r="W91" s="9"/>
      <c r="Z91" s="9"/>
      <c r="AC91" s="9"/>
      <c r="AF91" s="9"/>
      <c r="AI91" s="9"/>
      <c r="AL91" s="9"/>
      <c r="AO91" s="9"/>
      <c r="AR91" s="9"/>
      <c r="AU91" s="9"/>
      <c r="AX91" s="9"/>
      <c r="BA91" s="9"/>
      <c r="BD91" s="9"/>
      <c r="BG91" s="9"/>
      <c r="BJ91" s="9"/>
      <c r="BM91" s="9"/>
    </row>
    <row r="92" spans="5:65" x14ac:dyDescent="0.2">
      <c r="E92" s="9"/>
      <c r="H92" s="9"/>
      <c r="K92" s="9"/>
      <c r="N92" s="9"/>
      <c r="Q92" s="9"/>
      <c r="T92" s="9"/>
      <c r="W92" s="9"/>
      <c r="Z92" s="9"/>
      <c r="AC92" s="9"/>
      <c r="AF92" s="9"/>
      <c r="AI92" s="9"/>
      <c r="AL92" s="9"/>
      <c r="AO92" s="9"/>
      <c r="AR92" s="9"/>
      <c r="AU92" s="9"/>
      <c r="AX92" s="9"/>
      <c r="BA92" s="9"/>
      <c r="BD92" s="9"/>
      <c r="BG92" s="9"/>
      <c r="BJ92" s="9"/>
      <c r="BM92" s="9"/>
    </row>
    <row r="93" spans="5:65" x14ac:dyDescent="0.2">
      <c r="E93" s="9"/>
      <c r="H93" s="9"/>
      <c r="K93" s="9"/>
      <c r="N93" s="9"/>
      <c r="Q93" s="9"/>
      <c r="T93" s="9"/>
      <c r="W93" s="9"/>
      <c r="Z93" s="9"/>
      <c r="AC93" s="9"/>
      <c r="AF93" s="9"/>
      <c r="AI93" s="9"/>
      <c r="AL93" s="9"/>
      <c r="AO93" s="9"/>
      <c r="AR93" s="9"/>
      <c r="AU93" s="9"/>
      <c r="AX93" s="9"/>
      <c r="BA93" s="9"/>
      <c r="BD93" s="9"/>
      <c r="BG93" s="9"/>
      <c r="BJ93" s="9"/>
      <c r="BM93" s="9"/>
    </row>
    <row r="94" spans="5:65" x14ac:dyDescent="0.2">
      <c r="E94" s="9"/>
      <c r="H94" s="9"/>
      <c r="K94" s="9"/>
      <c r="N94" s="9"/>
      <c r="Q94" s="9"/>
      <c r="T94" s="9"/>
      <c r="W94" s="9"/>
      <c r="Z94" s="9"/>
      <c r="AC94" s="9"/>
      <c r="AF94" s="9"/>
      <c r="AI94" s="9"/>
      <c r="AL94" s="9"/>
      <c r="AO94" s="9"/>
      <c r="AR94" s="9"/>
      <c r="AU94" s="9"/>
      <c r="AX94" s="9"/>
      <c r="BA94" s="9"/>
      <c r="BD94" s="9"/>
      <c r="BG94" s="9"/>
      <c r="BJ94" s="9"/>
      <c r="BM94" s="9"/>
    </row>
    <row r="95" spans="5:65" x14ac:dyDescent="0.2">
      <c r="E95" s="9"/>
      <c r="H95" s="9"/>
      <c r="K95" s="9"/>
      <c r="N95" s="9"/>
      <c r="Q95" s="9"/>
      <c r="T95" s="9"/>
      <c r="W95" s="9"/>
      <c r="Z95" s="9"/>
      <c r="AC95" s="9"/>
      <c r="AF95" s="9"/>
      <c r="AI95" s="9"/>
      <c r="AL95" s="9"/>
      <c r="AO95" s="9"/>
      <c r="AR95" s="9"/>
      <c r="AU95" s="9"/>
      <c r="AX95" s="9"/>
      <c r="BA95" s="9"/>
      <c r="BD95" s="9"/>
      <c r="BG95" s="9"/>
      <c r="BJ95" s="9"/>
      <c r="BM95" s="9"/>
    </row>
    <row r="96" spans="5:65" x14ac:dyDescent="0.2">
      <c r="E96" s="9"/>
      <c r="H96" s="9"/>
      <c r="K96" s="9"/>
      <c r="N96" s="9"/>
      <c r="Q96" s="9"/>
      <c r="T96" s="9"/>
      <c r="W96" s="9"/>
      <c r="Z96" s="9"/>
      <c r="AC96" s="9"/>
      <c r="AF96" s="9"/>
      <c r="AI96" s="9"/>
      <c r="AL96" s="9"/>
      <c r="AO96" s="9"/>
      <c r="AR96" s="9"/>
      <c r="AU96" s="9"/>
      <c r="AX96" s="9"/>
      <c r="BA96" s="9"/>
      <c r="BD96" s="9"/>
      <c r="BG96" s="9"/>
      <c r="BJ96" s="9"/>
      <c r="BM96" s="9"/>
    </row>
    <row r="97" spans="5:65" x14ac:dyDescent="0.2">
      <c r="E97" s="9"/>
      <c r="H97" s="9"/>
      <c r="K97" s="9"/>
      <c r="N97" s="9"/>
      <c r="Q97" s="9"/>
      <c r="T97" s="9"/>
      <c r="W97" s="9"/>
      <c r="Z97" s="9"/>
      <c r="AC97" s="9"/>
      <c r="AF97" s="9"/>
      <c r="AI97" s="9"/>
      <c r="AL97" s="9"/>
      <c r="AO97" s="9"/>
      <c r="AR97" s="9"/>
      <c r="AU97" s="9"/>
      <c r="AX97" s="9"/>
      <c r="BA97" s="9"/>
      <c r="BD97" s="9"/>
      <c r="BG97" s="9"/>
      <c r="BJ97" s="9"/>
      <c r="BM97" s="9"/>
    </row>
    <row r="98" spans="5:65" x14ac:dyDescent="0.2">
      <c r="E98" s="9"/>
      <c r="H98" s="9"/>
      <c r="K98" s="9"/>
      <c r="N98" s="9"/>
      <c r="Q98" s="9"/>
      <c r="T98" s="9"/>
      <c r="W98" s="9"/>
      <c r="Z98" s="9"/>
      <c r="AC98" s="9"/>
      <c r="AF98" s="9"/>
      <c r="AI98" s="9"/>
      <c r="AL98" s="9"/>
      <c r="AO98" s="9"/>
      <c r="AR98" s="9"/>
      <c r="AU98" s="9"/>
      <c r="AX98" s="9"/>
      <c r="BA98" s="9"/>
      <c r="BD98" s="9"/>
      <c r="BG98" s="9"/>
      <c r="BJ98" s="9"/>
      <c r="BM98" s="9"/>
    </row>
    <row r="99" spans="5:65" x14ac:dyDescent="0.2">
      <c r="E99" s="9"/>
      <c r="H99" s="9"/>
      <c r="K99" s="9"/>
      <c r="N99" s="9"/>
      <c r="Q99" s="9"/>
      <c r="T99" s="9"/>
      <c r="W99" s="9"/>
      <c r="Z99" s="9"/>
      <c r="AC99" s="9"/>
      <c r="AF99" s="9"/>
      <c r="AI99" s="9"/>
      <c r="AL99" s="9"/>
      <c r="AO99" s="9"/>
      <c r="AR99" s="9"/>
      <c r="AU99" s="9"/>
      <c r="AX99" s="9"/>
      <c r="BA99" s="9"/>
      <c r="BD99" s="9"/>
      <c r="BG99" s="9"/>
      <c r="BJ99" s="9"/>
      <c r="BM99" s="9"/>
    </row>
    <row r="100" spans="5:65" x14ac:dyDescent="0.2">
      <c r="E100" s="9"/>
      <c r="H100" s="9"/>
      <c r="K100" s="9"/>
      <c r="N100" s="9"/>
      <c r="Q100" s="9"/>
      <c r="T100" s="9"/>
      <c r="W100" s="9"/>
      <c r="Z100" s="9"/>
      <c r="AC100" s="9"/>
      <c r="AF100" s="9"/>
      <c r="AI100" s="9"/>
      <c r="AL100" s="9"/>
      <c r="AO100" s="9"/>
      <c r="AR100" s="9"/>
      <c r="AU100" s="9"/>
      <c r="AX100" s="9"/>
      <c r="BA100" s="9"/>
      <c r="BD100" s="9"/>
      <c r="BG100" s="9"/>
      <c r="BJ100" s="9"/>
      <c r="BM100" s="9"/>
    </row>
    <row r="101" spans="5:65" x14ac:dyDescent="0.2">
      <c r="E101" s="9"/>
      <c r="H101" s="9"/>
      <c r="K101" s="9"/>
      <c r="N101" s="9"/>
      <c r="Q101" s="9"/>
      <c r="T101" s="9"/>
      <c r="W101" s="9"/>
      <c r="Z101" s="9"/>
      <c r="AC101" s="9"/>
      <c r="AF101" s="9"/>
      <c r="AI101" s="9"/>
      <c r="AL101" s="9"/>
      <c r="AO101" s="9"/>
      <c r="AR101" s="9"/>
      <c r="AU101" s="9"/>
      <c r="AX101" s="9"/>
      <c r="BA101" s="9"/>
      <c r="BD101" s="9"/>
      <c r="BG101" s="9"/>
      <c r="BJ101" s="9"/>
      <c r="BM101" s="9"/>
    </row>
    <row r="102" spans="5:65" x14ac:dyDescent="0.2">
      <c r="E102" s="9"/>
      <c r="H102" s="9"/>
      <c r="K102" s="9"/>
      <c r="N102" s="9"/>
      <c r="Q102" s="9"/>
      <c r="T102" s="9"/>
      <c r="W102" s="9"/>
      <c r="Z102" s="9"/>
      <c r="AC102" s="9"/>
      <c r="AF102" s="9"/>
      <c r="AI102" s="9"/>
      <c r="AL102" s="9"/>
      <c r="AO102" s="9"/>
      <c r="AR102" s="9"/>
      <c r="AU102" s="9"/>
      <c r="AX102" s="9"/>
      <c r="BA102" s="9"/>
      <c r="BD102" s="9"/>
      <c r="BG102" s="9"/>
      <c r="BJ102" s="9"/>
      <c r="BM102" s="9"/>
    </row>
    <row r="103" spans="5:65" x14ac:dyDescent="0.2">
      <c r="E103" s="9"/>
      <c r="H103" s="9"/>
      <c r="K103" s="9"/>
      <c r="N103" s="9"/>
      <c r="Q103" s="9"/>
      <c r="T103" s="9"/>
      <c r="W103" s="9"/>
      <c r="Z103" s="9"/>
      <c r="AC103" s="9"/>
      <c r="AF103" s="9"/>
      <c r="AI103" s="9"/>
      <c r="AL103" s="9"/>
      <c r="AO103" s="9"/>
      <c r="AR103" s="9"/>
      <c r="AU103" s="9"/>
      <c r="AX103" s="9"/>
      <c r="BA103" s="9"/>
      <c r="BD103" s="9"/>
      <c r="BG103" s="9"/>
      <c r="BJ103" s="9"/>
      <c r="BM103" s="9"/>
    </row>
    <row r="104" spans="5:65" x14ac:dyDescent="0.2">
      <c r="E104" s="9"/>
      <c r="H104" s="9"/>
      <c r="K104" s="9"/>
      <c r="N104" s="9"/>
      <c r="Q104" s="9"/>
      <c r="T104" s="9"/>
      <c r="W104" s="9"/>
      <c r="Z104" s="9"/>
      <c r="AC104" s="9"/>
      <c r="AF104" s="9"/>
      <c r="AI104" s="9"/>
      <c r="AL104" s="9"/>
      <c r="AO104" s="9"/>
      <c r="AR104" s="9"/>
      <c r="AU104" s="9"/>
      <c r="AX104" s="9"/>
      <c r="BA104" s="9"/>
      <c r="BD104" s="9"/>
      <c r="BG104" s="9"/>
      <c r="BJ104" s="9"/>
      <c r="BM104" s="9"/>
    </row>
    <row r="105" spans="5:65" x14ac:dyDescent="0.2">
      <c r="E105" s="9"/>
      <c r="H105" s="9"/>
      <c r="K105" s="9"/>
      <c r="N105" s="9"/>
      <c r="Q105" s="9"/>
      <c r="T105" s="9"/>
      <c r="W105" s="9"/>
      <c r="Z105" s="9"/>
      <c r="AC105" s="9"/>
      <c r="AF105" s="9"/>
      <c r="AI105" s="9"/>
      <c r="AL105" s="9"/>
      <c r="AO105" s="9"/>
      <c r="AR105" s="9"/>
      <c r="AU105" s="9"/>
      <c r="AX105" s="9"/>
      <c r="BA105" s="9"/>
      <c r="BD105" s="9"/>
      <c r="BG105" s="9"/>
      <c r="BJ105" s="9"/>
      <c r="BM105" s="9"/>
    </row>
    <row r="106" spans="5:65" x14ac:dyDescent="0.2">
      <c r="E106" s="9"/>
      <c r="H106" s="9"/>
      <c r="K106" s="9"/>
      <c r="N106" s="9"/>
      <c r="Q106" s="9"/>
      <c r="T106" s="9"/>
      <c r="W106" s="9"/>
      <c r="Z106" s="9"/>
      <c r="AC106" s="9"/>
      <c r="AF106" s="9"/>
      <c r="AI106" s="9"/>
      <c r="AL106" s="9"/>
      <c r="AO106" s="9"/>
      <c r="AR106" s="9"/>
      <c r="AU106" s="9"/>
      <c r="AX106" s="9"/>
      <c r="BA106" s="9"/>
      <c r="BD106" s="9"/>
      <c r="BG106" s="9"/>
      <c r="BJ106" s="9"/>
      <c r="BM106" s="9"/>
    </row>
    <row r="107" spans="5:65" x14ac:dyDescent="0.2">
      <c r="E107" s="9"/>
      <c r="H107" s="9"/>
      <c r="K107" s="9"/>
      <c r="N107" s="9"/>
      <c r="Q107" s="9"/>
      <c r="T107" s="9"/>
      <c r="W107" s="9"/>
      <c r="Z107" s="9"/>
      <c r="AC107" s="9"/>
      <c r="AF107" s="9"/>
      <c r="AI107" s="9"/>
      <c r="AL107" s="9"/>
      <c r="AO107" s="9"/>
      <c r="AR107" s="9"/>
      <c r="AU107" s="9"/>
      <c r="AX107" s="9"/>
      <c r="BA107" s="9"/>
      <c r="BD107" s="9"/>
      <c r="BG107" s="9"/>
      <c r="BJ107" s="9"/>
      <c r="BM107" s="9"/>
    </row>
    <row r="108" spans="5:65" x14ac:dyDescent="0.2">
      <c r="E108" s="9"/>
      <c r="H108" s="9"/>
      <c r="K108" s="9"/>
      <c r="N108" s="9"/>
      <c r="Q108" s="9"/>
      <c r="T108" s="9"/>
      <c r="W108" s="9"/>
      <c r="Z108" s="9"/>
      <c r="AC108" s="9"/>
      <c r="AF108" s="9"/>
      <c r="AI108" s="9"/>
      <c r="AL108" s="9"/>
      <c r="AO108" s="9"/>
      <c r="AR108" s="9"/>
      <c r="AU108" s="9"/>
      <c r="AX108" s="9"/>
      <c r="BA108" s="9"/>
      <c r="BD108" s="9"/>
      <c r="BG108" s="9"/>
      <c r="BJ108" s="9"/>
      <c r="BM108" s="9"/>
    </row>
    <row r="109" spans="5:65" x14ac:dyDescent="0.2">
      <c r="E109" s="9"/>
      <c r="H109" s="9"/>
      <c r="K109" s="9"/>
      <c r="N109" s="9"/>
      <c r="Q109" s="9"/>
      <c r="T109" s="9"/>
      <c r="W109" s="9"/>
      <c r="Z109" s="9"/>
      <c r="AC109" s="9"/>
      <c r="AF109" s="9"/>
      <c r="AI109" s="9"/>
      <c r="AL109" s="9"/>
      <c r="AO109" s="9"/>
      <c r="AR109" s="9"/>
      <c r="AU109" s="9"/>
      <c r="AX109" s="9"/>
      <c r="BA109" s="9"/>
      <c r="BD109" s="9"/>
      <c r="BG109" s="9"/>
      <c r="BJ109" s="9"/>
      <c r="BM109" s="9"/>
    </row>
    <row r="110" spans="5:65" x14ac:dyDescent="0.2">
      <c r="E110" s="9"/>
      <c r="H110" s="9"/>
      <c r="K110" s="9"/>
      <c r="N110" s="9"/>
      <c r="Q110" s="9"/>
      <c r="T110" s="9"/>
      <c r="W110" s="9"/>
      <c r="Z110" s="9"/>
      <c r="AC110" s="9"/>
      <c r="AF110" s="9"/>
      <c r="AI110" s="9"/>
      <c r="AL110" s="9"/>
      <c r="AO110" s="9"/>
      <c r="AR110" s="9"/>
      <c r="AU110" s="9"/>
      <c r="AX110" s="9"/>
      <c r="BA110" s="9"/>
      <c r="BD110" s="9"/>
      <c r="BG110" s="9"/>
      <c r="BJ110" s="9"/>
      <c r="BM110" s="9"/>
    </row>
    <row r="111" spans="5:65" x14ac:dyDescent="0.2">
      <c r="E111" s="9"/>
      <c r="H111" s="9"/>
      <c r="K111" s="9"/>
      <c r="N111" s="9"/>
      <c r="Q111" s="9"/>
      <c r="T111" s="9"/>
      <c r="W111" s="9"/>
      <c r="Z111" s="9"/>
      <c r="AC111" s="9"/>
      <c r="AF111" s="9"/>
      <c r="AI111" s="9"/>
      <c r="AL111" s="9"/>
      <c r="AO111" s="9"/>
      <c r="AR111" s="9"/>
      <c r="AU111" s="9"/>
      <c r="AX111" s="9"/>
      <c r="BA111" s="9"/>
      <c r="BD111" s="9"/>
      <c r="BG111" s="9"/>
      <c r="BJ111" s="9"/>
      <c r="BM111" s="9"/>
    </row>
    <row r="112" spans="5:65" x14ac:dyDescent="0.2">
      <c r="E112" s="9"/>
      <c r="H112" s="9"/>
      <c r="K112" s="9"/>
      <c r="N112" s="9"/>
      <c r="Q112" s="9"/>
      <c r="T112" s="9"/>
      <c r="W112" s="9"/>
      <c r="Z112" s="9"/>
      <c r="AC112" s="9"/>
      <c r="AF112" s="9"/>
      <c r="AI112" s="9"/>
      <c r="AL112" s="9"/>
      <c r="AO112" s="9"/>
      <c r="AR112" s="9"/>
      <c r="AU112" s="9"/>
      <c r="AX112" s="9"/>
      <c r="BA112" s="9"/>
      <c r="BD112" s="9"/>
      <c r="BG112" s="9"/>
      <c r="BJ112" s="9"/>
      <c r="BM112" s="9"/>
    </row>
    <row r="113" spans="5:65" x14ac:dyDescent="0.2">
      <c r="E113" s="9"/>
      <c r="H113" s="9"/>
      <c r="K113" s="9"/>
      <c r="N113" s="9"/>
      <c r="Q113" s="9"/>
      <c r="T113" s="9"/>
      <c r="W113" s="9"/>
      <c r="Z113" s="9"/>
      <c r="AC113" s="9"/>
      <c r="AF113" s="9"/>
      <c r="AI113" s="9"/>
      <c r="AL113" s="9"/>
      <c r="AO113" s="9"/>
      <c r="AR113" s="9"/>
      <c r="AU113" s="9"/>
      <c r="AX113" s="9"/>
      <c r="BA113" s="9"/>
      <c r="BD113" s="9"/>
      <c r="BG113" s="9"/>
      <c r="BJ113" s="9"/>
      <c r="BM113" s="9"/>
    </row>
    <row r="114" spans="5:65" x14ac:dyDescent="0.2">
      <c r="E114" s="9"/>
      <c r="H114" s="9"/>
      <c r="K114" s="9"/>
      <c r="N114" s="9"/>
      <c r="Q114" s="9"/>
      <c r="T114" s="9"/>
      <c r="W114" s="9"/>
      <c r="Z114" s="9"/>
      <c r="AC114" s="9"/>
      <c r="AF114" s="9"/>
      <c r="AI114" s="9"/>
      <c r="AL114" s="9"/>
      <c r="AO114" s="9"/>
      <c r="AR114" s="9"/>
      <c r="AU114" s="9"/>
      <c r="AX114" s="9"/>
      <c r="BA114" s="9"/>
      <c r="BD114" s="9"/>
      <c r="BG114" s="9"/>
      <c r="BJ114" s="9"/>
      <c r="BM114" s="9"/>
    </row>
    <row r="115" spans="5:65" x14ac:dyDescent="0.2">
      <c r="E115" s="9"/>
      <c r="H115" s="9"/>
      <c r="K115" s="9"/>
      <c r="N115" s="9"/>
      <c r="Q115" s="9"/>
      <c r="T115" s="9"/>
      <c r="W115" s="9"/>
      <c r="Z115" s="9"/>
      <c r="AC115" s="9"/>
      <c r="AF115" s="9"/>
      <c r="AI115" s="9"/>
      <c r="AL115" s="9"/>
      <c r="AO115" s="9"/>
      <c r="AR115" s="9"/>
      <c r="AU115" s="9"/>
      <c r="AX115" s="9"/>
      <c r="BA115" s="9"/>
      <c r="BD115" s="9"/>
      <c r="BG115" s="9"/>
      <c r="BJ115" s="9"/>
      <c r="BM115" s="9"/>
    </row>
    <row r="116" spans="5:65" x14ac:dyDescent="0.2">
      <c r="E116" s="9"/>
      <c r="H116" s="9"/>
      <c r="K116" s="9"/>
      <c r="N116" s="9"/>
      <c r="Q116" s="9"/>
      <c r="T116" s="9"/>
      <c r="W116" s="9"/>
      <c r="Z116" s="9"/>
      <c r="AC116" s="9"/>
      <c r="AF116" s="9"/>
      <c r="AI116" s="9"/>
      <c r="AL116" s="9"/>
      <c r="AO116" s="9"/>
      <c r="AR116" s="9"/>
      <c r="AU116" s="9"/>
      <c r="AX116" s="9"/>
      <c r="BA116" s="9"/>
      <c r="BD116" s="9"/>
      <c r="BG116" s="9"/>
      <c r="BJ116" s="9"/>
      <c r="BM116" s="9"/>
    </row>
    <row r="117" spans="5:65" x14ac:dyDescent="0.2">
      <c r="E117" s="9"/>
      <c r="H117" s="9"/>
      <c r="K117" s="9"/>
      <c r="N117" s="9"/>
      <c r="Q117" s="9"/>
      <c r="T117" s="9"/>
      <c r="W117" s="9"/>
      <c r="Z117" s="9"/>
      <c r="AC117" s="9"/>
      <c r="AF117" s="9"/>
      <c r="AI117" s="9"/>
      <c r="AL117" s="9"/>
      <c r="AO117" s="9"/>
      <c r="AR117" s="9"/>
      <c r="AU117" s="9"/>
      <c r="AX117" s="9"/>
      <c r="BA117" s="9"/>
      <c r="BD117" s="9"/>
      <c r="BG117" s="9"/>
      <c r="BJ117" s="9"/>
      <c r="BM117" s="9"/>
    </row>
    <row r="118" spans="5:65" x14ac:dyDescent="0.2">
      <c r="E118" s="9"/>
      <c r="H118" s="9"/>
      <c r="K118" s="9"/>
      <c r="N118" s="9"/>
      <c r="Q118" s="9"/>
      <c r="T118" s="9"/>
      <c r="W118" s="9"/>
      <c r="Z118" s="9"/>
      <c r="AC118" s="9"/>
      <c r="AF118" s="9"/>
      <c r="AI118" s="9"/>
      <c r="AL118" s="9"/>
      <c r="AO118" s="9"/>
      <c r="AR118" s="9"/>
      <c r="AU118" s="9"/>
      <c r="AX118" s="9"/>
      <c r="BA118" s="9"/>
      <c r="BD118" s="9"/>
      <c r="BG118" s="9"/>
      <c r="BJ118" s="9"/>
      <c r="BM118" s="9"/>
    </row>
    <row r="119" spans="5:65" x14ac:dyDescent="0.2">
      <c r="E119" s="9"/>
      <c r="H119" s="9"/>
      <c r="K119" s="9"/>
      <c r="N119" s="9"/>
      <c r="Q119" s="9"/>
      <c r="T119" s="9"/>
      <c r="W119" s="9"/>
      <c r="Z119" s="9"/>
      <c r="AC119" s="9"/>
      <c r="AF119" s="9"/>
      <c r="AI119" s="9"/>
      <c r="AL119" s="9"/>
      <c r="AO119" s="9"/>
      <c r="AR119" s="9"/>
      <c r="AU119" s="9"/>
      <c r="AX119" s="9"/>
      <c r="BA119" s="9"/>
      <c r="BD119" s="9"/>
      <c r="BG119" s="9"/>
      <c r="BJ119" s="9"/>
      <c r="BM119" s="9"/>
    </row>
    <row r="120" spans="5:65" x14ac:dyDescent="0.2">
      <c r="E120" s="9"/>
      <c r="H120" s="9"/>
      <c r="K120" s="9"/>
      <c r="N120" s="9"/>
      <c r="Q120" s="9"/>
      <c r="T120" s="9"/>
      <c r="W120" s="9"/>
      <c r="Z120" s="9"/>
      <c r="AC120" s="9"/>
      <c r="AF120" s="9"/>
      <c r="AI120" s="9"/>
      <c r="AL120" s="9"/>
      <c r="AO120" s="9"/>
      <c r="AR120" s="9"/>
      <c r="AU120" s="9"/>
      <c r="AX120" s="9"/>
      <c r="BA120" s="9"/>
      <c r="BD120" s="9"/>
      <c r="BG120" s="9"/>
      <c r="BJ120" s="9"/>
      <c r="BM120" s="9"/>
    </row>
    <row r="121" spans="5:65" x14ac:dyDescent="0.2">
      <c r="E121" s="9"/>
      <c r="H121" s="9"/>
      <c r="K121" s="9"/>
      <c r="N121" s="9"/>
      <c r="Q121" s="9"/>
      <c r="T121" s="9"/>
      <c r="W121" s="9"/>
      <c r="Z121" s="9"/>
      <c r="AC121" s="9"/>
      <c r="AF121" s="9"/>
      <c r="AI121" s="9"/>
      <c r="AL121" s="9"/>
      <c r="AO121" s="9"/>
      <c r="AR121" s="9"/>
      <c r="AU121" s="9"/>
      <c r="AX121" s="9"/>
      <c r="BA121" s="9"/>
      <c r="BD121" s="9"/>
      <c r="BG121" s="9"/>
      <c r="BJ121" s="9"/>
      <c r="BM121" s="9"/>
    </row>
    <row r="122" spans="5:65" x14ac:dyDescent="0.2">
      <c r="E122" s="9"/>
      <c r="H122" s="9"/>
      <c r="K122" s="9"/>
      <c r="N122" s="9"/>
      <c r="Q122" s="9"/>
      <c r="T122" s="9"/>
      <c r="W122" s="9"/>
      <c r="Z122" s="9"/>
      <c r="AC122" s="9"/>
      <c r="AF122" s="9"/>
      <c r="AI122" s="9"/>
      <c r="AL122" s="9"/>
      <c r="AO122" s="9"/>
      <c r="AR122" s="9"/>
      <c r="AU122" s="9"/>
      <c r="AX122" s="9"/>
      <c r="BA122" s="9"/>
      <c r="BD122" s="9"/>
      <c r="BG122" s="9"/>
      <c r="BJ122" s="9"/>
      <c r="BM122" s="9"/>
    </row>
    <row r="123" spans="5:65" x14ac:dyDescent="0.2">
      <c r="E123" s="9"/>
      <c r="H123" s="9"/>
      <c r="K123" s="9"/>
      <c r="N123" s="9"/>
      <c r="Q123" s="9"/>
      <c r="T123" s="9"/>
      <c r="W123" s="9"/>
      <c r="Z123" s="9"/>
      <c r="AC123" s="9"/>
      <c r="AF123" s="9"/>
      <c r="AI123" s="9"/>
      <c r="AL123" s="9"/>
      <c r="AO123" s="9"/>
      <c r="AR123" s="9"/>
      <c r="AU123" s="9"/>
      <c r="AX123" s="9"/>
      <c r="BA123" s="9"/>
      <c r="BD123" s="9"/>
      <c r="BG123" s="9"/>
      <c r="BJ123" s="9"/>
      <c r="BM123" s="9"/>
    </row>
    <row r="124" spans="5:65" x14ac:dyDescent="0.2">
      <c r="E124" s="9"/>
      <c r="H124" s="9"/>
      <c r="K124" s="9"/>
      <c r="N124" s="9"/>
      <c r="Q124" s="9"/>
      <c r="T124" s="9"/>
      <c r="W124" s="9"/>
      <c r="Z124" s="9"/>
      <c r="AC124" s="9"/>
      <c r="AF124" s="9"/>
      <c r="AI124" s="9"/>
      <c r="AL124" s="9"/>
      <c r="AO124" s="9"/>
      <c r="AR124" s="9"/>
      <c r="AU124" s="9"/>
      <c r="AX124" s="9"/>
      <c r="BA124" s="9"/>
      <c r="BD124" s="9"/>
      <c r="BG124" s="9"/>
      <c r="BJ124" s="9"/>
      <c r="BM124" s="9"/>
    </row>
    <row r="125" spans="5:65" x14ac:dyDescent="0.2">
      <c r="E125" s="9"/>
      <c r="H125" s="9"/>
      <c r="K125" s="9"/>
      <c r="N125" s="9"/>
      <c r="Q125" s="9"/>
      <c r="T125" s="9"/>
      <c r="W125" s="9"/>
      <c r="Z125" s="9"/>
      <c r="AC125" s="9"/>
      <c r="AF125" s="9"/>
      <c r="AI125" s="9"/>
      <c r="AL125" s="9"/>
      <c r="AO125" s="9"/>
      <c r="AR125" s="9"/>
      <c r="AU125" s="9"/>
      <c r="AX125" s="9"/>
      <c r="BA125" s="9"/>
      <c r="BD125" s="9"/>
      <c r="BG125" s="9"/>
      <c r="BJ125" s="9"/>
      <c r="BM125" s="9"/>
    </row>
    <row r="126" spans="5:65" x14ac:dyDescent="0.2">
      <c r="E126" s="9"/>
      <c r="H126" s="9"/>
      <c r="K126" s="9"/>
      <c r="N126" s="9"/>
      <c r="Q126" s="9"/>
      <c r="T126" s="9"/>
      <c r="W126" s="9"/>
      <c r="Z126" s="9"/>
      <c r="AC126" s="9"/>
      <c r="AF126" s="9"/>
      <c r="AI126" s="9"/>
      <c r="AL126" s="9"/>
      <c r="AO126" s="9"/>
      <c r="AR126" s="9"/>
      <c r="AU126" s="9"/>
      <c r="AX126" s="9"/>
      <c r="BA126" s="9"/>
      <c r="BD126" s="9"/>
      <c r="BG126" s="9"/>
      <c r="BJ126" s="9"/>
      <c r="BM126" s="9"/>
    </row>
    <row r="127" spans="5:65" x14ac:dyDescent="0.2">
      <c r="E127" s="9"/>
      <c r="H127" s="9"/>
      <c r="K127" s="9"/>
      <c r="N127" s="9"/>
      <c r="Q127" s="9"/>
      <c r="T127" s="9"/>
      <c r="W127" s="9"/>
      <c r="Z127" s="9"/>
      <c r="AC127" s="9"/>
      <c r="AF127" s="9"/>
      <c r="AI127" s="9"/>
      <c r="AL127" s="9"/>
      <c r="AO127" s="9"/>
      <c r="AR127" s="9"/>
      <c r="AU127" s="9"/>
      <c r="AX127" s="9"/>
      <c r="BA127" s="9"/>
      <c r="BD127" s="9"/>
      <c r="BG127" s="9"/>
      <c r="BJ127" s="9"/>
      <c r="BM127" s="9"/>
    </row>
    <row r="128" spans="5:65" x14ac:dyDescent="0.2">
      <c r="E128" s="9"/>
      <c r="H128" s="9"/>
      <c r="K128" s="9"/>
      <c r="N128" s="9"/>
      <c r="Q128" s="9"/>
      <c r="T128" s="9"/>
      <c r="W128" s="9"/>
      <c r="Z128" s="9"/>
      <c r="AC128" s="9"/>
      <c r="AF128" s="9"/>
      <c r="AI128" s="9"/>
      <c r="AL128" s="9"/>
      <c r="AO128" s="9"/>
      <c r="AR128" s="9"/>
      <c r="AU128" s="9"/>
      <c r="AX128" s="9"/>
      <c r="BA128" s="9"/>
      <c r="BD128" s="9"/>
      <c r="BG128" s="9"/>
      <c r="BJ128" s="9"/>
      <c r="BM128" s="9"/>
    </row>
    <row r="129" spans="5:65" x14ac:dyDescent="0.2">
      <c r="E129" s="9"/>
      <c r="H129" s="9"/>
      <c r="K129" s="9"/>
      <c r="N129" s="9"/>
      <c r="Q129" s="9"/>
      <c r="T129" s="9"/>
      <c r="W129" s="9"/>
      <c r="Z129" s="9"/>
      <c r="AC129" s="9"/>
      <c r="AF129" s="9"/>
      <c r="AI129" s="9"/>
      <c r="AL129" s="9"/>
      <c r="AO129" s="9"/>
      <c r="AR129" s="9"/>
      <c r="AU129" s="9"/>
      <c r="AX129" s="9"/>
      <c r="BA129" s="9"/>
      <c r="BD129" s="9"/>
      <c r="BG129" s="9"/>
      <c r="BJ129" s="9"/>
      <c r="BM129" s="9"/>
    </row>
    <row r="130" spans="5:65" x14ac:dyDescent="0.2">
      <c r="E130" s="9"/>
      <c r="H130" s="9"/>
      <c r="K130" s="9"/>
      <c r="N130" s="9"/>
      <c r="Q130" s="9"/>
      <c r="T130" s="9"/>
      <c r="W130" s="9"/>
      <c r="Z130" s="9"/>
      <c r="AC130" s="9"/>
      <c r="AF130" s="9"/>
      <c r="AI130" s="9"/>
      <c r="AL130" s="9"/>
      <c r="AO130" s="9"/>
      <c r="AR130" s="9"/>
      <c r="AU130" s="9"/>
      <c r="AX130" s="9"/>
      <c r="BA130" s="9"/>
      <c r="BD130" s="9"/>
      <c r="BG130" s="9"/>
      <c r="BJ130" s="9"/>
      <c r="BM130" s="9"/>
    </row>
    <row r="131" spans="5:65" x14ac:dyDescent="0.2">
      <c r="E131" s="9"/>
      <c r="H131" s="9"/>
      <c r="K131" s="9"/>
      <c r="N131" s="9"/>
      <c r="Q131" s="9"/>
      <c r="T131" s="9"/>
      <c r="W131" s="9"/>
      <c r="Z131" s="9"/>
      <c r="AC131" s="9"/>
      <c r="AF131" s="9"/>
      <c r="AI131" s="9"/>
      <c r="AL131" s="9"/>
      <c r="AO131" s="9"/>
      <c r="AR131" s="9"/>
      <c r="AU131" s="9"/>
      <c r="AX131" s="9"/>
      <c r="BA131" s="9"/>
      <c r="BD131" s="9"/>
      <c r="BG131" s="9"/>
      <c r="BJ131" s="9"/>
      <c r="BM131" s="9"/>
    </row>
    <row r="132" spans="5:65" x14ac:dyDescent="0.2">
      <c r="E132" s="9"/>
      <c r="H132" s="9"/>
      <c r="K132" s="9"/>
      <c r="N132" s="9"/>
      <c r="Q132" s="9"/>
      <c r="T132" s="9"/>
      <c r="W132" s="9"/>
      <c r="Z132" s="9"/>
      <c r="AC132" s="9"/>
      <c r="AF132" s="9"/>
      <c r="AI132" s="9"/>
      <c r="AL132" s="9"/>
      <c r="AO132" s="9"/>
      <c r="AR132" s="9"/>
      <c r="AU132" s="9"/>
      <c r="AX132" s="9"/>
      <c r="BA132" s="9"/>
      <c r="BD132" s="9"/>
      <c r="BG132" s="9"/>
      <c r="BJ132" s="9"/>
      <c r="BM132" s="9"/>
    </row>
    <row r="133" spans="5:65" x14ac:dyDescent="0.2">
      <c r="E133" s="9"/>
      <c r="H133" s="9"/>
      <c r="K133" s="9"/>
      <c r="N133" s="9"/>
      <c r="Q133" s="9"/>
      <c r="T133" s="9"/>
      <c r="W133" s="9"/>
      <c r="Z133" s="9"/>
      <c r="AC133" s="9"/>
      <c r="AF133" s="9"/>
      <c r="AI133" s="9"/>
      <c r="AL133" s="9"/>
      <c r="AO133" s="9"/>
      <c r="AR133" s="9"/>
      <c r="AU133" s="9"/>
      <c r="AX133" s="9"/>
      <c r="BA133" s="9"/>
      <c r="BD133" s="9"/>
      <c r="BG133" s="9"/>
      <c r="BJ133" s="9"/>
      <c r="BM133" s="9"/>
    </row>
    <row r="134" spans="5:65" x14ac:dyDescent="0.2">
      <c r="E134" s="9"/>
      <c r="H134" s="9"/>
      <c r="K134" s="9"/>
      <c r="N134" s="9"/>
      <c r="Q134" s="9"/>
      <c r="T134" s="9"/>
      <c r="W134" s="9"/>
      <c r="Z134" s="9"/>
      <c r="AC134" s="9"/>
      <c r="AF134" s="9"/>
      <c r="AI134" s="9"/>
      <c r="AL134" s="9"/>
      <c r="AO134" s="9"/>
      <c r="AR134" s="9"/>
      <c r="AU134" s="9"/>
      <c r="AX134" s="9"/>
      <c r="BA134" s="9"/>
      <c r="BD134" s="9"/>
      <c r="BG134" s="9"/>
      <c r="BJ134" s="9"/>
      <c r="BM134" s="9"/>
    </row>
    <row r="135" spans="5:65" x14ac:dyDescent="0.2">
      <c r="E135" s="9"/>
      <c r="H135" s="9"/>
      <c r="K135" s="9"/>
      <c r="N135" s="9"/>
      <c r="Q135" s="9"/>
      <c r="T135" s="9"/>
      <c r="W135" s="9"/>
      <c r="Z135" s="9"/>
      <c r="AC135" s="9"/>
      <c r="AF135" s="9"/>
      <c r="AI135" s="9"/>
      <c r="AL135" s="9"/>
      <c r="AO135" s="9"/>
      <c r="AR135" s="9"/>
      <c r="AU135" s="9"/>
      <c r="AX135" s="9"/>
      <c r="BA135" s="9"/>
      <c r="BD135" s="9"/>
      <c r="BG135" s="9"/>
      <c r="BJ135" s="9"/>
      <c r="BM135" s="9"/>
    </row>
    <row r="136" spans="5:65" x14ac:dyDescent="0.2">
      <c r="E136" s="9"/>
      <c r="H136" s="9"/>
      <c r="K136" s="9"/>
      <c r="N136" s="9"/>
      <c r="Q136" s="9"/>
      <c r="T136" s="9"/>
      <c r="W136" s="9"/>
      <c r="Z136" s="9"/>
      <c r="AC136" s="9"/>
      <c r="AF136" s="9"/>
      <c r="AI136" s="9"/>
      <c r="AL136" s="9"/>
      <c r="AO136" s="9"/>
      <c r="AR136" s="9"/>
      <c r="AU136" s="9"/>
      <c r="AX136" s="9"/>
      <c r="BA136" s="9"/>
      <c r="BD136" s="9"/>
      <c r="BG136" s="9"/>
      <c r="BJ136" s="9"/>
      <c r="BM136" s="9"/>
    </row>
    <row r="137" spans="5:65" x14ac:dyDescent="0.2">
      <c r="E137" s="9"/>
      <c r="H137" s="9"/>
      <c r="K137" s="9"/>
      <c r="N137" s="9"/>
      <c r="Q137" s="9"/>
      <c r="T137" s="9"/>
      <c r="W137" s="9"/>
      <c r="Z137" s="9"/>
      <c r="AC137" s="9"/>
      <c r="AF137" s="9"/>
      <c r="AI137" s="9"/>
      <c r="AL137" s="9"/>
      <c r="AO137" s="9"/>
      <c r="AR137" s="9"/>
      <c r="AU137" s="9"/>
      <c r="AX137" s="9"/>
      <c r="BA137" s="9"/>
      <c r="BD137" s="9"/>
      <c r="BG137" s="9"/>
      <c r="BJ137" s="9"/>
      <c r="BM137" s="9"/>
    </row>
    <row r="138" spans="5:65" x14ac:dyDescent="0.2">
      <c r="E138" s="9"/>
      <c r="H138" s="9"/>
      <c r="K138" s="9"/>
      <c r="N138" s="9"/>
      <c r="Q138" s="9"/>
      <c r="T138" s="9"/>
      <c r="W138" s="9"/>
      <c r="Z138" s="9"/>
      <c r="AC138" s="9"/>
      <c r="AF138" s="9"/>
      <c r="AI138" s="9"/>
      <c r="AL138" s="9"/>
      <c r="AO138" s="9"/>
      <c r="AR138" s="9"/>
      <c r="AU138" s="9"/>
      <c r="AX138" s="9"/>
      <c r="BA138" s="9"/>
      <c r="BD138" s="9"/>
      <c r="BG138" s="9"/>
      <c r="BJ138" s="9"/>
      <c r="BM138" s="9"/>
    </row>
    <row r="139" spans="5:65" x14ac:dyDescent="0.2">
      <c r="E139" s="9"/>
      <c r="H139" s="9"/>
      <c r="K139" s="9"/>
      <c r="N139" s="9"/>
      <c r="Q139" s="9"/>
      <c r="T139" s="9"/>
      <c r="W139" s="9"/>
      <c r="Z139" s="9"/>
      <c r="AC139" s="9"/>
      <c r="AF139" s="9"/>
      <c r="AI139" s="9"/>
      <c r="AL139" s="9"/>
      <c r="AO139" s="9"/>
      <c r="AR139" s="9"/>
      <c r="AU139" s="9"/>
      <c r="AX139" s="9"/>
      <c r="BA139" s="9"/>
      <c r="BD139" s="9"/>
      <c r="BG139" s="9"/>
      <c r="BJ139" s="9"/>
      <c r="BM139" s="9"/>
    </row>
    <row r="140" spans="5:65" x14ac:dyDescent="0.2">
      <c r="E140" s="9"/>
      <c r="H140" s="9"/>
      <c r="K140" s="9"/>
      <c r="N140" s="9"/>
      <c r="Q140" s="9"/>
      <c r="T140" s="9"/>
      <c r="W140" s="9"/>
      <c r="Z140" s="9"/>
      <c r="AC140" s="9"/>
      <c r="AF140" s="9"/>
      <c r="AI140" s="9"/>
      <c r="AL140" s="9"/>
      <c r="AO140" s="9"/>
      <c r="AR140" s="9"/>
      <c r="AU140" s="9"/>
      <c r="AX140" s="9"/>
      <c r="BA140" s="9"/>
      <c r="BD140" s="9"/>
      <c r="BG140" s="9"/>
      <c r="BJ140" s="9"/>
      <c r="BM140" s="9"/>
    </row>
    <row r="141" spans="5:65" x14ac:dyDescent="0.2">
      <c r="E141" s="9"/>
      <c r="H141" s="9"/>
      <c r="K141" s="9"/>
      <c r="N141" s="9"/>
      <c r="Q141" s="9"/>
      <c r="T141" s="9"/>
      <c r="W141" s="9"/>
      <c r="Z141" s="9"/>
      <c r="AC141" s="9"/>
      <c r="AF141" s="9"/>
      <c r="AI141" s="9"/>
      <c r="AL141" s="9"/>
      <c r="AO141" s="9"/>
      <c r="AR141" s="9"/>
      <c r="AU141" s="9"/>
      <c r="AX141" s="9"/>
      <c r="BA141" s="9"/>
      <c r="BD141" s="9"/>
      <c r="BG141" s="9"/>
      <c r="BJ141" s="9"/>
      <c r="BM141" s="9"/>
    </row>
    <row r="142" spans="5:65" x14ac:dyDescent="0.2">
      <c r="E142" s="9"/>
      <c r="H142" s="9"/>
      <c r="K142" s="9"/>
      <c r="N142" s="9"/>
      <c r="Q142" s="9"/>
      <c r="T142" s="9"/>
      <c r="W142" s="9"/>
      <c r="Z142" s="9"/>
      <c r="AC142" s="9"/>
      <c r="AF142" s="9"/>
      <c r="AI142" s="9"/>
      <c r="AL142" s="9"/>
      <c r="AO142" s="9"/>
      <c r="AR142" s="9"/>
      <c r="AU142" s="9"/>
      <c r="AX142" s="9"/>
      <c r="BA142" s="9"/>
      <c r="BD142" s="9"/>
      <c r="BG142" s="9"/>
      <c r="BJ142" s="9"/>
      <c r="BM142" s="9"/>
    </row>
    <row r="143" spans="5:65" x14ac:dyDescent="0.2">
      <c r="E143" s="9"/>
      <c r="H143" s="9"/>
      <c r="K143" s="9"/>
      <c r="N143" s="9"/>
      <c r="Q143" s="9"/>
      <c r="T143" s="9"/>
      <c r="W143" s="9"/>
      <c r="Z143" s="9"/>
      <c r="AC143" s="9"/>
      <c r="AF143" s="9"/>
      <c r="AI143" s="9"/>
      <c r="AL143" s="9"/>
      <c r="AO143" s="9"/>
      <c r="AR143" s="9"/>
      <c r="AU143" s="9"/>
      <c r="AX143" s="9"/>
      <c r="BA143" s="9"/>
      <c r="BD143" s="9"/>
      <c r="BG143" s="9"/>
      <c r="BJ143" s="9"/>
      <c r="BM143" s="9"/>
    </row>
    <row r="144" spans="5:65" x14ac:dyDescent="0.2">
      <c r="E144" s="9"/>
      <c r="H144" s="9"/>
      <c r="K144" s="9"/>
      <c r="N144" s="9"/>
      <c r="Q144" s="9"/>
      <c r="T144" s="9"/>
      <c r="W144" s="9"/>
      <c r="Z144" s="9"/>
      <c r="AC144" s="9"/>
      <c r="AF144" s="9"/>
      <c r="AI144" s="9"/>
      <c r="AL144" s="9"/>
      <c r="AO144" s="9"/>
      <c r="AR144" s="9"/>
      <c r="AU144" s="9"/>
      <c r="AX144" s="9"/>
      <c r="BA144" s="9"/>
      <c r="BD144" s="9"/>
      <c r="BG144" s="9"/>
      <c r="BJ144" s="9"/>
      <c r="BM144" s="9"/>
    </row>
    <row r="145" spans="3:65" x14ac:dyDescent="0.2">
      <c r="E145" s="9"/>
      <c r="H145" s="9"/>
      <c r="K145" s="9"/>
      <c r="N145" s="9"/>
      <c r="Q145" s="9"/>
      <c r="T145" s="9"/>
      <c r="W145" s="9"/>
      <c r="Z145" s="9"/>
      <c r="AC145" s="9"/>
      <c r="AF145" s="9"/>
      <c r="AI145" s="9"/>
      <c r="AL145" s="9"/>
      <c r="AO145" s="9"/>
      <c r="AR145" s="9"/>
      <c r="AU145" s="9"/>
      <c r="AX145" s="9"/>
      <c r="BA145" s="9"/>
      <c r="BD145" s="9"/>
      <c r="BG145" s="9"/>
      <c r="BJ145" s="9"/>
      <c r="BM145" s="9"/>
    </row>
    <row r="146" spans="3:65" x14ac:dyDescent="0.2">
      <c r="E146" s="9"/>
      <c r="H146" s="9"/>
      <c r="K146" s="9"/>
      <c r="N146" s="9"/>
      <c r="Q146" s="9"/>
      <c r="T146" s="9"/>
      <c r="W146" s="9"/>
      <c r="Z146" s="9"/>
      <c r="AC146" s="9"/>
      <c r="AF146" s="9"/>
      <c r="AI146" s="9"/>
      <c r="AL146" s="9"/>
      <c r="AO146" s="9"/>
      <c r="AR146" s="9"/>
      <c r="AU146" s="9"/>
      <c r="AX146" s="9"/>
      <c r="BA146" s="9"/>
      <c r="BD146" s="9"/>
      <c r="BG146" s="9"/>
      <c r="BJ146" s="9"/>
      <c r="BM146" s="9"/>
    </row>
    <row r="147" spans="3:65" x14ac:dyDescent="0.2">
      <c r="E147" s="9"/>
      <c r="H147" s="9"/>
      <c r="K147" s="9"/>
      <c r="N147" s="9"/>
      <c r="Q147" s="9"/>
      <c r="T147" s="9"/>
      <c r="W147" s="9"/>
      <c r="Z147" s="9"/>
      <c r="AC147" s="9"/>
      <c r="AF147" s="9"/>
      <c r="AI147" s="9"/>
      <c r="AL147" s="9"/>
      <c r="AO147" s="9"/>
      <c r="AR147" s="9"/>
      <c r="AU147" s="9"/>
      <c r="AX147" s="9"/>
      <c r="BA147" s="9"/>
      <c r="BD147" s="9"/>
      <c r="BG147" s="9"/>
      <c r="BJ147" s="9"/>
      <c r="BM147" s="9"/>
    </row>
    <row r="148" spans="3:65" x14ac:dyDescent="0.2">
      <c r="E148" s="9"/>
      <c r="H148" s="9"/>
      <c r="K148" s="9"/>
      <c r="N148" s="9"/>
      <c r="Q148" s="9"/>
      <c r="T148" s="9"/>
      <c r="W148" s="9"/>
      <c r="Z148" s="9"/>
      <c r="AC148" s="9"/>
      <c r="AF148" s="9"/>
      <c r="AI148" s="9"/>
      <c r="AL148" s="9"/>
      <c r="AO148" s="9"/>
      <c r="AR148" s="9"/>
      <c r="AU148" s="9"/>
      <c r="AX148" s="9"/>
      <c r="BA148" s="9"/>
      <c r="BD148" s="9"/>
      <c r="BG148" s="9"/>
      <c r="BJ148" s="9"/>
      <c r="BM148" s="9"/>
    </row>
    <row r="149" spans="3:65" x14ac:dyDescent="0.2">
      <c r="E149" s="9"/>
      <c r="H149" s="9"/>
      <c r="K149" s="9"/>
      <c r="N149" s="9"/>
      <c r="Q149" s="9"/>
      <c r="T149" s="9"/>
      <c r="W149" s="9"/>
      <c r="Z149" s="9"/>
      <c r="AC149" s="9"/>
      <c r="AF149" s="9"/>
      <c r="AI149" s="9"/>
      <c r="AL149" s="9"/>
      <c r="AO149" s="9"/>
      <c r="AR149" s="9"/>
      <c r="AU149" s="9"/>
      <c r="AX149" s="9"/>
      <c r="BA149" s="9"/>
      <c r="BD149" s="9"/>
      <c r="BG149" s="9"/>
      <c r="BJ149" s="9"/>
      <c r="BM149" s="9"/>
    </row>
    <row r="150" spans="3:65" x14ac:dyDescent="0.2">
      <c r="E150" s="9"/>
      <c r="H150" s="9"/>
      <c r="K150" s="9"/>
      <c r="N150" s="9"/>
      <c r="Q150" s="9"/>
      <c r="T150" s="9"/>
      <c r="W150" s="9"/>
      <c r="Z150" s="9"/>
      <c r="AC150" s="9"/>
      <c r="AF150" s="9"/>
      <c r="AI150" s="9"/>
      <c r="AL150" s="9"/>
      <c r="AO150" s="9"/>
      <c r="AR150" s="9"/>
      <c r="AU150" s="9"/>
      <c r="AX150" s="9"/>
      <c r="BA150" s="9"/>
      <c r="BD150" s="9"/>
      <c r="BG150" s="9"/>
      <c r="BJ150" s="9"/>
      <c r="BM150" s="9"/>
    </row>
    <row r="151" spans="3:65" x14ac:dyDescent="0.2">
      <c r="E151" s="9"/>
      <c r="H151" s="9"/>
      <c r="K151" s="9"/>
      <c r="N151" s="9"/>
      <c r="Q151" s="9"/>
      <c r="T151" s="9"/>
      <c r="W151" s="9"/>
      <c r="Z151" s="9"/>
      <c r="AC151" s="9"/>
      <c r="AF151" s="9"/>
      <c r="AI151" s="9"/>
      <c r="AL151" s="9"/>
      <c r="AO151" s="9"/>
      <c r="AR151" s="9"/>
      <c r="AU151" s="9"/>
      <c r="AX151" s="9"/>
      <c r="BA151" s="9"/>
      <c r="BD151" s="9"/>
      <c r="BG151" s="9"/>
      <c r="BJ151" s="9"/>
      <c r="BM151" s="9"/>
    </row>
    <row r="152" spans="3:65" x14ac:dyDescent="0.2">
      <c r="E152" s="9"/>
      <c r="H152" s="9"/>
      <c r="K152" s="9"/>
      <c r="N152" s="9"/>
      <c r="Q152" s="9"/>
      <c r="T152" s="9"/>
      <c r="W152" s="9"/>
      <c r="Z152" s="9"/>
      <c r="AC152" s="9"/>
      <c r="AF152" s="9"/>
      <c r="AI152" s="9"/>
      <c r="AL152" s="9"/>
      <c r="AO152" s="9"/>
      <c r="AR152" s="9"/>
      <c r="AU152" s="9"/>
      <c r="AX152" s="9"/>
      <c r="BA152" s="9"/>
      <c r="BD152" s="9"/>
      <c r="BG152" s="9"/>
      <c r="BJ152" s="9"/>
      <c r="BM152" s="9"/>
    </row>
    <row r="156" spans="3:65" x14ac:dyDescent="0.2">
      <c r="C156" s="23"/>
      <c r="D156" s="23"/>
      <c r="E156" s="9"/>
      <c r="F156" s="23"/>
      <c r="G156" s="23"/>
      <c r="H156" s="9"/>
      <c r="I156" s="23"/>
      <c r="J156" s="23"/>
      <c r="K156" s="9"/>
      <c r="L156" s="23"/>
      <c r="M156" s="23"/>
      <c r="N156" s="9"/>
      <c r="O156" s="23"/>
      <c r="P156" s="23"/>
      <c r="Q156" s="9"/>
      <c r="R156" s="23"/>
      <c r="S156" s="23"/>
      <c r="T156" s="9"/>
      <c r="U156" s="23"/>
      <c r="V156" s="23"/>
      <c r="W156" s="9"/>
      <c r="X156" s="23"/>
      <c r="Y156" s="23"/>
      <c r="Z156" s="9"/>
      <c r="AA156" s="23"/>
      <c r="AB156" s="23"/>
      <c r="AC156" s="9"/>
      <c r="AD156" s="23"/>
      <c r="AE156" s="23"/>
      <c r="AF156" s="9"/>
      <c r="AG156" s="23"/>
      <c r="AH156" s="23"/>
      <c r="AI156" s="9"/>
      <c r="AJ156" s="23"/>
      <c r="AK156" s="23"/>
      <c r="AL156" s="9"/>
      <c r="AM156" s="23"/>
      <c r="AN156" s="23"/>
      <c r="AO156" s="9"/>
      <c r="AP156" s="23"/>
      <c r="AQ156" s="23"/>
      <c r="AR156" s="9"/>
      <c r="AS156" s="23"/>
      <c r="AT156" s="23"/>
      <c r="AU156" s="9"/>
      <c r="AV156" s="23"/>
      <c r="AW156" s="23"/>
      <c r="AX156" s="9"/>
      <c r="AY156" s="23"/>
      <c r="AZ156" s="23"/>
      <c r="BA156" s="9"/>
      <c r="BB156" s="23"/>
      <c r="BC156" s="23"/>
      <c r="BD156" s="9"/>
      <c r="BE156" s="23"/>
      <c r="BF156" s="23"/>
      <c r="BG156" s="9"/>
      <c r="BH156" s="23"/>
      <c r="BI156" s="23"/>
      <c r="BJ156" s="9"/>
      <c r="BK156" s="23"/>
      <c r="BL156" s="23"/>
      <c r="BM156" s="9"/>
    </row>
  </sheetData>
  <mergeCells count="106">
    <mergeCell ref="BE1:BG1"/>
    <mergeCell ref="BH1:BJ1"/>
    <mergeCell ref="BK1:BM1"/>
    <mergeCell ref="AP1:AR1"/>
    <mergeCell ref="AS1:AU1"/>
    <mergeCell ref="AV1:AX1"/>
    <mergeCell ref="AY1:BA1"/>
    <mergeCell ref="BB1:BD1"/>
    <mergeCell ref="AY2:AZ2"/>
    <mergeCell ref="AP4:AQ4"/>
    <mergeCell ref="AS4:AT4"/>
    <mergeCell ref="AV4:AW4"/>
    <mergeCell ref="AY4:AZ4"/>
    <mergeCell ref="R4:S4"/>
    <mergeCell ref="U4:V4"/>
    <mergeCell ref="X4:Y4"/>
    <mergeCell ref="AA4:AB4"/>
    <mergeCell ref="AD4:AE4"/>
    <mergeCell ref="C4:D4"/>
    <mergeCell ref="F4:G4"/>
    <mergeCell ref="I4:J4"/>
    <mergeCell ref="L4:M4"/>
    <mergeCell ref="O4:P4"/>
    <mergeCell ref="BB3:BC3"/>
    <mergeCell ref="BE3:BF3"/>
    <mergeCell ref="BH3:BI3"/>
    <mergeCell ref="BK3:BL3"/>
    <mergeCell ref="AP3:AQ3"/>
    <mergeCell ref="AS3:AT3"/>
    <mergeCell ref="AV3:AW3"/>
    <mergeCell ref="AY3:AZ3"/>
    <mergeCell ref="R3:S3"/>
    <mergeCell ref="U3:V3"/>
    <mergeCell ref="X3:Y3"/>
    <mergeCell ref="AA3:AB3"/>
    <mergeCell ref="AD3:AE3"/>
    <mergeCell ref="C3:D3"/>
    <mergeCell ref="F3:G3"/>
    <mergeCell ref="BB4:BC4"/>
    <mergeCell ref="BE4:BF4"/>
    <mergeCell ref="BH4:BI4"/>
    <mergeCell ref="BK4:BL4"/>
    <mergeCell ref="I3:J3"/>
    <mergeCell ref="L3:M3"/>
    <mergeCell ref="O3:P3"/>
    <mergeCell ref="BB2:BC2"/>
    <mergeCell ref="BE2:BF2"/>
    <mergeCell ref="BH2:BI2"/>
    <mergeCell ref="BK2:BL2"/>
    <mergeCell ref="AD2:AE2"/>
    <mergeCell ref="AG2:AH2"/>
    <mergeCell ref="AJ2:AK2"/>
    <mergeCell ref="AM2:AN2"/>
    <mergeCell ref="O2:P2"/>
    <mergeCell ref="R2:S2"/>
    <mergeCell ref="U2:V2"/>
    <mergeCell ref="X2:Y2"/>
    <mergeCell ref="AA2:AB2"/>
    <mergeCell ref="AP2:AQ2"/>
    <mergeCell ref="AS2:AT2"/>
    <mergeCell ref="AV2:AW2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R1:T1"/>
    <mergeCell ref="U1:W1"/>
    <mergeCell ref="X1:Z1"/>
    <mergeCell ref="AA1:AC1"/>
    <mergeCell ref="AD1:AF1"/>
    <mergeCell ref="O1:Q1"/>
    <mergeCell ref="AG156:AH156"/>
    <mergeCell ref="AJ156:AK156"/>
    <mergeCell ref="AM156:AN156"/>
    <mergeCell ref="AG3:AH3"/>
    <mergeCell ref="AJ3:AK3"/>
    <mergeCell ref="AM3:AN3"/>
    <mergeCell ref="AG4:AH4"/>
    <mergeCell ref="AJ4:AK4"/>
    <mergeCell ref="AM4:AN4"/>
    <mergeCell ref="AG1:AI1"/>
    <mergeCell ref="AJ1:AL1"/>
    <mergeCell ref="AM1:AO1"/>
    <mergeCell ref="C156:D156"/>
    <mergeCell ref="F156:G156"/>
    <mergeCell ref="I156:J156"/>
    <mergeCell ref="L156:M156"/>
    <mergeCell ref="O156:P156"/>
    <mergeCell ref="R156:S156"/>
    <mergeCell ref="U156:V156"/>
    <mergeCell ref="X156:Y156"/>
    <mergeCell ref="BE156:BF156"/>
    <mergeCell ref="BH156:BI156"/>
    <mergeCell ref="BK156:BL156"/>
    <mergeCell ref="AP156:AQ156"/>
    <mergeCell ref="AS156:AT156"/>
    <mergeCell ref="AA156:AB156"/>
    <mergeCell ref="AD156:AE156"/>
    <mergeCell ref="AV156:AW156"/>
    <mergeCell ref="AY156:AZ156"/>
    <mergeCell ref="BB156:BC15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AB76-E760-40D0-8577-8DDB3559B63C}">
  <dimension ref="A1:BD139"/>
  <sheetViews>
    <sheetView zoomScale="160" zoomScaleNormal="160" workbookViewId="0">
      <selection activeCell="B5" sqref="B5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0" customWidth="1"/>
    <col min="5" max="5" width="9" style="12"/>
    <col min="6" max="7" width="9" style="10" customWidth="1"/>
    <col min="8" max="8" width="9" style="12"/>
    <col min="9" max="10" width="9" style="10" customWidth="1"/>
    <col min="11" max="11" width="9" style="12"/>
    <col min="12" max="13" width="9" style="10" customWidth="1"/>
    <col min="14" max="14" width="9" style="12"/>
    <col min="15" max="16" width="9" style="10" customWidth="1"/>
    <col min="17" max="17" width="9" style="12"/>
    <col min="18" max="19" width="9" style="10" customWidth="1"/>
    <col min="20" max="20" width="9" style="12"/>
    <col min="21" max="22" width="9" style="10" customWidth="1"/>
    <col min="23" max="23" width="9" style="12"/>
    <col min="24" max="25" width="9" style="10" customWidth="1"/>
    <col min="26" max="26" width="9" style="12"/>
    <col min="27" max="27" width="9.5" style="10" customWidth="1"/>
    <col min="28" max="28" width="9" style="10" customWidth="1"/>
    <col min="29" max="29" width="9" style="12"/>
    <col min="30" max="30" width="9.5" style="10" customWidth="1"/>
    <col min="31" max="31" width="9" style="10" customWidth="1"/>
    <col min="32" max="32" width="9" style="12"/>
    <col min="33" max="34" width="9" style="10" customWidth="1"/>
    <col min="35" max="35" width="9" style="12"/>
    <col min="36" max="37" width="9" style="10" customWidth="1"/>
    <col min="38" max="38" width="9" style="12"/>
    <col min="39" max="40" width="9" style="10" customWidth="1"/>
    <col min="41" max="41" width="9" style="12"/>
    <col min="42" max="43" width="9" style="10" customWidth="1"/>
    <col min="44" max="44" width="9" style="12"/>
    <col min="45" max="46" width="9" style="10" customWidth="1"/>
    <col min="47" max="47" width="9" style="12"/>
    <col min="48" max="49" width="9" style="10" customWidth="1"/>
    <col min="50" max="50" width="9" style="12"/>
    <col min="51" max="52" width="9" style="10" customWidth="1"/>
    <col min="53" max="53" width="9" style="12"/>
    <col min="54" max="55" width="9" style="10" customWidth="1"/>
    <col min="56" max="56" width="9" style="12"/>
    <col min="57" max="16384" width="9" style="10"/>
  </cols>
  <sheetData>
    <row r="1" spans="1:56" s="16" customFormat="1" x14ac:dyDescent="0.2">
      <c r="A1" s="22" t="s">
        <v>55</v>
      </c>
      <c r="B1" s="22"/>
      <c r="C1" s="21" t="s">
        <v>10</v>
      </c>
      <c r="D1" s="21"/>
      <c r="E1" s="21"/>
      <c r="F1" s="21" t="s">
        <v>17</v>
      </c>
      <c r="G1" s="21"/>
      <c r="H1" s="21"/>
      <c r="I1" s="21" t="s">
        <v>33</v>
      </c>
      <c r="J1" s="21"/>
      <c r="K1" s="21"/>
      <c r="L1" s="21" t="s">
        <v>11</v>
      </c>
      <c r="M1" s="21"/>
      <c r="N1" s="21"/>
      <c r="O1" s="21" t="s">
        <v>16</v>
      </c>
      <c r="P1" s="21"/>
      <c r="Q1" s="21"/>
      <c r="R1" s="21" t="s">
        <v>25</v>
      </c>
      <c r="S1" s="21"/>
      <c r="T1" s="21"/>
      <c r="U1" s="21" t="s">
        <v>12</v>
      </c>
      <c r="V1" s="21"/>
      <c r="W1" s="21"/>
      <c r="X1" s="21" t="s">
        <v>23</v>
      </c>
      <c r="Y1" s="21"/>
      <c r="Z1" s="21"/>
      <c r="AA1" s="21" t="s">
        <v>20</v>
      </c>
      <c r="AB1" s="21"/>
      <c r="AC1" s="21"/>
      <c r="AD1" s="21" t="s">
        <v>34</v>
      </c>
      <c r="AE1" s="21"/>
      <c r="AF1" s="21"/>
      <c r="AG1" s="21" t="s">
        <v>21</v>
      </c>
      <c r="AH1" s="21"/>
      <c r="AI1" s="21"/>
      <c r="AJ1" s="21" t="s">
        <v>29</v>
      </c>
      <c r="AK1" s="21"/>
      <c r="AL1" s="21"/>
      <c r="AM1" s="21" t="s">
        <v>22</v>
      </c>
      <c r="AN1" s="21"/>
      <c r="AO1" s="21"/>
      <c r="AP1" s="21" t="s">
        <v>41</v>
      </c>
      <c r="AQ1" s="21"/>
      <c r="AR1" s="21"/>
      <c r="AS1" s="21" t="s">
        <v>9</v>
      </c>
      <c r="AT1" s="21"/>
      <c r="AU1" s="21"/>
      <c r="AV1" s="21" t="s">
        <v>46</v>
      </c>
      <c r="AW1" s="21"/>
      <c r="AX1" s="21"/>
      <c r="AY1" s="21" t="s">
        <v>44</v>
      </c>
      <c r="AZ1" s="21"/>
      <c r="BA1" s="21"/>
      <c r="BB1" s="21" t="s">
        <v>43</v>
      </c>
      <c r="BC1" s="21"/>
      <c r="BD1" s="21"/>
    </row>
    <row r="2" spans="1:56" x14ac:dyDescent="0.2">
      <c r="A2" s="1" t="s">
        <v>5</v>
      </c>
      <c r="B2" s="1">
        <f>SUM(C2:WN2)</f>
        <v>250</v>
      </c>
      <c r="C2" s="19" t="s">
        <v>5</v>
      </c>
      <c r="D2" s="19"/>
      <c r="E2" s="8">
        <f>COUNT(E6:E300)</f>
        <v>63</v>
      </c>
      <c r="F2" s="19" t="s">
        <v>5</v>
      </c>
      <c r="G2" s="19"/>
      <c r="H2" s="8">
        <f>COUNT(H6:H300)</f>
        <v>53</v>
      </c>
      <c r="I2" s="19" t="s">
        <v>5</v>
      </c>
      <c r="J2" s="19"/>
      <c r="K2" s="8">
        <f>COUNT(K6:K300)</f>
        <v>2</v>
      </c>
      <c r="L2" s="19" t="s">
        <v>5</v>
      </c>
      <c r="M2" s="19"/>
      <c r="N2" s="8">
        <f>COUNT(N6:N300)</f>
        <v>4</v>
      </c>
      <c r="O2" s="19" t="s">
        <v>5</v>
      </c>
      <c r="P2" s="19"/>
      <c r="Q2" s="8">
        <f>COUNT(Q6:Q300)</f>
        <v>1</v>
      </c>
      <c r="R2" s="19" t="s">
        <v>5</v>
      </c>
      <c r="S2" s="19"/>
      <c r="T2" s="8">
        <f>COUNT(T6:T300)</f>
        <v>4</v>
      </c>
      <c r="U2" s="19" t="s">
        <v>5</v>
      </c>
      <c r="V2" s="19"/>
      <c r="W2" s="8">
        <f>COUNT(W6:W300)</f>
        <v>38</v>
      </c>
      <c r="X2" s="19" t="s">
        <v>5</v>
      </c>
      <c r="Y2" s="19"/>
      <c r="Z2" s="8">
        <f>COUNT(Z6:Z300)</f>
        <v>5</v>
      </c>
      <c r="AA2" s="19" t="s">
        <v>5</v>
      </c>
      <c r="AB2" s="19"/>
      <c r="AC2" s="8">
        <f>COUNT(AC6:AC300)</f>
        <v>18</v>
      </c>
      <c r="AD2" s="19" t="s">
        <v>5</v>
      </c>
      <c r="AE2" s="19"/>
      <c r="AF2" s="8">
        <f>COUNT(AF6:AF300)</f>
        <v>30</v>
      </c>
      <c r="AG2" s="19" t="s">
        <v>5</v>
      </c>
      <c r="AH2" s="19"/>
      <c r="AI2" s="8">
        <f>COUNT(AI6:AI300)</f>
        <v>21</v>
      </c>
      <c r="AJ2" s="19" t="s">
        <v>5</v>
      </c>
      <c r="AK2" s="19"/>
      <c r="AL2" s="8">
        <f>COUNT(AL6:AL300)</f>
        <v>1</v>
      </c>
      <c r="AM2" s="19" t="s">
        <v>5</v>
      </c>
      <c r="AN2" s="19"/>
      <c r="AO2" s="8">
        <f>COUNT(AO6:AO300)</f>
        <v>1</v>
      </c>
      <c r="AP2" s="19" t="s">
        <v>5</v>
      </c>
      <c r="AQ2" s="19"/>
      <c r="AR2" s="8">
        <f>COUNT(AR6:AR300)</f>
        <v>2</v>
      </c>
      <c r="AS2" s="19" t="s">
        <v>5</v>
      </c>
      <c r="AT2" s="19"/>
      <c r="AU2" s="8">
        <f>COUNT(AU6:AU300)</f>
        <v>1</v>
      </c>
      <c r="AV2" s="19" t="s">
        <v>5</v>
      </c>
      <c r="AW2" s="19"/>
      <c r="AX2" s="8">
        <f>COUNT(AX6:AX300)</f>
        <v>4</v>
      </c>
      <c r="AY2" s="19" t="s">
        <v>5</v>
      </c>
      <c r="AZ2" s="19"/>
      <c r="BA2" s="8">
        <f>COUNT(BA6:BA300)</f>
        <v>1</v>
      </c>
      <c r="BB2" s="19" t="s">
        <v>5</v>
      </c>
      <c r="BC2" s="19"/>
      <c r="BD2" s="8">
        <f>COUNT(BD6:BD300)</f>
        <v>1</v>
      </c>
    </row>
    <row r="3" spans="1:56" x14ac:dyDescent="0.2">
      <c r="A3" s="1" t="s">
        <v>4</v>
      </c>
      <c r="B3" s="1">
        <f>SUM(C3:WN3)</f>
        <v>23.698957033035942</v>
      </c>
      <c r="C3" s="19" t="s">
        <v>4</v>
      </c>
      <c r="D3" s="19"/>
      <c r="E3" s="8">
        <f>SUM(E6:E300)</f>
        <v>4.497068841729611</v>
      </c>
      <c r="F3" s="19" t="s">
        <v>4</v>
      </c>
      <c r="G3" s="19"/>
      <c r="H3" s="8">
        <f>SUM(H6:H300)</f>
        <v>3.2707681122995305</v>
      </c>
      <c r="I3" s="19" t="s">
        <v>4</v>
      </c>
      <c r="J3" s="19"/>
      <c r="K3" s="8">
        <f>SUM(K6:K300)</f>
        <v>0.153305405300625</v>
      </c>
      <c r="L3" s="19" t="s">
        <v>4</v>
      </c>
      <c r="M3" s="19"/>
      <c r="N3" s="8">
        <f>SUM(N6:N300)</f>
        <v>0.24376776668625003</v>
      </c>
      <c r="O3" s="19" t="s">
        <v>4</v>
      </c>
      <c r="P3" s="19"/>
      <c r="Q3" s="8">
        <f>SUM(Q6:Q300)</f>
        <v>0.31656590991812505</v>
      </c>
      <c r="R3" s="19" t="s">
        <v>4</v>
      </c>
      <c r="S3" s="19"/>
      <c r="T3" s="8">
        <f>SUM(T6:T300)</f>
        <v>0.17003149641374998</v>
      </c>
      <c r="U3" s="19" t="s">
        <v>4</v>
      </c>
      <c r="V3" s="19"/>
      <c r="W3" s="8">
        <f>SUM(W6:W300)</f>
        <v>3.3768892860156252</v>
      </c>
      <c r="X3" s="19" t="s">
        <v>4</v>
      </c>
      <c r="Y3" s="19"/>
      <c r="Z3" s="8">
        <f>SUM(Z6:Z300)</f>
        <v>0.62288395166562505</v>
      </c>
      <c r="AA3" s="19" t="s">
        <v>4</v>
      </c>
      <c r="AB3" s="19"/>
      <c r="AC3" s="8">
        <f>SUM(AC6:AC300)</f>
        <v>5.1061564025818758</v>
      </c>
      <c r="AD3" s="19" t="s">
        <v>4</v>
      </c>
      <c r="AE3" s="19"/>
      <c r="AF3" s="8">
        <f>SUM(AF6:AF300)</f>
        <v>3.5828408078361718</v>
      </c>
      <c r="AG3" s="19" t="s">
        <v>4</v>
      </c>
      <c r="AH3" s="19"/>
      <c r="AI3" s="8">
        <f>SUM(AI6:AI300)</f>
        <v>1.326461130045625</v>
      </c>
      <c r="AJ3" s="19" t="s">
        <v>4</v>
      </c>
      <c r="AK3" s="19"/>
      <c r="AL3" s="8">
        <f>SUM(AL6:AL300)</f>
        <v>0.48419891718749997</v>
      </c>
      <c r="AM3" s="19" t="s">
        <v>4</v>
      </c>
      <c r="AN3" s="19"/>
      <c r="AO3" s="8">
        <f>SUM(AO6:AO300)</f>
        <v>3.0326095678124998E-2</v>
      </c>
      <c r="AP3" s="19" t="s">
        <v>4</v>
      </c>
      <c r="AQ3" s="19"/>
      <c r="AR3" s="8">
        <f>SUM(AR6:AR300)</f>
        <v>7.4728360326249993E-2</v>
      </c>
      <c r="AS3" s="19" t="s">
        <v>4</v>
      </c>
      <c r="AT3" s="19"/>
      <c r="AU3" s="8">
        <f>SUM(AU6:AU300)</f>
        <v>0.13690260350000003</v>
      </c>
      <c r="AV3" s="19" t="s">
        <v>4</v>
      </c>
      <c r="AW3" s="19"/>
      <c r="AX3" s="8">
        <f>SUM(AX6:AX300)</f>
        <v>0.22342048186687499</v>
      </c>
      <c r="AY3" s="19" t="s">
        <v>4</v>
      </c>
      <c r="AZ3" s="19"/>
      <c r="BA3" s="8">
        <f>SUM(BA6:BA300)</f>
        <v>4.3868272854375001E-2</v>
      </c>
      <c r="BB3" s="19" t="s">
        <v>4</v>
      </c>
      <c r="BC3" s="19"/>
      <c r="BD3" s="8">
        <f>SUM(BD6:BD300)</f>
        <v>3.8773191129999995E-2</v>
      </c>
    </row>
    <row r="4" spans="1:56" x14ac:dyDescent="0.2">
      <c r="A4" s="1"/>
      <c r="B4" s="1"/>
      <c r="C4" s="19" t="s">
        <v>3</v>
      </c>
      <c r="D4" s="19"/>
      <c r="E4" s="8">
        <f>AVERAGE(E6:E300)</f>
        <v>7.1382045106819225E-2</v>
      </c>
      <c r="F4" s="19" t="s">
        <v>3</v>
      </c>
      <c r="G4" s="19"/>
      <c r="H4" s="8">
        <f>AVERAGE(H6:H300)</f>
        <v>6.171260589244397E-2</v>
      </c>
      <c r="I4" s="19" t="s">
        <v>3</v>
      </c>
      <c r="J4" s="19"/>
      <c r="K4" s="8">
        <f>AVERAGE(K6:K300)</f>
        <v>7.6652702650312501E-2</v>
      </c>
      <c r="L4" s="19" t="s">
        <v>3</v>
      </c>
      <c r="M4" s="19"/>
      <c r="N4" s="8">
        <f>AVERAGE(N6:N300)</f>
        <v>6.0941941671562506E-2</v>
      </c>
      <c r="O4" s="19" t="s">
        <v>3</v>
      </c>
      <c r="P4" s="19"/>
      <c r="Q4" s="8">
        <f>AVERAGE(Q6:Q300)</f>
        <v>0.31656590991812505</v>
      </c>
      <c r="R4" s="19" t="s">
        <v>3</v>
      </c>
      <c r="S4" s="19"/>
      <c r="T4" s="8">
        <f>AVERAGE(T6:T300)</f>
        <v>4.2507874103437496E-2</v>
      </c>
      <c r="U4" s="19" t="s">
        <v>3</v>
      </c>
      <c r="V4" s="19"/>
      <c r="W4" s="8">
        <f>AVERAGE(W6:W300)</f>
        <v>8.8865507526726978E-2</v>
      </c>
      <c r="X4" s="19" t="s">
        <v>3</v>
      </c>
      <c r="Y4" s="19"/>
      <c r="Z4" s="8">
        <f>AVERAGE(Z6:Z300)</f>
        <v>0.12457679033312501</v>
      </c>
      <c r="AA4" s="19" t="s">
        <v>3</v>
      </c>
      <c r="AB4" s="19"/>
      <c r="AC4" s="8">
        <f>AVERAGE(AC6:AC300)</f>
        <v>0.2836753556989931</v>
      </c>
      <c r="AD4" s="19" t="s">
        <v>3</v>
      </c>
      <c r="AE4" s="19"/>
      <c r="AF4" s="8">
        <f>AVERAGE(AF6:AF300)</f>
        <v>0.1194280269278724</v>
      </c>
      <c r="AG4" s="19" t="s">
        <v>3</v>
      </c>
      <c r="AH4" s="19"/>
      <c r="AI4" s="8">
        <f>AVERAGE(AI6:AI300)</f>
        <v>6.3164815716458336E-2</v>
      </c>
      <c r="AJ4" s="19" t="s">
        <v>3</v>
      </c>
      <c r="AK4" s="19"/>
      <c r="AL4" s="8">
        <f>AVERAGE(AL6:AL300)</f>
        <v>0.48419891718749997</v>
      </c>
      <c r="AM4" s="19" t="s">
        <v>3</v>
      </c>
      <c r="AN4" s="19"/>
      <c r="AO4" s="8">
        <f>AVERAGE(AO6:AO300)</f>
        <v>3.0326095678124998E-2</v>
      </c>
      <c r="AP4" s="19" t="s">
        <v>3</v>
      </c>
      <c r="AQ4" s="19"/>
      <c r="AR4" s="8">
        <f>AVERAGE(AR6:AR300)</f>
        <v>3.7364180163124996E-2</v>
      </c>
      <c r="AS4" s="19" t="s">
        <v>3</v>
      </c>
      <c r="AT4" s="19"/>
      <c r="AU4" s="8">
        <f>AVERAGE(AU6:AU300)</f>
        <v>0.13690260350000003</v>
      </c>
      <c r="AV4" s="19" t="s">
        <v>3</v>
      </c>
      <c r="AW4" s="19"/>
      <c r="AX4" s="8">
        <f>AVERAGE(AX6:AX300)</f>
        <v>5.5855120466718748E-2</v>
      </c>
      <c r="AY4" s="19" t="s">
        <v>3</v>
      </c>
      <c r="AZ4" s="19"/>
      <c r="BA4" s="8">
        <f>AVERAGE(BA6:BA300)</f>
        <v>4.3868272854375001E-2</v>
      </c>
      <c r="BB4" s="19" t="s">
        <v>3</v>
      </c>
      <c r="BC4" s="19"/>
      <c r="BD4" s="8">
        <f>AVERAGE(BD6:BD300)</f>
        <v>3.8773191129999995E-2</v>
      </c>
    </row>
    <row r="5" spans="1:56" x14ac:dyDescent="0.2">
      <c r="A5" s="1"/>
      <c r="B5" s="1"/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</row>
    <row r="6" spans="1:56" x14ac:dyDescent="0.2">
      <c r="C6" s="11">
        <v>357.42</v>
      </c>
      <c r="D6" s="11">
        <v>17.23</v>
      </c>
      <c r="E6" s="9">
        <f t="shared" ref="E6:E37" si="0">(C6*D6*D6)/1600000</f>
        <v>6.6317694948750019E-2</v>
      </c>
      <c r="F6" s="11">
        <v>236.73</v>
      </c>
      <c r="G6" s="11">
        <v>17.53</v>
      </c>
      <c r="H6" s="9">
        <f t="shared" ref="H6:H37" si="1">(F6*G6*G6)/1600000</f>
        <v>4.5467088785624998E-2</v>
      </c>
      <c r="I6" s="11">
        <v>418.83</v>
      </c>
      <c r="J6" s="11">
        <v>17.29</v>
      </c>
      <c r="K6" s="9">
        <f t="shared" ref="K6:K7" si="2">(I6*J6*J6)/1600000</f>
        <v>7.8254223376874987E-2</v>
      </c>
      <c r="L6" s="11">
        <v>392.86</v>
      </c>
      <c r="M6" s="11">
        <v>12.13</v>
      </c>
      <c r="N6" s="9">
        <f t="shared" ref="N6:N9" si="3">(L6*M6*M6)/1600000</f>
        <v>3.612762658375001E-2</v>
      </c>
      <c r="O6" s="11">
        <v>616.21</v>
      </c>
      <c r="P6" s="11">
        <v>28.67</v>
      </c>
      <c r="Q6" s="9">
        <f t="shared" ref="Q6" si="4">(O6*P6*P6)/1600000</f>
        <v>0.31656590991812505</v>
      </c>
      <c r="R6" s="11">
        <v>401.78</v>
      </c>
      <c r="S6" s="11">
        <v>13.31</v>
      </c>
      <c r="T6" s="9">
        <f t="shared" ref="T6:T9" si="5">(R6*S6*S6)/1600000</f>
        <v>4.4486111161250001E-2</v>
      </c>
      <c r="U6" s="11">
        <v>278.29000000000002</v>
      </c>
      <c r="V6" s="11">
        <v>17.91</v>
      </c>
      <c r="W6" s="9">
        <f t="shared" ref="W6:W37" si="6">(U6*V6*V6)/1600000</f>
        <v>5.5791596593125006E-2</v>
      </c>
      <c r="X6" s="11">
        <v>338.72</v>
      </c>
      <c r="Y6" s="11">
        <v>14.15</v>
      </c>
      <c r="Z6" s="9">
        <f t="shared" ref="Z6:Z10" si="7">(X6*Y6*Y6)/1600000</f>
        <v>4.2387103250000009E-2</v>
      </c>
      <c r="AA6" s="11">
        <v>439.71</v>
      </c>
      <c r="AB6" s="11">
        <v>17.2</v>
      </c>
      <c r="AC6" s="9">
        <f t="shared" ref="AC6:AC23" si="8">(AA6*AB6*AB6)/1600000</f>
        <v>8.1302378999999994E-2</v>
      </c>
      <c r="AD6" s="11">
        <v>729.86</v>
      </c>
      <c r="AE6" s="11">
        <v>28.52</v>
      </c>
      <c r="AF6" s="9">
        <f t="shared" ref="AF6:AF35" si="9">(AD6*AE6*AE6)/1600000</f>
        <v>0.37103819833999996</v>
      </c>
      <c r="AG6" s="11">
        <v>375.88</v>
      </c>
      <c r="AH6" s="11">
        <v>14.27</v>
      </c>
      <c r="AI6" s="9">
        <f t="shared" ref="AI6:AI26" si="10">(AG6*AH6*AH6)/1600000</f>
        <v>4.7838459032499996E-2</v>
      </c>
      <c r="AJ6" s="11">
        <v>819.32</v>
      </c>
      <c r="AK6" s="11">
        <v>30.75</v>
      </c>
      <c r="AL6" s="9">
        <f t="shared" ref="AL6" si="11">(AJ6*AK6*AK6)/1600000</f>
        <v>0.48419891718749997</v>
      </c>
      <c r="AM6" s="11">
        <v>224.85</v>
      </c>
      <c r="AN6" s="11">
        <v>14.69</v>
      </c>
      <c r="AO6" s="9">
        <f t="shared" ref="AO6" si="12">(AM6*AN6*AN6)/1600000</f>
        <v>3.0326095678124998E-2</v>
      </c>
      <c r="AP6" s="11">
        <v>335.05</v>
      </c>
      <c r="AQ6" s="11">
        <v>13.75</v>
      </c>
      <c r="AR6" s="9">
        <f t="shared" ref="AR6:AR7" si="13">(AP6*AQ6*AQ6)/1600000</f>
        <v>3.9590869140624999E-2</v>
      </c>
      <c r="AS6" s="11">
        <v>691.34</v>
      </c>
      <c r="AT6" s="11">
        <v>17.8</v>
      </c>
      <c r="AU6" s="9">
        <f t="shared" ref="AU6" si="14">(AS6*AT6*AT6)/1600000</f>
        <v>0.13690260350000003</v>
      </c>
      <c r="AV6" s="11">
        <v>431.73</v>
      </c>
      <c r="AW6" s="11">
        <v>19.57</v>
      </c>
      <c r="AX6" s="9">
        <f t="shared" ref="AX6:AX9" si="15">(AV6*AW6*AW6)/1600000</f>
        <v>0.10334129429812501</v>
      </c>
      <c r="AY6" s="11">
        <v>419.83</v>
      </c>
      <c r="AZ6" s="11">
        <v>12.93</v>
      </c>
      <c r="BA6" s="9">
        <f t="shared" ref="BA6" si="16">(AY6*AZ6*AZ6)/1600000</f>
        <v>4.3868272854375001E-2</v>
      </c>
      <c r="BB6" s="11">
        <v>395.77</v>
      </c>
      <c r="BC6" s="11">
        <v>12.52</v>
      </c>
      <c r="BD6" s="9">
        <f t="shared" ref="BD6" si="17">(BB6*BC6*BC6)/1600000</f>
        <v>3.8773191129999995E-2</v>
      </c>
    </row>
    <row r="7" spans="1:56" x14ac:dyDescent="0.2">
      <c r="C7" s="11">
        <v>415.56</v>
      </c>
      <c r="D7" s="11">
        <v>16.48</v>
      </c>
      <c r="E7" s="9">
        <f t="shared" si="0"/>
        <v>7.0538816640000002E-2</v>
      </c>
      <c r="F7" s="11">
        <v>366.39</v>
      </c>
      <c r="G7" s="11">
        <v>17.09</v>
      </c>
      <c r="H7" s="9">
        <f t="shared" si="1"/>
        <v>6.6881769474374991E-2</v>
      </c>
      <c r="I7" s="11">
        <v>348.22</v>
      </c>
      <c r="J7" s="11">
        <v>18.57</v>
      </c>
      <c r="K7" s="9">
        <f t="shared" si="2"/>
        <v>7.5051181923750016E-2</v>
      </c>
      <c r="L7" s="11">
        <v>567.37</v>
      </c>
      <c r="M7" s="11">
        <v>19.100000000000001</v>
      </c>
      <c r="N7" s="9">
        <f t="shared" si="3"/>
        <v>0.12936390606250003</v>
      </c>
      <c r="O7" s="11"/>
      <c r="P7" s="11"/>
      <c r="Q7" s="9"/>
      <c r="R7" s="11">
        <v>431.65</v>
      </c>
      <c r="S7" s="11">
        <v>14.58</v>
      </c>
      <c r="T7" s="9">
        <f t="shared" si="5"/>
        <v>5.7349126912499999E-2</v>
      </c>
      <c r="U7" s="11">
        <v>231.94</v>
      </c>
      <c r="V7" s="11">
        <v>16.68</v>
      </c>
      <c r="W7" s="9">
        <f t="shared" si="6"/>
        <v>4.033181466E-2</v>
      </c>
      <c r="X7" s="11">
        <v>294.22000000000003</v>
      </c>
      <c r="Y7" s="11">
        <v>14.06</v>
      </c>
      <c r="Z7" s="9">
        <f t="shared" si="7"/>
        <v>3.6351542995000007E-2</v>
      </c>
      <c r="AA7" s="11">
        <v>472.12</v>
      </c>
      <c r="AB7" s="11">
        <v>17.149999999999999</v>
      </c>
      <c r="AC7" s="9">
        <f t="shared" si="8"/>
        <v>8.6788196687499986E-2</v>
      </c>
      <c r="AD7" s="11">
        <v>553.51</v>
      </c>
      <c r="AE7" s="11">
        <v>20.58</v>
      </c>
      <c r="AF7" s="9">
        <f t="shared" si="9"/>
        <v>0.14651977047749998</v>
      </c>
      <c r="AG7" s="11">
        <v>977.91</v>
      </c>
      <c r="AH7" s="11">
        <v>11.51</v>
      </c>
      <c r="AI7" s="9">
        <f t="shared" si="10"/>
        <v>8.0971009119374993E-2</v>
      </c>
      <c r="AJ7" s="11"/>
      <c r="AK7" s="11"/>
      <c r="AL7" s="9"/>
      <c r="AM7" s="11"/>
      <c r="AN7" s="11"/>
      <c r="AO7" s="9"/>
      <c r="AP7" s="11">
        <v>322.17</v>
      </c>
      <c r="AQ7" s="11">
        <v>13.21</v>
      </c>
      <c r="AR7" s="9">
        <f t="shared" si="13"/>
        <v>3.5137491185625001E-2</v>
      </c>
      <c r="AS7" s="11"/>
      <c r="AT7" s="11"/>
      <c r="AU7" s="9"/>
      <c r="AV7" s="11">
        <v>280.54000000000002</v>
      </c>
      <c r="AW7" s="11">
        <v>14.35</v>
      </c>
      <c r="AX7" s="9">
        <f t="shared" si="15"/>
        <v>3.6105936343749999E-2</v>
      </c>
      <c r="AY7" s="11"/>
      <c r="AZ7" s="11"/>
      <c r="BA7" s="9"/>
      <c r="BB7" s="11"/>
      <c r="BC7" s="11"/>
      <c r="BD7" s="9"/>
    </row>
    <row r="8" spans="1:56" x14ac:dyDescent="0.2">
      <c r="C8" s="11">
        <v>363.69</v>
      </c>
      <c r="D8" s="11">
        <v>14.76</v>
      </c>
      <c r="E8" s="9">
        <f t="shared" si="0"/>
        <v>4.9520394090000003E-2</v>
      </c>
      <c r="F8" s="11">
        <v>324.10000000000002</v>
      </c>
      <c r="G8" s="11">
        <v>16.93</v>
      </c>
      <c r="H8" s="9">
        <f t="shared" si="1"/>
        <v>5.8059456306249993E-2</v>
      </c>
      <c r="I8" s="11"/>
      <c r="J8" s="11"/>
      <c r="K8" s="9"/>
      <c r="L8" s="11">
        <v>381.62</v>
      </c>
      <c r="M8" s="11">
        <v>13.52</v>
      </c>
      <c r="N8" s="9">
        <f t="shared" si="3"/>
        <v>4.3597795279999997E-2</v>
      </c>
      <c r="O8" s="11"/>
      <c r="P8" s="11"/>
      <c r="Q8" s="9"/>
      <c r="R8" s="11">
        <v>400</v>
      </c>
      <c r="S8" s="11">
        <v>14.23</v>
      </c>
      <c r="T8" s="9">
        <f t="shared" si="5"/>
        <v>5.0623225000000001E-2</v>
      </c>
      <c r="U8" s="11">
        <v>303.98</v>
      </c>
      <c r="V8" s="11">
        <v>17.420000000000002</v>
      </c>
      <c r="W8" s="9">
        <f t="shared" si="6"/>
        <v>5.7652922795000013E-2</v>
      </c>
      <c r="X8" s="11">
        <v>572.22</v>
      </c>
      <c r="Y8" s="11">
        <v>24.67</v>
      </c>
      <c r="Z8" s="9">
        <f t="shared" si="7"/>
        <v>0.21766136547375003</v>
      </c>
      <c r="AA8" s="11">
        <v>932.68</v>
      </c>
      <c r="AB8" s="11">
        <v>30.54</v>
      </c>
      <c r="AC8" s="9">
        <f t="shared" si="8"/>
        <v>0.54368925092999987</v>
      </c>
      <c r="AD8" s="11">
        <v>431.62</v>
      </c>
      <c r="AE8" s="11">
        <v>15.26</v>
      </c>
      <c r="AF8" s="9">
        <f t="shared" si="9"/>
        <v>6.281894594500001E-2</v>
      </c>
      <c r="AG8" s="11">
        <v>250.41</v>
      </c>
      <c r="AH8" s="11">
        <v>12.98</v>
      </c>
      <c r="AI8" s="9">
        <f t="shared" si="10"/>
        <v>2.6368235602500005E-2</v>
      </c>
      <c r="AJ8" s="11"/>
      <c r="AK8" s="11"/>
      <c r="AL8" s="9"/>
      <c r="AM8" s="11"/>
      <c r="AN8" s="11"/>
      <c r="AO8" s="9"/>
      <c r="AP8" s="11"/>
      <c r="AQ8" s="11"/>
      <c r="AR8" s="9"/>
      <c r="AS8" s="11"/>
      <c r="AT8" s="11"/>
      <c r="AU8" s="9"/>
      <c r="AV8" s="11">
        <v>277.45999999999998</v>
      </c>
      <c r="AW8" s="11">
        <v>12.72</v>
      </c>
      <c r="AX8" s="9">
        <f t="shared" si="15"/>
        <v>2.8057865040000001E-2</v>
      </c>
      <c r="AY8" s="11"/>
      <c r="AZ8" s="11"/>
      <c r="BA8" s="9"/>
      <c r="BB8" s="11"/>
      <c r="BC8" s="11"/>
      <c r="BD8" s="9"/>
    </row>
    <row r="9" spans="1:56" x14ac:dyDescent="0.2">
      <c r="C9" s="11">
        <v>369.13</v>
      </c>
      <c r="D9" s="11">
        <v>17.57</v>
      </c>
      <c r="E9" s="9">
        <f t="shared" si="0"/>
        <v>7.1220149835624996E-2</v>
      </c>
      <c r="F9" s="11">
        <v>252.29</v>
      </c>
      <c r="G9" s="11">
        <v>12.65</v>
      </c>
      <c r="H9" s="9">
        <f t="shared" si="1"/>
        <v>2.5232547828125004E-2</v>
      </c>
      <c r="I9" s="11"/>
      <c r="J9" s="11"/>
      <c r="K9" s="9"/>
      <c r="L9" s="11">
        <v>382.76</v>
      </c>
      <c r="M9" s="11">
        <v>12.04</v>
      </c>
      <c r="N9" s="9">
        <f t="shared" si="3"/>
        <v>3.4678438759999992E-2</v>
      </c>
      <c r="O9" s="11"/>
      <c r="P9" s="11"/>
      <c r="Q9" s="9"/>
      <c r="R9" s="11">
        <v>312.86</v>
      </c>
      <c r="S9" s="11">
        <v>9.48</v>
      </c>
      <c r="T9" s="9">
        <f t="shared" si="5"/>
        <v>1.7573033340000002E-2</v>
      </c>
      <c r="U9" s="11">
        <v>239.08</v>
      </c>
      <c r="V9" s="11">
        <v>16.64</v>
      </c>
      <c r="W9" s="9">
        <f t="shared" si="6"/>
        <v>4.1374228480000004E-2</v>
      </c>
      <c r="X9" s="11">
        <v>436.4</v>
      </c>
      <c r="Y9" s="11">
        <v>17.29</v>
      </c>
      <c r="Z9" s="9">
        <f t="shared" si="7"/>
        <v>8.1537003274999978E-2</v>
      </c>
      <c r="AA9" s="11">
        <v>761.03</v>
      </c>
      <c r="AB9" s="11">
        <v>28.28</v>
      </c>
      <c r="AC9" s="9">
        <f t="shared" si="8"/>
        <v>0.38040008447000001</v>
      </c>
      <c r="AD9" s="11">
        <v>430.65</v>
      </c>
      <c r="AE9" s="11">
        <v>15.77</v>
      </c>
      <c r="AF9" s="9">
        <f t="shared" si="9"/>
        <v>6.6937248365624993E-2</v>
      </c>
      <c r="AG9" s="11">
        <v>368.48</v>
      </c>
      <c r="AH9" s="11">
        <v>12.3</v>
      </c>
      <c r="AI9" s="9">
        <f t="shared" si="10"/>
        <v>3.4842087000000001E-2</v>
      </c>
      <c r="AJ9" s="11"/>
      <c r="AK9" s="11"/>
      <c r="AL9" s="9"/>
      <c r="AM9" s="11"/>
      <c r="AN9" s="11"/>
      <c r="AO9" s="9"/>
      <c r="AP9" s="11"/>
      <c r="AQ9" s="11"/>
      <c r="AR9" s="9"/>
      <c r="AS9" s="11"/>
      <c r="AT9" s="11"/>
      <c r="AU9" s="9"/>
      <c r="AV9" s="11">
        <v>276.74</v>
      </c>
      <c r="AW9" s="11">
        <v>17.98</v>
      </c>
      <c r="AX9" s="9">
        <f t="shared" si="15"/>
        <v>5.5915386185000006E-2</v>
      </c>
      <c r="AY9" s="11"/>
      <c r="AZ9" s="11"/>
      <c r="BA9" s="9"/>
      <c r="BB9" s="11"/>
      <c r="BC9" s="11"/>
      <c r="BD9" s="9"/>
    </row>
    <row r="10" spans="1:56" x14ac:dyDescent="0.2">
      <c r="C10" s="11">
        <v>386.82</v>
      </c>
      <c r="D10" s="11">
        <v>15.47</v>
      </c>
      <c r="E10" s="9">
        <f t="shared" si="0"/>
        <v>5.7858819086250006E-2</v>
      </c>
      <c r="F10" s="11">
        <v>335.83</v>
      </c>
      <c r="G10" s="11">
        <v>17.28</v>
      </c>
      <c r="H10" s="9">
        <f t="shared" si="1"/>
        <v>6.2673937919999992E-2</v>
      </c>
      <c r="I10" s="11"/>
      <c r="J10" s="11"/>
      <c r="K10" s="9"/>
      <c r="L10" s="11"/>
      <c r="M10" s="11"/>
      <c r="N10" s="9"/>
      <c r="O10" s="11"/>
      <c r="P10" s="11"/>
      <c r="Q10" s="9"/>
      <c r="R10" s="11"/>
      <c r="S10" s="11"/>
      <c r="T10" s="9"/>
      <c r="U10" s="11">
        <v>247.66</v>
      </c>
      <c r="V10" s="11">
        <v>14.01</v>
      </c>
      <c r="W10" s="9">
        <f t="shared" si="6"/>
        <v>3.0381705978749996E-2</v>
      </c>
      <c r="X10" s="11">
        <v>543.63</v>
      </c>
      <c r="Y10" s="11">
        <v>26.85</v>
      </c>
      <c r="Z10" s="9">
        <f t="shared" si="7"/>
        <v>0.244946936671875</v>
      </c>
      <c r="AA10" s="11">
        <v>334.32</v>
      </c>
      <c r="AB10" s="11">
        <v>16.05</v>
      </c>
      <c r="AC10" s="9">
        <f t="shared" si="8"/>
        <v>5.3826042375000008E-2</v>
      </c>
      <c r="AD10" s="11">
        <v>446.38</v>
      </c>
      <c r="AE10" s="11">
        <v>16.850000000000001</v>
      </c>
      <c r="AF10" s="9">
        <f t="shared" si="9"/>
        <v>7.9210828468750008E-2</v>
      </c>
      <c r="AG10" s="11">
        <v>291.52999999999997</v>
      </c>
      <c r="AH10" s="11">
        <v>11.79</v>
      </c>
      <c r="AI10" s="9">
        <f t="shared" si="10"/>
        <v>2.5327415795624992E-2</v>
      </c>
      <c r="AJ10" s="11"/>
      <c r="AK10" s="11"/>
      <c r="AL10" s="9"/>
      <c r="AM10" s="11"/>
      <c r="AN10" s="11"/>
      <c r="AO10" s="9"/>
      <c r="AP10" s="11"/>
      <c r="AQ10" s="11"/>
      <c r="AR10" s="9"/>
      <c r="AS10" s="11"/>
      <c r="AT10" s="11"/>
      <c r="AU10" s="9"/>
      <c r="AV10" s="11"/>
      <c r="AW10" s="11"/>
      <c r="AX10" s="9"/>
      <c r="AY10" s="11"/>
      <c r="AZ10" s="11"/>
      <c r="BA10" s="9"/>
      <c r="BB10" s="11"/>
      <c r="BC10" s="11"/>
      <c r="BD10" s="9"/>
    </row>
    <row r="11" spans="1:56" x14ac:dyDescent="0.2">
      <c r="C11" s="11">
        <v>438.75</v>
      </c>
      <c r="D11" s="11">
        <v>49.88</v>
      </c>
      <c r="E11" s="9">
        <f t="shared" si="0"/>
        <v>0.6822601987500001</v>
      </c>
      <c r="F11" s="11">
        <v>396.46</v>
      </c>
      <c r="G11" s="11">
        <v>14.87</v>
      </c>
      <c r="H11" s="9">
        <f t="shared" si="1"/>
        <v>5.4790003858749985E-2</v>
      </c>
      <c r="I11" s="11"/>
      <c r="J11" s="11"/>
      <c r="K11" s="9"/>
      <c r="L11" s="11"/>
      <c r="M11" s="11"/>
      <c r="N11" s="9"/>
      <c r="O11" s="11"/>
      <c r="P11" s="11"/>
      <c r="Q11" s="9"/>
      <c r="R11" s="11"/>
      <c r="S11" s="11"/>
      <c r="T11" s="9"/>
      <c r="U11" s="11">
        <v>468.66</v>
      </c>
      <c r="V11" s="11">
        <v>25.41</v>
      </c>
      <c r="W11" s="9">
        <f t="shared" si="6"/>
        <v>0.18912425734125002</v>
      </c>
      <c r="X11" s="11"/>
      <c r="Y11" s="11"/>
      <c r="Z11" s="9"/>
      <c r="AA11" s="11">
        <v>484.57</v>
      </c>
      <c r="AB11" s="11">
        <v>17.38</v>
      </c>
      <c r="AC11" s="9">
        <f t="shared" si="8"/>
        <v>9.1482091442499983E-2</v>
      </c>
      <c r="AD11" s="11">
        <v>436.31</v>
      </c>
      <c r="AE11" s="11">
        <v>14.16</v>
      </c>
      <c r="AF11" s="9">
        <f t="shared" si="9"/>
        <v>5.4676623959999997E-2</v>
      </c>
      <c r="AG11" s="11">
        <v>305.31</v>
      </c>
      <c r="AH11" s="11">
        <v>13.03</v>
      </c>
      <c r="AI11" s="9">
        <f t="shared" si="10"/>
        <v>3.2397379111874999E-2</v>
      </c>
      <c r="AJ11" s="11"/>
      <c r="AK11" s="11"/>
      <c r="AL11" s="9"/>
      <c r="AM11" s="11"/>
      <c r="AN11" s="11"/>
      <c r="AO11" s="9"/>
      <c r="AP11" s="11"/>
      <c r="AQ11" s="11"/>
      <c r="AR11" s="9"/>
      <c r="AS11" s="11"/>
      <c r="AT11" s="11"/>
      <c r="AU11" s="9"/>
      <c r="AV11" s="11"/>
      <c r="AW11" s="11"/>
      <c r="AX11" s="9"/>
      <c r="AY11" s="11"/>
      <c r="AZ11" s="11"/>
      <c r="BA11" s="9"/>
      <c r="BB11" s="11"/>
      <c r="BC11" s="11"/>
      <c r="BD11" s="9"/>
    </row>
    <row r="12" spans="1:56" x14ac:dyDescent="0.2">
      <c r="C12" s="11">
        <v>339.27</v>
      </c>
      <c r="D12" s="11">
        <v>17.61</v>
      </c>
      <c r="E12" s="9">
        <f t="shared" si="0"/>
        <v>6.5757332604374982E-2</v>
      </c>
      <c r="F12" s="11">
        <v>310.67</v>
      </c>
      <c r="G12" s="11">
        <v>15.56</v>
      </c>
      <c r="H12" s="9">
        <f t="shared" si="1"/>
        <v>4.7010895070000003E-2</v>
      </c>
      <c r="I12" s="11"/>
      <c r="J12" s="11"/>
      <c r="K12" s="9"/>
      <c r="L12" s="11"/>
      <c r="M12" s="11"/>
      <c r="N12" s="9"/>
      <c r="O12" s="11"/>
      <c r="P12" s="11"/>
      <c r="Q12" s="9"/>
      <c r="R12" s="11"/>
      <c r="S12" s="11"/>
      <c r="T12" s="9"/>
      <c r="U12" s="11">
        <v>288.13</v>
      </c>
      <c r="V12" s="11">
        <v>18.190000000000001</v>
      </c>
      <c r="W12" s="9">
        <f t="shared" si="6"/>
        <v>5.9584581683125006E-2</v>
      </c>
      <c r="X12" s="11"/>
      <c r="Y12" s="11"/>
      <c r="Z12" s="9"/>
      <c r="AA12" s="11">
        <v>919.96</v>
      </c>
      <c r="AB12" s="11">
        <v>29.23</v>
      </c>
      <c r="AC12" s="9">
        <f t="shared" si="8"/>
        <v>0.49125455767750004</v>
      </c>
      <c r="AD12" s="11">
        <v>909.27</v>
      </c>
      <c r="AE12" s="11">
        <v>28.72</v>
      </c>
      <c r="AF12" s="9">
        <f t="shared" si="9"/>
        <v>0.46875050747999997</v>
      </c>
      <c r="AG12" s="11">
        <v>340.55</v>
      </c>
      <c r="AH12" s="11">
        <v>13.57</v>
      </c>
      <c r="AI12" s="9">
        <f t="shared" si="10"/>
        <v>3.9194091059374998E-2</v>
      </c>
      <c r="AJ12" s="11"/>
      <c r="AK12" s="11"/>
      <c r="AL12" s="9"/>
      <c r="AM12" s="11"/>
      <c r="AN12" s="11"/>
      <c r="AO12" s="9"/>
      <c r="AP12" s="11"/>
      <c r="AQ12" s="11"/>
      <c r="AR12" s="9"/>
      <c r="AS12" s="11"/>
      <c r="AT12" s="11"/>
      <c r="AU12" s="9"/>
      <c r="AV12" s="11"/>
      <c r="AW12" s="11"/>
      <c r="AX12" s="9"/>
      <c r="AY12" s="11"/>
      <c r="AZ12" s="11"/>
      <c r="BA12" s="9"/>
      <c r="BB12" s="11"/>
      <c r="BC12" s="11"/>
      <c r="BD12" s="9"/>
    </row>
    <row r="13" spans="1:56" x14ac:dyDescent="0.2">
      <c r="C13" s="11">
        <v>346.51</v>
      </c>
      <c r="D13" s="11">
        <v>12.76</v>
      </c>
      <c r="E13" s="9">
        <f t="shared" si="0"/>
        <v>3.526120411E-2</v>
      </c>
      <c r="F13" s="11">
        <v>369.17</v>
      </c>
      <c r="G13" s="11">
        <v>14.43</v>
      </c>
      <c r="H13" s="9">
        <f t="shared" si="1"/>
        <v>4.8043991458125004E-2</v>
      </c>
      <c r="I13" s="11"/>
      <c r="J13" s="11"/>
      <c r="K13" s="9"/>
      <c r="L13" s="11"/>
      <c r="M13" s="11"/>
      <c r="N13" s="9"/>
      <c r="O13" s="11"/>
      <c r="P13" s="11"/>
      <c r="Q13" s="9"/>
      <c r="R13" s="11"/>
      <c r="S13" s="11"/>
      <c r="T13" s="9"/>
      <c r="U13" s="11">
        <v>252</v>
      </c>
      <c r="V13" s="11">
        <v>15.3</v>
      </c>
      <c r="W13" s="9">
        <f t="shared" si="6"/>
        <v>3.6869175000000004E-2</v>
      </c>
      <c r="X13" s="11"/>
      <c r="Y13" s="11"/>
      <c r="Z13" s="9"/>
      <c r="AA13" s="11">
        <v>930.77</v>
      </c>
      <c r="AB13" s="11">
        <v>29.27</v>
      </c>
      <c r="AC13" s="9">
        <f t="shared" si="8"/>
        <v>0.49838830083312496</v>
      </c>
      <c r="AD13" s="11">
        <f>1151.83/2</f>
        <v>575.91499999999996</v>
      </c>
      <c r="AE13" s="11">
        <f>46.63/2</f>
        <v>23.315000000000001</v>
      </c>
      <c r="AF13" s="9">
        <f t="shared" si="9"/>
        <v>0.1956632428224219</v>
      </c>
      <c r="AG13" s="11">
        <v>389.96</v>
      </c>
      <c r="AH13" s="11">
        <v>12.6</v>
      </c>
      <c r="AI13" s="9">
        <f t="shared" si="10"/>
        <v>3.8693780999999997E-2</v>
      </c>
      <c r="AJ13" s="11"/>
      <c r="AK13" s="11"/>
      <c r="AL13" s="9"/>
      <c r="AM13" s="11"/>
      <c r="AN13" s="11"/>
      <c r="AO13" s="9"/>
      <c r="AP13" s="11"/>
      <c r="AQ13" s="11"/>
      <c r="AR13" s="9"/>
      <c r="AS13" s="11"/>
      <c r="AT13" s="11"/>
      <c r="AU13" s="9"/>
      <c r="AV13" s="11"/>
      <c r="AW13" s="11"/>
      <c r="AX13" s="9"/>
      <c r="AY13" s="11"/>
      <c r="AZ13" s="11"/>
      <c r="BA13" s="9"/>
      <c r="BB13" s="11"/>
      <c r="BC13" s="11"/>
      <c r="BD13" s="9"/>
    </row>
    <row r="14" spans="1:56" x14ac:dyDescent="0.2">
      <c r="C14" s="11">
        <v>393.59</v>
      </c>
      <c r="D14" s="11">
        <v>15.71</v>
      </c>
      <c r="E14" s="9">
        <f t="shared" si="0"/>
        <v>6.0712266074375E-2</v>
      </c>
      <c r="F14" s="11">
        <v>350.83</v>
      </c>
      <c r="G14" s="11">
        <v>16.739999999999998</v>
      </c>
      <c r="H14" s="9">
        <f t="shared" si="1"/>
        <v>6.1445155567499979E-2</v>
      </c>
      <c r="I14" s="11"/>
      <c r="J14" s="11"/>
      <c r="K14" s="9"/>
      <c r="L14" s="11"/>
      <c r="M14" s="11"/>
      <c r="N14" s="9"/>
      <c r="O14" s="11"/>
      <c r="P14" s="11"/>
      <c r="Q14" s="9"/>
      <c r="R14" s="11"/>
      <c r="S14" s="11"/>
      <c r="T14" s="9"/>
      <c r="U14" s="11">
        <v>283.57</v>
      </c>
      <c r="V14" s="11">
        <v>14.86</v>
      </c>
      <c r="W14" s="9">
        <f t="shared" si="6"/>
        <v>3.9136133732499995E-2</v>
      </c>
      <c r="X14" s="11"/>
      <c r="Y14" s="11"/>
      <c r="Z14" s="9"/>
      <c r="AA14" s="11">
        <v>667.37</v>
      </c>
      <c r="AB14" s="11">
        <v>20.91</v>
      </c>
      <c r="AC14" s="9">
        <f t="shared" si="8"/>
        <v>0.182370573185625</v>
      </c>
      <c r="AD14" s="11">
        <v>347.95</v>
      </c>
      <c r="AE14" s="11">
        <v>13.88</v>
      </c>
      <c r="AF14" s="9">
        <f t="shared" si="9"/>
        <v>4.1896311550000002E-2</v>
      </c>
      <c r="AG14" s="11">
        <v>361.36</v>
      </c>
      <c r="AH14" s="11">
        <v>16.29</v>
      </c>
      <c r="AI14" s="9">
        <f t="shared" si="10"/>
        <v>5.9932481984999994E-2</v>
      </c>
      <c r="AJ14" s="11"/>
      <c r="AK14" s="11"/>
      <c r="AL14" s="9"/>
      <c r="AM14" s="11"/>
      <c r="AN14" s="11"/>
      <c r="AO14" s="9"/>
      <c r="AP14" s="11"/>
      <c r="AQ14" s="11"/>
      <c r="AR14" s="9"/>
      <c r="AS14" s="11"/>
      <c r="AT14" s="11"/>
      <c r="AU14" s="9"/>
      <c r="AV14" s="11"/>
      <c r="AW14" s="11"/>
      <c r="AX14" s="9"/>
      <c r="AY14" s="11"/>
      <c r="AZ14" s="11"/>
      <c r="BA14" s="9"/>
      <c r="BB14" s="11"/>
      <c r="BC14" s="11"/>
      <c r="BD14" s="9"/>
    </row>
    <row r="15" spans="1:56" x14ac:dyDescent="0.2">
      <c r="C15" s="11">
        <v>362.39</v>
      </c>
      <c r="D15" s="11">
        <v>17.29</v>
      </c>
      <c r="E15" s="9">
        <f t="shared" si="0"/>
        <v>6.7708970249374986E-2</v>
      </c>
      <c r="F15" s="11">
        <v>367.92</v>
      </c>
      <c r="G15" s="11">
        <v>21.25</v>
      </c>
      <c r="H15" s="9">
        <f t="shared" si="1"/>
        <v>0.103836796875</v>
      </c>
      <c r="I15" s="11"/>
      <c r="J15" s="11"/>
      <c r="K15" s="9"/>
      <c r="L15" s="11"/>
      <c r="M15" s="11"/>
      <c r="N15" s="9"/>
      <c r="O15" s="11"/>
      <c r="P15" s="11"/>
      <c r="Q15" s="9"/>
      <c r="R15" s="11"/>
      <c r="S15" s="11"/>
      <c r="T15" s="9"/>
      <c r="U15" s="11">
        <v>282.13</v>
      </c>
      <c r="V15" s="11">
        <v>15.39</v>
      </c>
      <c r="W15" s="9">
        <f t="shared" si="6"/>
        <v>4.1764426858124995E-2</v>
      </c>
      <c r="X15" s="11"/>
      <c r="Y15" s="11"/>
      <c r="Z15" s="9"/>
      <c r="AA15" s="11">
        <v>954.54</v>
      </c>
      <c r="AB15" s="11">
        <v>33.1</v>
      </c>
      <c r="AC15" s="9">
        <f t="shared" si="8"/>
        <v>0.65362723087500008</v>
      </c>
      <c r="AD15" s="11">
        <v>576.91</v>
      </c>
      <c r="AE15" s="11">
        <v>22.43</v>
      </c>
      <c r="AF15" s="9">
        <f t="shared" si="9"/>
        <v>0.18140390491187497</v>
      </c>
      <c r="AG15" s="11">
        <v>625.41999999999996</v>
      </c>
      <c r="AH15" s="11">
        <v>21.48</v>
      </c>
      <c r="AI15" s="9">
        <f t="shared" si="10"/>
        <v>0.18035173998000001</v>
      </c>
      <c r="AJ15" s="11"/>
      <c r="AK15" s="11"/>
      <c r="AL15" s="9"/>
      <c r="AM15" s="11"/>
      <c r="AN15" s="11"/>
      <c r="AO15" s="9"/>
      <c r="AP15" s="11"/>
      <c r="AQ15" s="11"/>
      <c r="AR15" s="9"/>
      <c r="AS15" s="11"/>
      <c r="AT15" s="11"/>
      <c r="AU15" s="9"/>
      <c r="AV15" s="11"/>
      <c r="AW15" s="11"/>
      <c r="AX15" s="9"/>
      <c r="AY15" s="11"/>
      <c r="AZ15" s="11"/>
      <c r="BA15" s="9"/>
      <c r="BB15" s="11"/>
      <c r="BC15" s="11"/>
      <c r="BD15" s="9"/>
    </row>
    <row r="16" spans="1:56" x14ac:dyDescent="0.2">
      <c r="C16" s="11">
        <f>659.79/2</f>
        <v>329.89499999999998</v>
      </c>
      <c r="D16" s="11">
        <f>35.61/2</f>
        <v>17.805</v>
      </c>
      <c r="E16" s="9">
        <f t="shared" si="0"/>
        <v>6.5364163348359372E-2</v>
      </c>
      <c r="F16" s="11">
        <v>418.68</v>
      </c>
      <c r="G16" s="11">
        <v>17.3</v>
      </c>
      <c r="H16" s="9">
        <f t="shared" si="1"/>
        <v>7.8316710750000004E-2</v>
      </c>
      <c r="I16" s="11"/>
      <c r="J16" s="11"/>
      <c r="K16" s="9"/>
      <c r="L16" s="11"/>
      <c r="M16" s="11"/>
      <c r="N16" s="9"/>
      <c r="O16" s="11"/>
      <c r="P16" s="11"/>
      <c r="Q16" s="9"/>
      <c r="R16" s="11"/>
      <c r="S16" s="11"/>
      <c r="T16" s="9"/>
      <c r="U16" s="11">
        <v>297.18</v>
      </c>
      <c r="V16" s="11">
        <v>18.46</v>
      </c>
      <c r="W16" s="9">
        <f t="shared" si="6"/>
        <v>6.3294065055000015E-2</v>
      </c>
      <c r="X16" s="11"/>
      <c r="Y16" s="11"/>
      <c r="Z16" s="9"/>
      <c r="AA16" s="11">
        <v>1008.07</v>
      </c>
      <c r="AB16" s="11">
        <v>34.28</v>
      </c>
      <c r="AC16" s="9">
        <f t="shared" si="8"/>
        <v>0.7403760034300001</v>
      </c>
      <c r="AD16" s="11">
        <v>526.95000000000005</v>
      </c>
      <c r="AE16" s="11">
        <v>16.61</v>
      </c>
      <c r="AF16" s="9">
        <f t="shared" si="9"/>
        <v>9.0863338809374999E-2</v>
      </c>
      <c r="AG16" s="11">
        <v>625.41999999999996</v>
      </c>
      <c r="AH16" s="11">
        <v>16.78</v>
      </c>
      <c r="AI16" s="9">
        <f t="shared" si="10"/>
        <v>0.11006156795500001</v>
      </c>
      <c r="AJ16" s="11"/>
      <c r="AK16" s="11"/>
      <c r="AL16" s="9"/>
      <c r="AM16" s="11"/>
      <c r="AN16" s="11"/>
      <c r="AO16" s="9"/>
      <c r="AP16" s="11"/>
      <c r="AQ16" s="11"/>
      <c r="AR16" s="9"/>
      <c r="AS16" s="11"/>
      <c r="AT16" s="11"/>
      <c r="AU16" s="9"/>
      <c r="AV16" s="11"/>
      <c r="AW16" s="11"/>
      <c r="AX16" s="9"/>
      <c r="AY16" s="11"/>
      <c r="AZ16" s="11"/>
      <c r="BA16" s="9"/>
      <c r="BB16" s="11"/>
      <c r="BC16" s="11"/>
      <c r="BD16" s="9"/>
    </row>
    <row r="17" spans="3:56" x14ac:dyDescent="0.2">
      <c r="C17" s="11">
        <v>421.3</v>
      </c>
      <c r="D17" s="11">
        <v>14.78</v>
      </c>
      <c r="E17" s="9">
        <f t="shared" si="0"/>
        <v>5.7520194325000003E-2</v>
      </c>
      <c r="F17" s="11">
        <v>393.11</v>
      </c>
      <c r="G17" s="11">
        <v>13.73</v>
      </c>
      <c r="H17" s="9">
        <f t="shared" si="1"/>
        <v>4.6316441324374999E-2</v>
      </c>
      <c r="I17" s="11"/>
      <c r="J17" s="11"/>
      <c r="K17" s="9"/>
      <c r="L17" s="11"/>
      <c r="M17" s="11"/>
      <c r="N17" s="9"/>
      <c r="O17" s="11"/>
      <c r="P17" s="11"/>
      <c r="Q17" s="9"/>
      <c r="R17" s="11"/>
      <c r="S17" s="11"/>
      <c r="T17" s="9"/>
      <c r="U17" s="11">
        <v>229.71</v>
      </c>
      <c r="V17" s="11">
        <v>14.08</v>
      </c>
      <c r="W17" s="9">
        <f t="shared" si="6"/>
        <v>2.8461987840000001E-2</v>
      </c>
      <c r="X17" s="11"/>
      <c r="Y17" s="11"/>
      <c r="Z17" s="9"/>
      <c r="AA17" s="11">
        <v>894.72</v>
      </c>
      <c r="AB17" s="11">
        <v>20.83</v>
      </c>
      <c r="AC17" s="9">
        <f t="shared" si="8"/>
        <v>0.24263067287999998</v>
      </c>
      <c r="AD17" s="11">
        <v>404.32</v>
      </c>
      <c r="AE17" s="11">
        <v>13.93</v>
      </c>
      <c r="AF17" s="9">
        <f t="shared" si="9"/>
        <v>4.903514623E-2</v>
      </c>
      <c r="AG17" s="11">
        <v>440.91</v>
      </c>
      <c r="AH17" s="11">
        <v>16.78</v>
      </c>
      <c r="AI17" s="9">
        <f t="shared" si="10"/>
        <v>7.7591452027500021E-2</v>
      </c>
      <c r="AJ17" s="11"/>
      <c r="AK17" s="11"/>
      <c r="AL17" s="9"/>
      <c r="AM17" s="11"/>
      <c r="AN17" s="11"/>
      <c r="AO17" s="9"/>
      <c r="AP17" s="11"/>
      <c r="AQ17" s="11"/>
      <c r="AR17" s="9"/>
      <c r="AS17" s="11"/>
      <c r="AT17" s="11"/>
      <c r="AU17" s="9"/>
      <c r="AV17" s="11"/>
      <c r="AW17" s="11"/>
      <c r="AX17" s="9"/>
      <c r="AY17" s="11"/>
      <c r="AZ17" s="11"/>
      <c r="BA17" s="9"/>
      <c r="BB17" s="11"/>
      <c r="BC17" s="11"/>
      <c r="BD17" s="9"/>
    </row>
    <row r="18" spans="3:56" x14ac:dyDescent="0.2">
      <c r="C18" s="11">
        <v>409.65</v>
      </c>
      <c r="D18" s="11">
        <v>18.600000000000001</v>
      </c>
      <c r="E18" s="9">
        <f t="shared" si="0"/>
        <v>8.857657125E-2</v>
      </c>
      <c r="F18" s="11">
        <v>358.08</v>
      </c>
      <c r="G18" s="11">
        <v>20.190000000000001</v>
      </c>
      <c r="H18" s="9">
        <f t="shared" si="1"/>
        <v>9.1228959179999999E-2</v>
      </c>
      <c r="I18" s="11"/>
      <c r="J18" s="11"/>
      <c r="K18" s="9"/>
      <c r="L18" s="11"/>
      <c r="M18" s="11"/>
      <c r="N18" s="9"/>
      <c r="O18" s="11"/>
      <c r="P18" s="11"/>
      <c r="Q18" s="9"/>
      <c r="R18" s="11"/>
      <c r="S18" s="11"/>
      <c r="T18" s="9"/>
      <c r="U18" s="11">
        <v>304.24</v>
      </c>
      <c r="V18" s="11">
        <v>18.260000000000002</v>
      </c>
      <c r="W18" s="9">
        <f t="shared" si="6"/>
        <v>6.3401258140000014E-2</v>
      </c>
      <c r="X18" s="11"/>
      <c r="Y18" s="11"/>
      <c r="Z18" s="9"/>
      <c r="AA18" s="11">
        <v>402.13</v>
      </c>
      <c r="AB18" s="11">
        <v>19.32</v>
      </c>
      <c r="AC18" s="9">
        <f t="shared" si="8"/>
        <v>9.381250557000001E-2</v>
      </c>
      <c r="AD18" s="11">
        <v>450.17</v>
      </c>
      <c r="AE18" s="11">
        <v>17.670000000000002</v>
      </c>
      <c r="AF18" s="9">
        <f t="shared" si="9"/>
        <v>8.7847552445625018E-2</v>
      </c>
      <c r="AG18" s="11">
        <v>418.06</v>
      </c>
      <c r="AH18" s="11">
        <v>14.72</v>
      </c>
      <c r="AI18" s="9">
        <f t="shared" si="10"/>
        <v>5.6615357440000007E-2</v>
      </c>
      <c r="AJ18" s="11"/>
      <c r="AK18" s="11"/>
      <c r="AL18" s="9"/>
      <c r="AM18" s="11"/>
      <c r="AN18" s="11"/>
      <c r="AO18" s="9"/>
      <c r="AP18" s="11"/>
      <c r="AQ18" s="11"/>
      <c r="AR18" s="9"/>
      <c r="AS18" s="11"/>
      <c r="AT18" s="11"/>
      <c r="AU18" s="9"/>
      <c r="AV18" s="11"/>
      <c r="AW18" s="11"/>
      <c r="AX18" s="9"/>
      <c r="AY18" s="11"/>
      <c r="AZ18" s="11"/>
      <c r="BA18" s="9"/>
      <c r="BB18" s="11"/>
      <c r="BC18" s="11"/>
      <c r="BD18" s="9"/>
    </row>
    <row r="19" spans="3:56" x14ac:dyDescent="0.2">
      <c r="C19" s="11">
        <v>392.85</v>
      </c>
      <c r="D19" s="11">
        <v>14.32</v>
      </c>
      <c r="E19" s="9">
        <f t="shared" si="0"/>
        <v>5.0349227400000002E-2</v>
      </c>
      <c r="F19" s="11">
        <v>405.73</v>
      </c>
      <c r="G19" s="11">
        <v>14.46</v>
      </c>
      <c r="H19" s="9">
        <f t="shared" si="1"/>
        <v>5.3021709292500011E-2</v>
      </c>
      <c r="I19" s="11"/>
      <c r="J19" s="11"/>
      <c r="K19" s="9"/>
      <c r="L19" s="11"/>
      <c r="M19" s="11"/>
      <c r="N19" s="9"/>
      <c r="O19" s="11"/>
      <c r="P19" s="11"/>
      <c r="Q19" s="9"/>
      <c r="R19" s="11"/>
      <c r="S19" s="11"/>
      <c r="T19" s="9"/>
      <c r="U19" s="11">
        <v>299.17</v>
      </c>
      <c r="V19" s="11">
        <v>19.32</v>
      </c>
      <c r="W19" s="9">
        <f t="shared" si="6"/>
        <v>6.9793070130000009E-2</v>
      </c>
      <c r="X19" s="11"/>
      <c r="Y19" s="11"/>
      <c r="Z19" s="9"/>
      <c r="AA19" s="11">
        <v>441.29</v>
      </c>
      <c r="AB19" s="11">
        <v>17.079999999999998</v>
      </c>
      <c r="AC19" s="9">
        <f t="shared" si="8"/>
        <v>8.0459964409999987E-2</v>
      </c>
      <c r="AD19" s="11">
        <v>443.65</v>
      </c>
      <c r="AE19" s="11">
        <v>18.27</v>
      </c>
      <c r="AF19" s="9">
        <f t="shared" si="9"/>
        <v>9.2554512553124982E-2</v>
      </c>
      <c r="AG19" s="11">
        <v>364.81</v>
      </c>
      <c r="AH19" s="11">
        <v>16.29</v>
      </c>
      <c r="AI19" s="9">
        <f t="shared" si="10"/>
        <v>6.0504673325625001E-2</v>
      </c>
      <c r="AJ19" s="11"/>
      <c r="AK19" s="11"/>
      <c r="AL19" s="9"/>
      <c r="AM19" s="11"/>
      <c r="AN19" s="11"/>
      <c r="AO19" s="9"/>
      <c r="AP19" s="11"/>
      <c r="AQ19" s="11"/>
      <c r="AR19" s="9"/>
      <c r="AS19" s="11"/>
      <c r="AT19" s="11"/>
      <c r="AU19" s="9"/>
      <c r="AV19" s="11"/>
      <c r="AW19" s="11"/>
      <c r="AX19" s="9"/>
      <c r="AY19" s="11"/>
      <c r="AZ19" s="11"/>
      <c r="BA19" s="9"/>
      <c r="BB19" s="11"/>
      <c r="BC19" s="11"/>
      <c r="BD19" s="9"/>
    </row>
    <row r="20" spans="3:56" x14ac:dyDescent="0.2">
      <c r="C20" s="11">
        <v>416.84</v>
      </c>
      <c r="D20" s="11">
        <v>14.18</v>
      </c>
      <c r="E20" s="9">
        <f t="shared" si="0"/>
        <v>5.2384387009999998E-2</v>
      </c>
      <c r="F20" s="11">
        <v>337.74</v>
      </c>
      <c r="G20" s="11">
        <v>17.350000000000001</v>
      </c>
      <c r="H20" s="9">
        <f t="shared" si="1"/>
        <v>6.3542086968750008E-2</v>
      </c>
      <c r="I20" s="11"/>
      <c r="J20" s="11"/>
      <c r="K20" s="9"/>
      <c r="L20" s="11"/>
      <c r="M20" s="11"/>
      <c r="N20" s="9"/>
      <c r="O20" s="11"/>
      <c r="P20" s="11"/>
      <c r="Q20" s="9"/>
      <c r="R20" s="11"/>
      <c r="S20" s="11"/>
      <c r="T20" s="9"/>
      <c r="U20" s="11">
        <v>317.27</v>
      </c>
      <c r="V20" s="11">
        <v>18.170000000000002</v>
      </c>
      <c r="W20" s="9">
        <f t="shared" si="6"/>
        <v>6.5466463439375011E-2</v>
      </c>
      <c r="X20" s="11"/>
      <c r="Y20" s="11"/>
      <c r="Z20" s="9"/>
      <c r="AA20" s="11">
        <v>664.65</v>
      </c>
      <c r="AB20" s="11">
        <v>21.59</v>
      </c>
      <c r="AC20" s="9">
        <f t="shared" si="8"/>
        <v>0.19363252604062497</v>
      </c>
      <c r="AD20" s="11">
        <v>293.77999999999997</v>
      </c>
      <c r="AE20" s="11">
        <v>12.97</v>
      </c>
      <c r="AF20" s="9">
        <f t="shared" si="9"/>
        <v>3.0887460001250002E-2</v>
      </c>
      <c r="AG20" s="11">
        <v>625.41999999999996</v>
      </c>
      <c r="AH20" s="11">
        <v>21.48</v>
      </c>
      <c r="AI20" s="9">
        <f t="shared" si="10"/>
        <v>0.18035173998000001</v>
      </c>
      <c r="AJ20" s="11"/>
      <c r="AK20" s="11"/>
      <c r="AL20" s="9"/>
      <c r="AM20" s="11"/>
      <c r="AN20" s="11"/>
      <c r="AO20" s="9"/>
      <c r="AP20" s="11"/>
      <c r="AQ20" s="11"/>
      <c r="AR20" s="9"/>
      <c r="AS20" s="11"/>
      <c r="AT20" s="11"/>
      <c r="AU20" s="9"/>
      <c r="AV20" s="11"/>
      <c r="AW20" s="11"/>
      <c r="AX20" s="9"/>
      <c r="AY20" s="11"/>
      <c r="AZ20" s="11"/>
      <c r="BA20" s="9"/>
      <c r="BB20" s="11"/>
      <c r="BC20" s="11"/>
      <c r="BD20" s="9"/>
    </row>
    <row r="21" spans="3:56" x14ac:dyDescent="0.2">
      <c r="C21" s="11">
        <v>335.84</v>
      </c>
      <c r="D21" s="11">
        <v>14.82</v>
      </c>
      <c r="E21" s="9">
        <f t="shared" si="0"/>
        <v>4.6100840759999998E-2</v>
      </c>
      <c r="F21" s="11">
        <v>322.93</v>
      </c>
      <c r="G21" s="11">
        <v>18.149999999999999</v>
      </c>
      <c r="H21" s="9">
        <f t="shared" si="1"/>
        <v>6.6487754953124992E-2</v>
      </c>
      <c r="I21" s="11"/>
      <c r="J21" s="11"/>
      <c r="K21" s="9"/>
      <c r="L21" s="11"/>
      <c r="M21" s="11"/>
      <c r="N21" s="9"/>
      <c r="O21" s="11"/>
      <c r="P21" s="11"/>
      <c r="Q21" s="9"/>
      <c r="R21" s="11"/>
      <c r="S21" s="11"/>
      <c r="T21" s="9"/>
      <c r="U21" s="11">
        <v>283.64</v>
      </c>
      <c r="V21" s="11">
        <v>19.690000000000001</v>
      </c>
      <c r="W21" s="9">
        <f t="shared" si="6"/>
        <v>6.8728826127500003E-2</v>
      </c>
      <c r="X21" s="11"/>
      <c r="Y21" s="11"/>
      <c r="Z21" s="9"/>
      <c r="AA21" s="11">
        <v>877.5</v>
      </c>
      <c r="AB21" s="11">
        <v>28.46</v>
      </c>
      <c r="AC21" s="9">
        <f t="shared" si="8"/>
        <v>0.44421879937500003</v>
      </c>
      <c r="AD21" s="11">
        <v>383.04</v>
      </c>
      <c r="AE21" s="11">
        <v>20.95</v>
      </c>
      <c r="AF21" s="9">
        <f t="shared" si="9"/>
        <v>0.10507325849999999</v>
      </c>
      <c r="AG21" s="11">
        <v>440.91</v>
      </c>
      <c r="AH21" s="11">
        <v>16.78</v>
      </c>
      <c r="AI21" s="9">
        <f t="shared" si="10"/>
        <v>7.7591452027500021E-2</v>
      </c>
      <c r="AJ21" s="11"/>
      <c r="AK21" s="11"/>
      <c r="AL21" s="9"/>
      <c r="AM21" s="11"/>
      <c r="AN21" s="11"/>
      <c r="AO21" s="9"/>
      <c r="AP21" s="11"/>
      <c r="AQ21" s="11"/>
      <c r="AR21" s="9"/>
      <c r="AS21" s="11"/>
      <c r="AT21" s="11"/>
      <c r="AU21" s="9"/>
      <c r="AV21" s="11"/>
      <c r="AW21" s="11"/>
      <c r="AX21" s="9"/>
      <c r="AY21" s="11"/>
      <c r="AZ21" s="11"/>
      <c r="BA21" s="9"/>
      <c r="BB21" s="11"/>
      <c r="BC21" s="11"/>
      <c r="BD21" s="9"/>
    </row>
    <row r="22" spans="3:56" x14ac:dyDescent="0.2">
      <c r="C22" s="11">
        <v>371.37</v>
      </c>
      <c r="D22" s="11">
        <v>18.260000000000002</v>
      </c>
      <c r="E22" s="9">
        <f t="shared" si="0"/>
        <v>7.739062988250002E-2</v>
      </c>
      <c r="F22" s="11">
        <v>309.29000000000002</v>
      </c>
      <c r="G22" s="11">
        <v>18.66</v>
      </c>
      <c r="H22" s="9">
        <f t="shared" si="1"/>
        <v>6.7308385702500015E-2</v>
      </c>
      <c r="I22" s="11"/>
      <c r="J22" s="11"/>
      <c r="K22" s="9"/>
      <c r="L22" s="11"/>
      <c r="M22" s="11"/>
      <c r="N22" s="9"/>
      <c r="O22" s="11"/>
      <c r="P22" s="11"/>
      <c r="Q22" s="9"/>
      <c r="R22" s="11"/>
      <c r="S22" s="11"/>
      <c r="T22" s="9"/>
      <c r="U22" s="11">
        <v>356.48</v>
      </c>
      <c r="V22" s="11">
        <v>24.1</v>
      </c>
      <c r="W22" s="9">
        <f t="shared" si="6"/>
        <v>0.12940446800000002</v>
      </c>
      <c r="X22" s="11"/>
      <c r="Y22" s="11"/>
      <c r="Z22" s="9"/>
      <c r="AA22" s="11">
        <v>710.7</v>
      </c>
      <c r="AB22" s="11">
        <v>21.18</v>
      </c>
      <c r="AC22" s="9">
        <f t="shared" si="8"/>
        <v>0.199259136675</v>
      </c>
      <c r="AD22" s="11">
        <v>648.16999999999996</v>
      </c>
      <c r="AE22" s="11">
        <v>20.23</v>
      </c>
      <c r="AF22" s="9">
        <f t="shared" si="9"/>
        <v>0.16579090762062501</v>
      </c>
      <c r="AG22" s="11">
        <v>418.06</v>
      </c>
      <c r="AH22" s="11">
        <v>14.72</v>
      </c>
      <c r="AI22" s="9">
        <f t="shared" si="10"/>
        <v>5.6615357440000007E-2</v>
      </c>
      <c r="AJ22" s="11"/>
      <c r="AK22" s="11"/>
      <c r="AL22" s="9"/>
      <c r="AM22" s="11"/>
      <c r="AN22" s="11"/>
      <c r="AO22" s="9"/>
      <c r="AP22" s="11"/>
      <c r="AQ22" s="11"/>
      <c r="AR22" s="9"/>
      <c r="AS22" s="11"/>
      <c r="AT22" s="11"/>
      <c r="AU22" s="9"/>
      <c r="AV22" s="11"/>
      <c r="AW22" s="11"/>
      <c r="AX22" s="9"/>
      <c r="AY22" s="11"/>
      <c r="AZ22" s="11"/>
      <c r="BA22" s="9"/>
      <c r="BB22" s="11"/>
      <c r="BC22" s="11"/>
      <c r="BD22" s="9"/>
    </row>
    <row r="23" spans="3:56" x14ac:dyDescent="0.2">
      <c r="C23" s="11">
        <v>413.92</v>
      </c>
      <c r="D23" s="11">
        <v>14.92</v>
      </c>
      <c r="E23" s="9">
        <f t="shared" si="0"/>
        <v>5.7588275680000009E-2</v>
      </c>
      <c r="F23" s="11">
        <v>347.03</v>
      </c>
      <c r="G23" s="11">
        <v>15.82</v>
      </c>
      <c r="H23" s="9">
        <f t="shared" si="1"/>
        <v>5.4282519357499996E-2</v>
      </c>
      <c r="I23" s="11"/>
      <c r="J23" s="11"/>
      <c r="K23" s="9"/>
      <c r="L23" s="11"/>
      <c r="M23" s="11"/>
      <c r="N23" s="9"/>
      <c r="O23" s="11"/>
      <c r="P23" s="11"/>
      <c r="Q23" s="9"/>
      <c r="R23" s="11"/>
      <c r="S23" s="11"/>
      <c r="T23" s="9"/>
      <c r="U23" s="11">
        <v>192.95</v>
      </c>
      <c r="V23" s="11">
        <v>16.89</v>
      </c>
      <c r="W23" s="9">
        <f t="shared" si="6"/>
        <v>3.4402032309374997E-2</v>
      </c>
      <c r="X23" s="11"/>
      <c r="Y23" s="11"/>
      <c r="Z23" s="9"/>
      <c r="AA23" s="11">
        <v>362.1</v>
      </c>
      <c r="AB23" s="11">
        <v>14.66</v>
      </c>
      <c r="AC23" s="9">
        <f t="shared" si="8"/>
        <v>4.8638086725000002E-2</v>
      </c>
      <c r="AD23" s="11">
        <v>511.9</v>
      </c>
      <c r="AE23" s="11">
        <v>17.23</v>
      </c>
      <c r="AF23" s="9">
        <f t="shared" si="9"/>
        <v>9.498077344375E-2</v>
      </c>
      <c r="AG23" s="11">
        <v>364.81</v>
      </c>
      <c r="AH23" s="11">
        <v>11.88</v>
      </c>
      <c r="AI23" s="9">
        <f t="shared" si="10"/>
        <v>3.2179525290000004E-2</v>
      </c>
      <c r="AJ23" s="11"/>
      <c r="AK23" s="11"/>
      <c r="AL23" s="9"/>
      <c r="AM23" s="11"/>
      <c r="AN23" s="11"/>
      <c r="AO23" s="9"/>
      <c r="AP23" s="11"/>
      <c r="AQ23" s="11"/>
      <c r="AR23" s="9"/>
      <c r="AS23" s="11"/>
      <c r="AT23" s="11"/>
      <c r="AU23" s="9"/>
      <c r="AV23" s="11"/>
      <c r="AW23" s="11"/>
      <c r="AX23" s="9"/>
      <c r="AY23" s="11"/>
      <c r="AZ23" s="11"/>
      <c r="BA23" s="9"/>
      <c r="BB23" s="11"/>
      <c r="BC23" s="11"/>
      <c r="BD23" s="9"/>
    </row>
    <row r="24" spans="3:56" x14ac:dyDescent="0.2">
      <c r="C24" s="11">
        <v>296.44</v>
      </c>
      <c r="D24" s="11">
        <v>17.59</v>
      </c>
      <c r="E24" s="9">
        <f t="shared" si="0"/>
        <v>5.7325585727500003E-2</v>
      </c>
      <c r="F24" s="11">
        <v>408.89</v>
      </c>
      <c r="G24" s="11">
        <v>14.1</v>
      </c>
      <c r="H24" s="9">
        <f t="shared" si="1"/>
        <v>5.0807138062499986E-2</v>
      </c>
      <c r="I24" s="11"/>
      <c r="J24" s="11"/>
      <c r="K24" s="9"/>
      <c r="L24" s="11"/>
      <c r="M24" s="11"/>
      <c r="N24" s="9"/>
      <c r="O24" s="11"/>
      <c r="P24" s="11"/>
      <c r="Q24" s="9"/>
      <c r="R24" s="11"/>
      <c r="S24" s="11"/>
      <c r="T24" s="9"/>
      <c r="U24" s="11">
        <v>249.78</v>
      </c>
      <c r="V24" s="11">
        <v>16.18</v>
      </c>
      <c r="W24" s="9">
        <f t="shared" si="6"/>
        <v>4.0869066044999999E-2</v>
      </c>
      <c r="X24" s="11"/>
      <c r="Y24" s="11"/>
      <c r="Z24" s="9"/>
      <c r="AA24" s="11"/>
      <c r="AB24" s="11"/>
      <c r="AC24" s="9"/>
      <c r="AD24" s="11">
        <v>358.09</v>
      </c>
      <c r="AE24" s="11">
        <v>17.559999999999999</v>
      </c>
      <c r="AF24" s="9">
        <f t="shared" si="9"/>
        <v>6.9011462889999986E-2</v>
      </c>
      <c r="AG24" s="11">
        <v>364.32</v>
      </c>
      <c r="AH24" s="11">
        <v>13.04</v>
      </c>
      <c r="AI24" s="9">
        <f t="shared" si="10"/>
        <v>3.8718472319999996E-2</v>
      </c>
      <c r="AJ24" s="11"/>
      <c r="AK24" s="11"/>
      <c r="AL24" s="9"/>
      <c r="AM24" s="11"/>
      <c r="AN24" s="11"/>
      <c r="AO24" s="9"/>
      <c r="AP24" s="11"/>
      <c r="AQ24" s="11"/>
      <c r="AR24" s="9"/>
      <c r="AS24" s="11"/>
      <c r="AT24" s="11"/>
      <c r="AU24" s="9"/>
      <c r="AV24" s="11"/>
      <c r="AW24" s="11"/>
      <c r="AX24" s="9"/>
      <c r="AY24" s="11"/>
      <c r="AZ24" s="11"/>
      <c r="BA24" s="9"/>
      <c r="BB24" s="11"/>
      <c r="BC24" s="11"/>
      <c r="BD24" s="9"/>
    </row>
    <row r="25" spans="3:56" x14ac:dyDescent="0.2">
      <c r="C25" s="11">
        <v>353.36</v>
      </c>
      <c r="D25" s="11">
        <v>14.8</v>
      </c>
      <c r="E25" s="9">
        <f t="shared" si="0"/>
        <v>4.8374984000000003E-2</v>
      </c>
      <c r="F25" s="11">
        <v>386.07</v>
      </c>
      <c r="G25" s="11">
        <v>19</v>
      </c>
      <c r="H25" s="9">
        <f t="shared" si="1"/>
        <v>8.7107043749999988E-2</v>
      </c>
      <c r="I25" s="11"/>
      <c r="J25" s="11"/>
      <c r="K25" s="9"/>
      <c r="L25" s="11"/>
      <c r="M25" s="11"/>
      <c r="N25" s="9"/>
      <c r="O25" s="11"/>
      <c r="P25" s="11"/>
      <c r="Q25" s="9"/>
      <c r="R25" s="11"/>
      <c r="S25" s="11"/>
      <c r="T25" s="9"/>
      <c r="U25" s="11">
        <v>647.19000000000005</v>
      </c>
      <c r="V25" s="11">
        <v>39.32</v>
      </c>
      <c r="W25" s="9">
        <f t="shared" si="6"/>
        <v>0.62537257791000012</v>
      </c>
      <c r="X25" s="11"/>
      <c r="Y25" s="11"/>
      <c r="Z25" s="9"/>
      <c r="AA25" s="11"/>
      <c r="AB25" s="11"/>
      <c r="AC25" s="9"/>
      <c r="AD25" s="11">
        <v>307.27999999999997</v>
      </c>
      <c r="AE25" s="11">
        <v>13.8</v>
      </c>
      <c r="AF25" s="9">
        <f t="shared" si="9"/>
        <v>3.6574002000000001E-2</v>
      </c>
      <c r="AG25" s="11">
        <v>452.89</v>
      </c>
      <c r="AH25" s="11">
        <v>13.43</v>
      </c>
      <c r="AI25" s="9">
        <f t="shared" si="10"/>
        <v>5.1053412225624997E-2</v>
      </c>
      <c r="AJ25" s="11"/>
      <c r="AK25" s="11"/>
      <c r="AL25" s="9"/>
      <c r="AM25" s="11"/>
      <c r="AN25" s="11"/>
      <c r="AO25" s="9"/>
      <c r="AP25" s="11"/>
      <c r="AQ25" s="11"/>
      <c r="AR25" s="9"/>
      <c r="AS25" s="11"/>
      <c r="AT25" s="11"/>
      <c r="AU25" s="9"/>
      <c r="AV25" s="11"/>
      <c r="AW25" s="11"/>
      <c r="AX25" s="9"/>
      <c r="AY25" s="11"/>
      <c r="AZ25" s="11"/>
      <c r="BA25" s="9"/>
      <c r="BB25" s="11"/>
      <c r="BC25" s="11"/>
      <c r="BD25" s="9"/>
    </row>
    <row r="26" spans="3:56" x14ac:dyDescent="0.2">
      <c r="C26" s="11">
        <v>404.31</v>
      </c>
      <c r="D26" s="11">
        <v>12.96</v>
      </c>
      <c r="E26" s="9">
        <f t="shared" si="0"/>
        <v>4.2442846560000004E-2</v>
      </c>
      <c r="F26" s="11">
        <v>402.62</v>
      </c>
      <c r="G26" s="11">
        <v>15.25</v>
      </c>
      <c r="H26" s="9">
        <f t="shared" si="1"/>
        <v>5.8521446093749999E-2</v>
      </c>
      <c r="I26" s="11"/>
      <c r="J26" s="11"/>
      <c r="K26" s="9"/>
      <c r="L26" s="11"/>
      <c r="M26" s="11"/>
      <c r="N26" s="9"/>
      <c r="O26" s="11"/>
      <c r="P26" s="11"/>
      <c r="Q26" s="9"/>
      <c r="R26" s="11"/>
      <c r="S26" s="11"/>
      <c r="T26" s="9"/>
      <c r="U26" s="11">
        <v>254.67</v>
      </c>
      <c r="V26" s="11">
        <v>18.7</v>
      </c>
      <c r="W26" s="9">
        <f t="shared" si="6"/>
        <v>5.5659720187499998E-2</v>
      </c>
      <c r="X26" s="11"/>
      <c r="Y26" s="11"/>
      <c r="Z26" s="9"/>
      <c r="AA26" s="11"/>
      <c r="AB26" s="11"/>
      <c r="AC26" s="9"/>
      <c r="AD26" s="11">
        <v>2128.52</v>
      </c>
      <c r="AE26" s="11">
        <v>15.08</v>
      </c>
      <c r="AF26" s="9">
        <f t="shared" si="9"/>
        <v>0.30252441908</v>
      </c>
      <c r="AG26" s="11">
        <v>247.89</v>
      </c>
      <c r="AH26" s="11">
        <v>11.15</v>
      </c>
      <c r="AI26" s="9">
        <f t="shared" si="10"/>
        <v>1.9261440328125001E-2</v>
      </c>
      <c r="AJ26" s="11"/>
      <c r="AK26" s="11"/>
      <c r="AL26" s="9"/>
      <c r="AM26" s="11"/>
      <c r="AN26" s="11"/>
      <c r="AO26" s="9"/>
      <c r="AP26" s="11"/>
      <c r="AQ26" s="11"/>
      <c r="AR26" s="9"/>
      <c r="AS26" s="11"/>
      <c r="AT26" s="11"/>
      <c r="AU26" s="9"/>
      <c r="AV26" s="11"/>
      <c r="AW26" s="11"/>
      <c r="AX26" s="9"/>
      <c r="AY26" s="11"/>
      <c r="AZ26" s="11"/>
      <c r="BA26" s="9"/>
      <c r="BB26" s="11"/>
      <c r="BC26" s="11"/>
      <c r="BD26" s="9"/>
    </row>
    <row r="27" spans="3:56" x14ac:dyDescent="0.2">
      <c r="C27" s="11">
        <v>383.35</v>
      </c>
      <c r="D27" s="11">
        <v>16.89</v>
      </c>
      <c r="E27" s="9">
        <f t="shared" si="0"/>
        <v>6.8349412209375016E-2</v>
      </c>
      <c r="F27" s="11">
        <v>336.64</v>
      </c>
      <c r="G27" s="11">
        <v>15.25</v>
      </c>
      <c r="H27" s="9">
        <f t="shared" si="1"/>
        <v>4.893115E-2</v>
      </c>
      <c r="I27" s="11"/>
      <c r="J27" s="11"/>
      <c r="K27" s="9"/>
      <c r="L27" s="11"/>
      <c r="M27" s="11"/>
      <c r="N27" s="9"/>
      <c r="O27" s="11"/>
      <c r="P27" s="11"/>
      <c r="Q27" s="9"/>
      <c r="R27" s="11"/>
      <c r="S27" s="11"/>
      <c r="T27" s="9"/>
      <c r="U27" s="11">
        <v>183.51</v>
      </c>
      <c r="V27" s="11">
        <v>16.93</v>
      </c>
      <c r="W27" s="9">
        <f t="shared" si="6"/>
        <v>3.2874084624374994E-2</v>
      </c>
      <c r="X27" s="11"/>
      <c r="Y27" s="11"/>
      <c r="Z27" s="9"/>
      <c r="AA27" s="11"/>
      <c r="AB27" s="11"/>
      <c r="AC27" s="9"/>
      <c r="AD27" s="11">
        <v>355.41</v>
      </c>
      <c r="AE27" s="11">
        <v>17.670000000000002</v>
      </c>
      <c r="AF27" s="9">
        <f t="shared" si="9"/>
        <v>6.9355795843125026E-2</v>
      </c>
      <c r="AG27" s="11"/>
      <c r="AH27" s="11"/>
      <c r="AI27" s="9"/>
      <c r="AJ27" s="11"/>
      <c r="AK27" s="11"/>
      <c r="AL27" s="9"/>
      <c r="AM27" s="11"/>
      <c r="AN27" s="11"/>
      <c r="AO27" s="9"/>
      <c r="AP27" s="11"/>
      <c r="AQ27" s="11"/>
      <c r="AR27" s="9"/>
      <c r="AS27" s="11"/>
      <c r="AT27" s="11"/>
      <c r="AU27" s="9"/>
      <c r="AV27" s="11"/>
      <c r="AW27" s="11"/>
      <c r="AX27" s="9"/>
      <c r="AY27" s="11"/>
      <c r="AZ27" s="11"/>
      <c r="BA27" s="9"/>
      <c r="BB27" s="11"/>
      <c r="BC27" s="11"/>
      <c r="BD27" s="9"/>
    </row>
    <row r="28" spans="3:56" x14ac:dyDescent="0.2">
      <c r="C28" s="11">
        <v>406.77</v>
      </c>
      <c r="D28" s="11">
        <v>16.27</v>
      </c>
      <c r="E28" s="9">
        <f t="shared" si="0"/>
        <v>6.7298291458124992E-2</v>
      </c>
      <c r="F28" s="11">
        <v>368.48</v>
      </c>
      <c r="G28" s="11">
        <v>16.420000000000002</v>
      </c>
      <c r="H28" s="9">
        <f t="shared" si="1"/>
        <v>6.2092656920000017E-2</v>
      </c>
      <c r="I28" s="11"/>
      <c r="J28" s="11"/>
      <c r="K28" s="9"/>
      <c r="L28" s="11"/>
      <c r="M28" s="11"/>
      <c r="N28" s="9"/>
      <c r="O28" s="11"/>
      <c r="P28" s="11"/>
      <c r="Q28" s="9"/>
      <c r="R28" s="11"/>
      <c r="S28" s="11"/>
      <c r="T28" s="9"/>
      <c r="U28" s="11">
        <v>323.55</v>
      </c>
      <c r="V28" s="11">
        <v>21.87</v>
      </c>
      <c r="W28" s="9">
        <f t="shared" si="6"/>
        <v>9.672060124687501E-2</v>
      </c>
      <c r="X28" s="11"/>
      <c r="Y28" s="11"/>
      <c r="Z28" s="9"/>
      <c r="AA28" s="11"/>
      <c r="AB28" s="11"/>
      <c r="AC28" s="9"/>
      <c r="AD28" s="11">
        <v>478.11</v>
      </c>
      <c r="AE28" s="11">
        <v>16.36</v>
      </c>
      <c r="AF28" s="9">
        <f t="shared" si="9"/>
        <v>7.9978718909999996E-2</v>
      </c>
      <c r="AG28" s="11"/>
      <c r="AH28" s="11"/>
      <c r="AI28" s="9"/>
      <c r="AJ28" s="11"/>
      <c r="AK28" s="11"/>
      <c r="AL28" s="9"/>
      <c r="AM28" s="11"/>
      <c r="AN28" s="11"/>
      <c r="AO28" s="9"/>
      <c r="AP28" s="11"/>
      <c r="AQ28" s="11"/>
      <c r="AR28" s="9"/>
      <c r="AS28" s="11"/>
      <c r="AT28" s="11"/>
      <c r="AU28" s="9"/>
      <c r="AV28" s="11"/>
      <c r="AW28" s="11"/>
      <c r="AX28" s="9"/>
      <c r="AY28" s="11"/>
      <c r="AZ28" s="11"/>
      <c r="BA28" s="9"/>
      <c r="BB28" s="11"/>
      <c r="BC28" s="11"/>
      <c r="BD28" s="9"/>
    </row>
    <row r="29" spans="3:56" x14ac:dyDescent="0.2">
      <c r="C29" s="11">
        <v>408.86</v>
      </c>
      <c r="D29" s="11">
        <v>15.85</v>
      </c>
      <c r="E29" s="9">
        <f t="shared" si="0"/>
        <v>6.4196769593750008E-2</v>
      </c>
      <c r="F29" s="11">
        <v>350.23</v>
      </c>
      <c r="G29" s="11">
        <v>17.82</v>
      </c>
      <c r="H29" s="9">
        <f t="shared" si="1"/>
        <v>6.9510235657500002E-2</v>
      </c>
      <c r="I29" s="11"/>
      <c r="J29" s="11"/>
      <c r="K29" s="9"/>
      <c r="L29" s="11"/>
      <c r="M29" s="11"/>
      <c r="N29" s="9"/>
      <c r="O29" s="11"/>
      <c r="P29" s="11"/>
      <c r="Q29" s="9"/>
      <c r="R29" s="11"/>
      <c r="S29" s="11"/>
      <c r="T29" s="9"/>
      <c r="U29" s="11">
        <v>268.43</v>
      </c>
      <c r="V29" s="11">
        <v>19.47</v>
      </c>
      <c r="W29" s="9">
        <f t="shared" si="6"/>
        <v>6.359792874187499E-2</v>
      </c>
      <c r="X29" s="11"/>
      <c r="Y29" s="11"/>
      <c r="Z29" s="9"/>
      <c r="AA29" s="11"/>
      <c r="AB29" s="11"/>
      <c r="AC29" s="9"/>
      <c r="AD29" s="11">
        <v>531.71</v>
      </c>
      <c r="AE29" s="11">
        <v>20.02</v>
      </c>
      <c r="AF29" s="9">
        <f t="shared" si="9"/>
        <v>0.13319348792750002</v>
      </c>
      <c r="AG29" s="11"/>
      <c r="AH29" s="11"/>
      <c r="AI29" s="9"/>
      <c r="AJ29" s="11"/>
      <c r="AK29" s="11"/>
      <c r="AL29" s="9"/>
      <c r="AM29" s="11"/>
      <c r="AN29" s="11"/>
      <c r="AO29" s="9"/>
      <c r="AP29" s="11"/>
      <c r="AQ29" s="11"/>
      <c r="AR29" s="9"/>
      <c r="AS29" s="11"/>
      <c r="AT29" s="11"/>
      <c r="AU29" s="9"/>
      <c r="AV29" s="11"/>
      <c r="AW29" s="11"/>
      <c r="AX29" s="9"/>
      <c r="AY29" s="11"/>
      <c r="AZ29" s="11"/>
      <c r="BA29" s="9"/>
      <c r="BB29" s="11"/>
      <c r="BC29" s="11"/>
      <c r="BD29" s="9"/>
    </row>
    <row r="30" spans="3:56" x14ac:dyDescent="0.2">
      <c r="C30" s="11">
        <v>409.08</v>
      </c>
      <c r="D30" s="11">
        <v>15.06</v>
      </c>
      <c r="E30" s="9">
        <f t="shared" si="0"/>
        <v>5.798801043E-2</v>
      </c>
      <c r="F30" s="11">
        <f>829.12/2</f>
        <v>414.56</v>
      </c>
      <c r="G30" s="11">
        <f>37.31/2</f>
        <v>18.655000000000001</v>
      </c>
      <c r="H30" s="9">
        <f t="shared" si="1"/>
        <v>9.0169138377500027E-2</v>
      </c>
      <c r="I30" s="11"/>
      <c r="J30" s="11"/>
      <c r="K30" s="9"/>
      <c r="L30" s="11"/>
      <c r="M30" s="11"/>
      <c r="N30" s="9"/>
      <c r="O30" s="11"/>
      <c r="P30" s="11"/>
      <c r="Q30" s="9"/>
      <c r="R30" s="11"/>
      <c r="S30" s="11"/>
      <c r="T30" s="9"/>
      <c r="U30" s="11">
        <v>310.04000000000002</v>
      </c>
      <c r="V30" s="11">
        <v>21.17</v>
      </c>
      <c r="W30" s="9">
        <f t="shared" si="6"/>
        <v>8.6843928597500022E-2</v>
      </c>
      <c r="X30" s="11"/>
      <c r="Y30" s="11"/>
      <c r="Z30" s="9"/>
      <c r="AA30" s="11"/>
      <c r="AB30" s="11"/>
      <c r="AC30" s="9"/>
      <c r="AD30" s="11">
        <f>981.94/2</f>
        <v>490.97</v>
      </c>
      <c r="AE30" s="11">
        <f>32.58/2</f>
        <v>16.29</v>
      </c>
      <c r="AF30" s="9">
        <f t="shared" si="9"/>
        <v>8.1428632610624996E-2</v>
      </c>
      <c r="AG30" s="11"/>
      <c r="AH30" s="11"/>
      <c r="AI30" s="9"/>
      <c r="AJ30" s="11"/>
      <c r="AK30" s="11"/>
      <c r="AL30" s="9"/>
      <c r="AM30" s="11"/>
      <c r="AN30" s="11"/>
      <c r="AO30" s="9"/>
      <c r="AP30" s="11"/>
      <c r="AQ30" s="11"/>
      <c r="AR30" s="9"/>
      <c r="AS30" s="11"/>
      <c r="AT30" s="11"/>
      <c r="AU30" s="9"/>
      <c r="AV30" s="11"/>
      <c r="AW30" s="11"/>
      <c r="AX30" s="9"/>
      <c r="AY30" s="11"/>
      <c r="AZ30" s="11"/>
      <c r="BA30" s="9"/>
      <c r="BB30" s="11"/>
      <c r="BC30" s="11"/>
      <c r="BD30" s="9"/>
    </row>
    <row r="31" spans="3:56" x14ac:dyDescent="0.2">
      <c r="C31" s="11">
        <v>379.38</v>
      </c>
      <c r="D31" s="11">
        <v>16.14</v>
      </c>
      <c r="E31" s="9">
        <f t="shared" si="0"/>
        <v>6.1767711405000002E-2</v>
      </c>
      <c r="F31" s="11">
        <v>307.95999999999998</v>
      </c>
      <c r="G31" s="11">
        <v>14.5</v>
      </c>
      <c r="H31" s="9">
        <f t="shared" si="1"/>
        <v>4.0467868750000004E-2</v>
      </c>
      <c r="I31" s="11"/>
      <c r="J31" s="11"/>
      <c r="K31" s="9"/>
      <c r="L31" s="11"/>
      <c r="M31" s="11"/>
      <c r="N31" s="9"/>
      <c r="O31" s="11"/>
      <c r="P31" s="11"/>
      <c r="Q31" s="9"/>
      <c r="R31" s="11"/>
      <c r="S31" s="11"/>
      <c r="T31" s="9"/>
      <c r="U31" s="11">
        <v>194.87</v>
      </c>
      <c r="V31" s="11">
        <v>14.75</v>
      </c>
      <c r="W31" s="9">
        <f t="shared" si="6"/>
        <v>2.6497752734374998E-2</v>
      </c>
      <c r="X31" s="11"/>
      <c r="Y31" s="11"/>
      <c r="Z31" s="9"/>
      <c r="AA31" s="11"/>
      <c r="AB31" s="11"/>
      <c r="AC31" s="9"/>
      <c r="AD31" s="11">
        <f>912.39/2</f>
        <v>456.19499999999999</v>
      </c>
      <c r="AE31" s="11">
        <f>30.04/2</f>
        <v>15.02</v>
      </c>
      <c r="AF31" s="9">
        <f t="shared" si="9"/>
        <v>6.4323609048749994E-2</v>
      </c>
      <c r="AG31" s="11"/>
      <c r="AH31" s="11"/>
      <c r="AI31" s="9"/>
      <c r="AJ31" s="11"/>
      <c r="AK31" s="11"/>
      <c r="AL31" s="9"/>
      <c r="AM31" s="11"/>
      <c r="AN31" s="11"/>
      <c r="AO31" s="9"/>
      <c r="AP31" s="11"/>
      <c r="AQ31" s="11"/>
      <c r="AR31" s="9"/>
      <c r="AS31" s="11"/>
      <c r="AT31" s="11"/>
      <c r="AU31" s="9"/>
      <c r="AV31" s="11"/>
      <c r="AW31" s="11"/>
      <c r="AX31" s="9"/>
      <c r="AY31" s="11"/>
      <c r="AZ31" s="11"/>
      <c r="BA31" s="9"/>
      <c r="BB31" s="11"/>
      <c r="BC31" s="11"/>
      <c r="BD31" s="9"/>
    </row>
    <row r="32" spans="3:56" x14ac:dyDescent="0.2">
      <c r="C32" s="11">
        <v>429.98</v>
      </c>
      <c r="D32" s="11">
        <v>15.35</v>
      </c>
      <c r="E32" s="9">
        <f t="shared" si="0"/>
        <v>6.3320601593749998E-2</v>
      </c>
      <c r="F32" s="11">
        <v>411.67</v>
      </c>
      <c r="G32" s="11">
        <v>15.62</v>
      </c>
      <c r="H32" s="9">
        <f t="shared" si="1"/>
        <v>6.2775661217499987E-2</v>
      </c>
      <c r="I32" s="11"/>
      <c r="J32" s="11"/>
      <c r="K32" s="9"/>
      <c r="L32" s="11"/>
      <c r="M32" s="11"/>
      <c r="N32" s="9"/>
      <c r="O32" s="11"/>
      <c r="P32" s="11"/>
      <c r="Q32" s="9"/>
      <c r="R32" s="11"/>
      <c r="S32" s="11"/>
      <c r="T32" s="9"/>
      <c r="U32" s="11">
        <v>236.04</v>
      </c>
      <c r="V32" s="11">
        <v>16.05</v>
      </c>
      <c r="W32" s="9">
        <f t="shared" si="6"/>
        <v>3.8002808812500004E-2</v>
      </c>
      <c r="X32" s="11"/>
      <c r="Y32" s="11"/>
      <c r="Z32" s="9"/>
      <c r="AA32" s="11"/>
      <c r="AB32" s="11"/>
      <c r="AC32" s="9"/>
      <c r="AD32" s="11">
        <v>438.24</v>
      </c>
      <c r="AE32" s="11">
        <v>14.51</v>
      </c>
      <c r="AF32" s="9">
        <f t="shared" si="9"/>
        <v>5.7666933389999994E-2</v>
      </c>
      <c r="AG32" s="11"/>
      <c r="AH32" s="11"/>
      <c r="AI32" s="9"/>
      <c r="AJ32" s="11"/>
      <c r="AK32" s="11"/>
      <c r="AL32" s="9"/>
      <c r="AM32" s="11"/>
      <c r="AN32" s="11"/>
      <c r="AO32" s="9"/>
      <c r="AP32" s="11"/>
      <c r="AQ32" s="11"/>
      <c r="AR32" s="9"/>
      <c r="AS32" s="11"/>
      <c r="AT32" s="11"/>
      <c r="AU32" s="9"/>
      <c r="AV32" s="11"/>
      <c r="AW32" s="11"/>
      <c r="AX32" s="9"/>
      <c r="AY32" s="11"/>
      <c r="AZ32" s="11"/>
      <c r="BA32" s="9"/>
      <c r="BB32" s="11"/>
      <c r="BC32" s="11"/>
      <c r="BD32" s="9"/>
    </row>
    <row r="33" spans="3:56" x14ac:dyDescent="0.2">
      <c r="C33" s="11">
        <v>394.76</v>
      </c>
      <c r="D33" s="11">
        <v>15.18</v>
      </c>
      <c r="E33" s="9">
        <f t="shared" si="0"/>
        <v>5.6853433889999999E-2</v>
      </c>
      <c r="F33" s="11">
        <v>392.5</v>
      </c>
      <c r="G33" s="11">
        <v>13.05</v>
      </c>
      <c r="H33" s="9">
        <f t="shared" si="1"/>
        <v>4.1777332031249996E-2</v>
      </c>
      <c r="I33" s="11"/>
      <c r="J33" s="11"/>
      <c r="K33" s="9"/>
      <c r="L33" s="11"/>
      <c r="M33" s="11"/>
      <c r="N33" s="9"/>
      <c r="O33" s="11"/>
      <c r="P33" s="11"/>
      <c r="Q33" s="9"/>
      <c r="R33" s="11"/>
      <c r="S33" s="11"/>
      <c r="T33" s="9"/>
      <c r="U33" s="11">
        <v>269.19</v>
      </c>
      <c r="V33" s="11">
        <v>14.87</v>
      </c>
      <c r="W33" s="9">
        <f t="shared" si="6"/>
        <v>3.7201536444374995E-2</v>
      </c>
      <c r="X33" s="11"/>
      <c r="Y33" s="11"/>
      <c r="Z33" s="9"/>
      <c r="AA33" s="11"/>
      <c r="AB33" s="11"/>
      <c r="AC33" s="9"/>
      <c r="AD33" s="11">
        <v>492.02</v>
      </c>
      <c r="AE33" s="11">
        <v>23.55</v>
      </c>
      <c r="AF33" s="9">
        <f t="shared" si="9"/>
        <v>0.17054720128125</v>
      </c>
      <c r="AG33" s="11"/>
      <c r="AH33" s="11"/>
      <c r="AI33" s="9"/>
      <c r="AJ33" s="11"/>
      <c r="AK33" s="11"/>
      <c r="AL33" s="9"/>
      <c r="AM33" s="11"/>
      <c r="AN33" s="11"/>
      <c r="AO33" s="9"/>
      <c r="AP33" s="11"/>
      <c r="AQ33" s="11"/>
      <c r="AR33" s="9"/>
      <c r="AS33" s="11"/>
      <c r="AT33" s="11"/>
      <c r="AU33" s="9"/>
      <c r="AV33" s="11"/>
      <c r="AW33" s="11"/>
      <c r="AX33" s="9"/>
      <c r="AY33" s="11"/>
      <c r="AZ33" s="11"/>
      <c r="BA33" s="9"/>
      <c r="BB33" s="11"/>
      <c r="BC33" s="11"/>
      <c r="BD33" s="9"/>
    </row>
    <row r="34" spans="3:56" x14ac:dyDescent="0.2">
      <c r="C34" s="11">
        <v>405.57</v>
      </c>
      <c r="D34" s="11">
        <v>17.18</v>
      </c>
      <c r="E34" s="9">
        <f t="shared" si="0"/>
        <v>7.4815599292499993E-2</v>
      </c>
      <c r="F34" s="11">
        <v>346.28</v>
      </c>
      <c r="G34" s="11">
        <v>16.2</v>
      </c>
      <c r="H34" s="9">
        <f t="shared" si="1"/>
        <v>5.6798576999999989E-2</v>
      </c>
      <c r="I34" s="11"/>
      <c r="J34" s="11"/>
      <c r="K34" s="9"/>
      <c r="L34" s="11"/>
      <c r="M34" s="11"/>
      <c r="N34" s="9"/>
      <c r="O34" s="11"/>
      <c r="P34" s="11"/>
      <c r="Q34" s="9"/>
      <c r="R34" s="11"/>
      <c r="S34" s="11"/>
      <c r="T34" s="9"/>
      <c r="U34" s="11">
        <v>203.94</v>
      </c>
      <c r="V34" s="11">
        <v>16.2</v>
      </c>
      <c r="W34" s="9">
        <f t="shared" si="6"/>
        <v>3.3451258499999997E-2</v>
      </c>
      <c r="X34" s="11"/>
      <c r="Y34" s="11"/>
      <c r="Z34" s="9"/>
      <c r="AA34" s="11"/>
      <c r="AB34" s="11"/>
      <c r="AC34" s="9"/>
      <c r="AD34" s="11">
        <v>406.92</v>
      </c>
      <c r="AE34" s="11">
        <v>13.58</v>
      </c>
      <c r="AF34" s="9">
        <f t="shared" si="9"/>
        <v>4.6901700930000005E-2</v>
      </c>
      <c r="AG34" s="11"/>
      <c r="AH34" s="11"/>
      <c r="AI34" s="9"/>
      <c r="AJ34" s="11"/>
      <c r="AK34" s="11"/>
      <c r="AL34" s="9"/>
      <c r="AM34" s="11"/>
      <c r="AN34" s="11"/>
      <c r="AO34" s="9"/>
      <c r="AP34" s="11"/>
      <c r="AQ34" s="11"/>
      <c r="AR34" s="9"/>
      <c r="AS34" s="11"/>
      <c r="AT34" s="11"/>
      <c r="AU34" s="9"/>
      <c r="AV34" s="11"/>
      <c r="AW34" s="11"/>
      <c r="AX34" s="9"/>
      <c r="AY34" s="11"/>
      <c r="AZ34" s="11"/>
      <c r="BA34" s="9"/>
      <c r="BB34" s="11"/>
      <c r="BC34" s="11"/>
      <c r="BD34" s="9"/>
    </row>
    <row r="35" spans="3:56" x14ac:dyDescent="0.2">
      <c r="C35" s="11">
        <v>387.75</v>
      </c>
      <c r="D35" s="11">
        <v>14.2</v>
      </c>
      <c r="E35" s="9">
        <f t="shared" si="0"/>
        <v>4.8866193749999995E-2</v>
      </c>
      <c r="F35" s="11">
        <v>374.67</v>
      </c>
      <c r="G35" s="11">
        <v>16.170000000000002</v>
      </c>
      <c r="H35" s="9">
        <f t="shared" si="1"/>
        <v>6.1227845476875008E-2</v>
      </c>
      <c r="I35" s="11"/>
      <c r="J35" s="11"/>
      <c r="K35" s="9"/>
      <c r="L35" s="11"/>
      <c r="M35" s="11"/>
      <c r="N35" s="9"/>
      <c r="O35" s="11"/>
      <c r="P35" s="11"/>
      <c r="Q35" s="9"/>
      <c r="R35" s="11"/>
      <c r="S35" s="11"/>
      <c r="T35" s="9"/>
      <c r="U35" s="11">
        <v>375.57</v>
      </c>
      <c r="V35" s="11">
        <v>23.49</v>
      </c>
      <c r="W35" s="9">
        <f t="shared" si="6"/>
        <v>0.12952003259812497</v>
      </c>
      <c r="X35" s="11"/>
      <c r="Y35" s="11"/>
      <c r="Z35" s="9"/>
      <c r="AA35" s="11"/>
      <c r="AB35" s="11"/>
      <c r="AC35" s="9"/>
      <c r="AD35" s="11">
        <v>544.5</v>
      </c>
      <c r="AE35" s="11">
        <v>15.84</v>
      </c>
      <c r="AF35" s="9">
        <f t="shared" si="9"/>
        <v>8.5386311999999992E-2</v>
      </c>
      <c r="AG35" s="11"/>
      <c r="AH35" s="11"/>
      <c r="AI35" s="9"/>
      <c r="AJ35" s="11"/>
      <c r="AK35" s="11"/>
      <c r="AL35" s="9"/>
      <c r="AM35" s="11"/>
      <c r="AN35" s="11"/>
      <c r="AO35" s="9"/>
      <c r="AP35" s="11"/>
      <c r="AQ35" s="11"/>
      <c r="AR35" s="9"/>
      <c r="AS35" s="11"/>
      <c r="AT35" s="11"/>
      <c r="AU35" s="9"/>
      <c r="AV35" s="11"/>
      <c r="AW35" s="11"/>
      <c r="AX35" s="9"/>
      <c r="AY35" s="11"/>
      <c r="AZ35" s="11"/>
      <c r="BA35" s="9"/>
      <c r="BB35" s="11"/>
      <c r="BC35" s="11"/>
      <c r="BD35" s="9"/>
    </row>
    <row r="36" spans="3:56" x14ac:dyDescent="0.2">
      <c r="C36" s="11">
        <v>397.31</v>
      </c>
      <c r="D36" s="11">
        <v>17.809999999999999</v>
      </c>
      <c r="E36" s="9">
        <f t="shared" si="0"/>
        <v>7.8765739056874992E-2</v>
      </c>
      <c r="F36" s="11">
        <v>386.26</v>
      </c>
      <c r="G36" s="11">
        <v>19.760000000000002</v>
      </c>
      <c r="H36" s="9">
        <f t="shared" si="1"/>
        <v>9.4261345360000012E-2</v>
      </c>
      <c r="I36" s="11"/>
      <c r="J36" s="11"/>
      <c r="K36" s="9"/>
      <c r="L36" s="11"/>
      <c r="M36" s="11"/>
      <c r="N36" s="9"/>
      <c r="O36" s="11"/>
      <c r="P36" s="11"/>
      <c r="Q36" s="9"/>
      <c r="R36" s="11"/>
      <c r="S36" s="11"/>
      <c r="T36" s="9"/>
      <c r="U36" s="11">
        <v>194.89</v>
      </c>
      <c r="V36" s="11">
        <v>14.75</v>
      </c>
      <c r="W36" s="9">
        <f t="shared" si="6"/>
        <v>2.6500472265624995E-2</v>
      </c>
      <c r="X36" s="11"/>
      <c r="Y36" s="11"/>
      <c r="Z36" s="9"/>
      <c r="AA36" s="11"/>
      <c r="AB36" s="11"/>
      <c r="AC36" s="9"/>
      <c r="AD36" s="11"/>
      <c r="AE36" s="11"/>
      <c r="AF36" s="9"/>
      <c r="AG36" s="11"/>
      <c r="AH36" s="11"/>
      <c r="AI36" s="9"/>
      <c r="AJ36" s="11"/>
      <c r="AK36" s="11"/>
      <c r="AL36" s="9"/>
      <c r="AM36" s="11"/>
      <c r="AN36" s="11"/>
      <c r="AO36" s="9"/>
      <c r="AP36" s="11"/>
      <c r="AQ36" s="11"/>
      <c r="AR36" s="9"/>
      <c r="AS36" s="11"/>
      <c r="AT36" s="11"/>
      <c r="AU36" s="9"/>
      <c r="AV36" s="11"/>
      <c r="AW36" s="11"/>
      <c r="AX36" s="9"/>
      <c r="AY36" s="11"/>
      <c r="AZ36" s="11"/>
      <c r="BA36" s="9"/>
      <c r="BB36" s="11"/>
      <c r="BC36" s="11"/>
      <c r="BD36" s="9"/>
    </row>
    <row r="37" spans="3:56" x14ac:dyDescent="0.2">
      <c r="C37" s="11">
        <v>272.20999999999998</v>
      </c>
      <c r="D37" s="11">
        <v>17.05</v>
      </c>
      <c r="E37" s="9">
        <f t="shared" si="0"/>
        <v>4.945757970312499E-2</v>
      </c>
      <c r="F37" s="11">
        <v>388.54</v>
      </c>
      <c r="G37" s="11">
        <v>18.23</v>
      </c>
      <c r="H37" s="9">
        <f t="shared" si="1"/>
        <v>8.0702890603750008E-2</v>
      </c>
      <c r="I37" s="11"/>
      <c r="J37" s="11"/>
      <c r="K37" s="9"/>
      <c r="L37" s="11"/>
      <c r="M37" s="11"/>
      <c r="N37" s="9"/>
      <c r="O37" s="11"/>
      <c r="P37" s="11"/>
      <c r="Q37" s="9"/>
      <c r="R37" s="11"/>
      <c r="S37" s="11"/>
      <c r="T37" s="9"/>
      <c r="U37" s="11">
        <v>236.04</v>
      </c>
      <c r="V37" s="11">
        <v>16.05</v>
      </c>
      <c r="W37" s="9">
        <f t="shared" si="6"/>
        <v>3.8002808812500004E-2</v>
      </c>
      <c r="X37" s="11"/>
      <c r="Y37" s="11"/>
      <c r="Z37" s="9"/>
      <c r="AA37" s="11"/>
      <c r="AB37" s="11"/>
      <c r="AC37" s="9"/>
      <c r="AD37" s="11"/>
      <c r="AE37" s="11"/>
      <c r="AF37" s="9"/>
      <c r="AG37" s="11"/>
      <c r="AH37" s="11"/>
      <c r="AI37" s="9"/>
      <c r="AJ37" s="11"/>
      <c r="AK37" s="11"/>
      <c r="AL37" s="9"/>
      <c r="AM37" s="11"/>
      <c r="AN37" s="11"/>
      <c r="AO37" s="9"/>
      <c r="AP37" s="11"/>
      <c r="AQ37" s="11"/>
      <c r="AR37" s="9"/>
      <c r="AS37" s="11"/>
      <c r="AT37" s="11"/>
      <c r="AU37" s="9"/>
      <c r="AV37" s="11"/>
      <c r="AW37" s="11"/>
      <c r="AX37" s="9"/>
      <c r="AY37" s="11"/>
      <c r="AZ37" s="11"/>
      <c r="BA37" s="9"/>
      <c r="BB37" s="11"/>
      <c r="BC37" s="11"/>
      <c r="BD37" s="9"/>
    </row>
    <row r="38" spans="3:56" x14ac:dyDescent="0.2">
      <c r="C38" s="11">
        <v>387.17</v>
      </c>
      <c r="D38" s="11">
        <v>12.01</v>
      </c>
      <c r="E38" s="9">
        <f t="shared" ref="E38:E68" si="18">(C38*D38*D38)/1600000</f>
        <v>3.4903399698124997E-2</v>
      </c>
      <c r="F38" s="11">
        <v>356</v>
      </c>
      <c r="G38" s="11">
        <v>18.3</v>
      </c>
      <c r="H38" s="9">
        <f t="shared" ref="H38:H58" si="19">(F38*G38*G38)/1600000</f>
        <v>7.4513025000000011E-2</v>
      </c>
      <c r="I38" s="11"/>
      <c r="J38" s="11"/>
      <c r="K38" s="9"/>
      <c r="L38" s="11"/>
      <c r="M38" s="11"/>
      <c r="N38" s="9"/>
      <c r="O38" s="11"/>
      <c r="P38" s="11"/>
      <c r="Q38" s="9"/>
      <c r="R38" s="11"/>
      <c r="S38" s="11"/>
      <c r="T38" s="9"/>
      <c r="U38" s="11">
        <v>269.19</v>
      </c>
      <c r="V38" s="11">
        <v>14.87</v>
      </c>
      <c r="W38" s="9">
        <f t="shared" ref="W38:W43" si="20">(U38*V38*V38)/1600000</f>
        <v>3.7201536444374995E-2</v>
      </c>
      <c r="X38" s="11"/>
      <c r="Y38" s="11"/>
      <c r="Z38" s="9"/>
      <c r="AA38" s="11"/>
      <c r="AB38" s="11"/>
      <c r="AC38" s="9"/>
      <c r="AD38" s="11"/>
      <c r="AE38" s="11"/>
      <c r="AF38" s="9"/>
      <c r="AG38" s="11"/>
      <c r="AH38" s="11"/>
      <c r="AI38" s="9"/>
      <c r="AJ38" s="11"/>
      <c r="AK38" s="11"/>
      <c r="AL38" s="9"/>
      <c r="AM38" s="11"/>
      <c r="AN38" s="11"/>
      <c r="AO38" s="9"/>
      <c r="AP38" s="11"/>
      <c r="AQ38" s="11"/>
      <c r="AR38" s="9"/>
      <c r="AS38" s="11"/>
      <c r="AT38" s="11"/>
      <c r="AU38" s="9"/>
      <c r="AV38" s="11"/>
      <c r="AW38" s="11"/>
      <c r="AX38" s="9"/>
      <c r="AY38" s="11"/>
      <c r="AZ38" s="11"/>
      <c r="BA38" s="9"/>
      <c r="BB38" s="11"/>
      <c r="BC38" s="11"/>
      <c r="BD38" s="9"/>
    </row>
    <row r="39" spans="3:56" x14ac:dyDescent="0.2">
      <c r="C39" s="11">
        <v>441.14</v>
      </c>
      <c r="D39" s="11">
        <v>16.28</v>
      </c>
      <c r="E39" s="9">
        <f t="shared" si="18"/>
        <v>7.3074399860000014E-2</v>
      </c>
      <c r="F39" s="11">
        <v>406.78</v>
      </c>
      <c r="G39" s="11">
        <v>18.16</v>
      </c>
      <c r="H39" s="9">
        <f t="shared" si="19"/>
        <v>8.3843866480000001E-2</v>
      </c>
      <c r="I39" s="11"/>
      <c r="J39" s="11"/>
      <c r="K39" s="9"/>
      <c r="L39" s="11"/>
      <c r="M39" s="11"/>
      <c r="N39" s="9"/>
      <c r="O39" s="11"/>
      <c r="P39" s="11"/>
      <c r="Q39" s="9"/>
      <c r="R39" s="11"/>
      <c r="S39" s="11"/>
      <c r="T39" s="9"/>
      <c r="U39" s="11">
        <v>203.94</v>
      </c>
      <c r="V39" s="11">
        <v>16.2</v>
      </c>
      <c r="W39" s="9">
        <f t="shared" si="20"/>
        <v>3.3451258499999997E-2</v>
      </c>
      <c r="X39" s="11"/>
      <c r="Y39" s="11"/>
      <c r="Z39" s="9"/>
      <c r="AA39" s="11"/>
      <c r="AB39" s="11"/>
      <c r="AC39" s="9"/>
      <c r="AD39" s="11"/>
      <c r="AE39" s="11"/>
      <c r="AF39" s="9"/>
      <c r="AG39" s="11"/>
      <c r="AH39" s="11"/>
      <c r="AI39" s="9"/>
      <c r="AJ39" s="11"/>
      <c r="AK39" s="11"/>
      <c r="AL39" s="9"/>
      <c r="AM39" s="11"/>
      <c r="AN39" s="11"/>
      <c r="AO39" s="9"/>
      <c r="AP39" s="11"/>
      <c r="AQ39" s="11"/>
      <c r="AR39" s="9"/>
      <c r="AS39" s="11"/>
      <c r="AT39" s="11"/>
      <c r="AU39" s="9"/>
      <c r="AV39" s="11"/>
      <c r="AW39" s="11"/>
      <c r="AX39" s="9"/>
      <c r="AY39" s="11"/>
      <c r="AZ39" s="11"/>
      <c r="BA39" s="9"/>
      <c r="BB39" s="11"/>
      <c r="BC39" s="11"/>
      <c r="BD39" s="9"/>
    </row>
    <row r="40" spans="3:56" x14ac:dyDescent="0.2">
      <c r="C40" s="11">
        <v>381.23</v>
      </c>
      <c r="D40" s="11">
        <v>16.190000000000001</v>
      </c>
      <c r="E40" s="9">
        <f t="shared" si="18"/>
        <v>6.2454075501875012E-2</v>
      </c>
      <c r="F40" s="11">
        <f>723.86/2</f>
        <v>361.93</v>
      </c>
      <c r="G40" s="11">
        <f>36.97/2</f>
        <v>18.484999999999999</v>
      </c>
      <c r="H40" s="9">
        <f t="shared" si="19"/>
        <v>7.7293595490156242E-2</v>
      </c>
      <c r="I40" s="11"/>
      <c r="J40" s="11"/>
      <c r="K40" s="9"/>
      <c r="L40" s="11"/>
      <c r="M40" s="11"/>
      <c r="N40" s="9"/>
      <c r="O40" s="11"/>
      <c r="P40" s="11"/>
      <c r="Q40" s="9"/>
      <c r="R40" s="11"/>
      <c r="S40" s="11"/>
      <c r="T40" s="9"/>
      <c r="U40" s="11">
        <v>375.57</v>
      </c>
      <c r="V40" s="11">
        <v>23.49</v>
      </c>
      <c r="W40" s="9">
        <f t="shared" si="20"/>
        <v>0.12952003259812497</v>
      </c>
      <c r="X40" s="11"/>
      <c r="Y40" s="11"/>
      <c r="Z40" s="9"/>
      <c r="AA40" s="11"/>
      <c r="AB40" s="11"/>
      <c r="AC40" s="9"/>
      <c r="AD40" s="11"/>
      <c r="AE40" s="11"/>
      <c r="AF40" s="9"/>
      <c r="AG40" s="11"/>
      <c r="AH40" s="11"/>
      <c r="AI40" s="9"/>
      <c r="AJ40" s="11"/>
      <c r="AK40" s="11"/>
      <c r="AL40" s="9"/>
      <c r="AM40" s="11"/>
      <c r="AN40" s="11"/>
      <c r="AO40" s="9"/>
      <c r="AP40" s="11"/>
      <c r="AQ40" s="11"/>
      <c r="AR40" s="9"/>
      <c r="AS40" s="11"/>
      <c r="AT40" s="11"/>
      <c r="AU40" s="9"/>
      <c r="AV40" s="11"/>
      <c r="AW40" s="11"/>
      <c r="AX40" s="9"/>
      <c r="AY40" s="11"/>
      <c r="AZ40" s="11"/>
      <c r="BA40" s="9"/>
      <c r="BB40" s="11"/>
      <c r="BC40" s="11"/>
      <c r="BD40" s="9"/>
    </row>
    <row r="41" spans="3:56" x14ac:dyDescent="0.2">
      <c r="C41" s="11">
        <v>413.17</v>
      </c>
      <c r="D41" s="11">
        <v>16.75</v>
      </c>
      <c r="E41" s="9">
        <f t="shared" si="18"/>
        <v>7.245000507812499E-2</v>
      </c>
      <c r="F41" s="11">
        <v>269.62</v>
      </c>
      <c r="G41" s="11">
        <v>16.18</v>
      </c>
      <c r="H41" s="9">
        <f t="shared" si="19"/>
        <v>4.4115291805000005E-2</v>
      </c>
      <c r="I41" s="11"/>
      <c r="J41" s="11"/>
      <c r="K41" s="9"/>
      <c r="L41" s="11"/>
      <c r="M41" s="11"/>
      <c r="N41" s="9"/>
      <c r="O41" s="11"/>
      <c r="P41" s="11"/>
      <c r="Q41" s="9"/>
      <c r="R41" s="11"/>
      <c r="S41" s="11"/>
      <c r="T41" s="9"/>
      <c r="U41" s="11">
        <v>339.74</v>
      </c>
      <c r="V41" s="11">
        <v>17.77</v>
      </c>
      <c r="W41" s="9">
        <f t="shared" si="20"/>
        <v>6.7050428153749994E-2</v>
      </c>
      <c r="X41" s="11"/>
      <c r="Y41" s="11"/>
      <c r="Z41" s="9"/>
      <c r="AA41" s="11"/>
      <c r="AB41" s="11"/>
      <c r="AC41" s="9"/>
      <c r="AD41" s="11"/>
      <c r="AE41" s="11"/>
      <c r="AF41" s="9"/>
      <c r="AG41" s="11"/>
      <c r="AH41" s="11"/>
      <c r="AI41" s="9"/>
      <c r="AJ41" s="11"/>
      <c r="AK41" s="11"/>
      <c r="AL41" s="9"/>
      <c r="AM41" s="11"/>
      <c r="AN41" s="11"/>
      <c r="AO41" s="9"/>
      <c r="AP41" s="11"/>
      <c r="AQ41" s="11"/>
      <c r="AR41" s="9"/>
      <c r="AS41" s="11"/>
      <c r="AT41" s="11"/>
      <c r="AU41" s="9"/>
      <c r="AV41" s="11"/>
      <c r="AW41" s="11"/>
      <c r="AX41" s="9"/>
      <c r="AY41" s="11"/>
      <c r="AZ41" s="11"/>
      <c r="BA41" s="9"/>
      <c r="BB41" s="11"/>
      <c r="BC41" s="11"/>
      <c r="BD41" s="9"/>
    </row>
    <row r="42" spans="3:56" x14ac:dyDescent="0.2">
      <c r="C42" s="11">
        <v>403.7</v>
      </c>
      <c r="D42" s="11">
        <v>15.66</v>
      </c>
      <c r="E42" s="9">
        <f t="shared" si="18"/>
        <v>6.1876007325000003E-2</v>
      </c>
      <c r="F42" s="11">
        <v>284.92</v>
      </c>
      <c r="G42" s="11">
        <v>17.48</v>
      </c>
      <c r="H42" s="9">
        <f t="shared" si="19"/>
        <v>5.4410887480000003E-2</v>
      </c>
      <c r="I42" s="11"/>
      <c r="J42" s="11"/>
      <c r="K42" s="9"/>
      <c r="L42" s="11"/>
      <c r="M42" s="11"/>
      <c r="N42" s="9"/>
      <c r="O42" s="11"/>
      <c r="P42" s="11"/>
      <c r="Q42" s="9"/>
      <c r="R42" s="11"/>
      <c r="S42" s="11"/>
      <c r="T42" s="9"/>
      <c r="U42" s="11">
        <v>293.06</v>
      </c>
      <c r="V42" s="11">
        <v>17.600000000000001</v>
      </c>
      <c r="W42" s="9">
        <f t="shared" si="20"/>
        <v>5.6736416000000012E-2</v>
      </c>
      <c r="X42" s="11"/>
      <c r="Y42" s="11"/>
      <c r="Z42" s="9"/>
      <c r="AA42" s="11"/>
      <c r="AB42" s="11"/>
      <c r="AC42" s="9"/>
      <c r="AD42" s="11"/>
      <c r="AE42" s="11"/>
      <c r="AF42" s="9"/>
      <c r="AG42" s="11"/>
      <c r="AH42" s="11"/>
      <c r="AI42" s="9"/>
      <c r="AJ42" s="11"/>
      <c r="AK42" s="11"/>
      <c r="AL42" s="9"/>
      <c r="AM42" s="11"/>
      <c r="AN42" s="11"/>
      <c r="AO42" s="9"/>
      <c r="AP42" s="11"/>
      <c r="AQ42" s="11"/>
      <c r="AR42" s="9"/>
      <c r="AS42" s="11"/>
      <c r="AT42" s="11"/>
      <c r="AU42" s="9"/>
      <c r="AV42" s="11"/>
      <c r="AW42" s="11"/>
      <c r="AX42" s="9"/>
      <c r="AY42" s="11"/>
      <c r="AZ42" s="11"/>
      <c r="BA42" s="9"/>
      <c r="BB42" s="11"/>
      <c r="BC42" s="11"/>
      <c r="BD42" s="9"/>
    </row>
    <row r="43" spans="3:56" x14ac:dyDescent="0.2">
      <c r="C43" s="11">
        <f>783.57/2</f>
        <v>391.78500000000003</v>
      </c>
      <c r="D43" s="11">
        <f>32.52/2</f>
        <v>16.260000000000002</v>
      </c>
      <c r="E43" s="9">
        <f t="shared" si="18"/>
        <v>6.4739434916250019E-2</v>
      </c>
      <c r="F43" s="11">
        <v>364.77</v>
      </c>
      <c r="G43" s="11">
        <v>16.32</v>
      </c>
      <c r="H43" s="9">
        <f t="shared" si="19"/>
        <v>6.0721073280000003E-2</v>
      </c>
      <c r="I43" s="11"/>
      <c r="J43" s="11"/>
      <c r="K43" s="9"/>
      <c r="L43" s="11"/>
      <c r="M43" s="11"/>
      <c r="N43" s="9"/>
      <c r="O43" s="11"/>
      <c r="P43" s="11"/>
      <c r="Q43" s="9"/>
      <c r="R43" s="11"/>
      <c r="S43" s="11"/>
      <c r="T43" s="9"/>
      <c r="U43" s="11">
        <v>717.37</v>
      </c>
      <c r="V43" s="11">
        <v>36.79</v>
      </c>
      <c r="W43" s="9">
        <f t="shared" si="20"/>
        <v>0.60685202263562499</v>
      </c>
      <c r="X43" s="11"/>
      <c r="Y43" s="11"/>
      <c r="Z43" s="9"/>
      <c r="AA43" s="11"/>
      <c r="AB43" s="11"/>
      <c r="AC43" s="9"/>
      <c r="AD43" s="11"/>
      <c r="AE43" s="11"/>
      <c r="AF43" s="9"/>
      <c r="AG43" s="11"/>
      <c r="AH43" s="11"/>
      <c r="AI43" s="9"/>
      <c r="AJ43" s="11"/>
      <c r="AK43" s="11"/>
      <c r="AL43" s="9"/>
      <c r="AM43" s="11"/>
      <c r="AN43" s="11"/>
      <c r="AO43" s="9"/>
      <c r="AP43" s="11"/>
      <c r="AQ43" s="11"/>
      <c r="AR43" s="9"/>
      <c r="AS43" s="11"/>
      <c r="AT43" s="11"/>
      <c r="AU43" s="9"/>
      <c r="AV43" s="11"/>
      <c r="AW43" s="11"/>
      <c r="AX43" s="9"/>
      <c r="AY43" s="11"/>
      <c r="AZ43" s="11"/>
      <c r="BA43" s="9"/>
      <c r="BB43" s="11"/>
      <c r="BC43" s="11"/>
      <c r="BD43" s="9"/>
    </row>
    <row r="44" spans="3:56" x14ac:dyDescent="0.2">
      <c r="C44" s="11">
        <v>369.63</v>
      </c>
      <c r="D44" s="11">
        <v>16.309999999999999</v>
      </c>
      <c r="E44" s="9">
        <f t="shared" si="18"/>
        <v>6.1454706901874989E-2</v>
      </c>
      <c r="F44" s="11">
        <v>371.08</v>
      </c>
      <c r="G44" s="11">
        <v>18.29</v>
      </c>
      <c r="H44" s="9">
        <f t="shared" si="19"/>
        <v>7.7584501892499991E-2</v>
      </c>
      <c r="I44" s="11"/>
      <c r="J44" s="11"/>
      <c r="K44" s="9"/>
      <c r="L44" s="11"/>
      <c r="M44" s="11"/>
      <c r="N44" s="9"/>
      <c r="O44" s="11"/>
      <c r="P44" s="11"/>
      <c r="Q44" s="9"/>
      <c r="R44" s="11"/>
      <c r="S44" s="11"/>
      <c r="T44" s="9"/>
      <c r="U44" s="11"/>
      <c r="V44" s="11"/>
      <c r="W44" s="9"/>
      <c r="X44" s="11"/>
      <c r="Y44" s="11"/>
      <c r="Z44" s="9"/>
      <c r="AA44" s="11"/>
      <c r="AB44" s="11"/>
      <c r="AC44" s="9"/>
      <c r="AD44" s="11"/>
      <c r="AE44" s="11"/>
      <c r="AF44" s="9"/>
      <c r="AG44" s="11"/>
      <c r="AH44" s="11"/>
      <c r="AI44" s="9"/>
      <c r="AJ44" s="11"/>
      <c r="AK44" s="11"/>
      <c r="AL44" s="9"/>
      <c r="AM44" s="11"/>
      <c r="AN44" s="11"/>
      <c r="AO44" s="9"/>
      <c r="AP44" s="11"/>
      <c r="AQ44" s="11"/>
      <c r="AR44" s="9"/>
      <c r="AS44" s="11"/>
      <c r="AT44" s="11"/>
      <c r="AU44" s="9"/>
      <c r="AV44" s="11"/>
      <c r="AW44" s="11"/>
      <c r="AX44" s="9"/>
      <c r="AY44" s="11"/>
      <c r="AZ44" s="11"/>
      <c r="BA44" s="9"/>
      <c r="BB44" s="11"/>
      <c r="BC44" s="11"/>
      <c r="BD44" s="9"/>
    </row>
    <row r="45" spans="3:56" x14ac:dyDescent="0.2">
      <c r="C45" s="11">
        <v>349.51</v>
      </c>
      <c r="D45" s="11">
        <v>18.37</v>
      </c>
      <c r="E45" s="9">
        <f t="shared" si="18"/>
        <v>7.3715350699375001E-2</v>
      </c>
      <c r="F45" s="11">
        <v>339.66</v>
      </c>
      <c r="G45" s="11">
        <v>14.32</v>
      </c>
      <c r="H45" s="9">
        <f t="shared" si="19"/>
        <v>4.3532184240000008E-2</v>
      </c>
      <c r="I45" s="11"/>
      <c r="J45" s="11"/>
      <c r="K45" s="9"/>
      <c r="L45" s="11"/>
      <c r="M45" s="11"/>
      <c r="N45" s="9"/>
      <c r="O45" s="11"/>
      <c r="P45" s="11"/>
      <c r="Q45" s="9"/>
      <c r="R45" s="11"/>
      <c r="S45" s="11"/>
      <c r="T45" s="9"/>
      <c r="U45" s="11"/>
      <c r="V45" s="11"/>
      <c r="W45" s="9"/>
      <c r="X45" s="11"/>
      <c r="Y45" s="11"/>
      <c r="Z45" s="9"/>
      <c r="AA45" s="11"/>
      <c r="AB45" s="11"/>
      <c r="AC45" s="9"/>
      <c r="AD45" s="11"/>
      <c r="AE45" s="11"/>
      <c r="AF45" s="9"/>
      <c r="AG45" s="11"/>
      <c r="AH45" s="11"/>
      <c r="AI45" s="9"/>
      <c r="AJ45" s="11"/>
      <c r="AK45" s="11"/>
      <c r="AL45" s="9"/>
      <c r="AM45" s="11"/>
      <c r="AN45" s="11"/>
      <c r="AO45" s="9"/>
      <c r="AP45" s="11"/>
      <c r="AQ45" s="11"/>
      <c r="AR45" s="9"/>
      <c r="AS45" s="11"/>
      <c r="AT45" s="11"/>
      <c r="AU45" s="9"/>
      <c r="AV45" s="11"/>
      <c r="AW45" s="11"/>
      <c r="AX45" s="9"/>
      <c r="AY45" s="11"/>
      <c r="AZ45" s="11"/>
      <c r="BA45" s="9"/>
      <c r="BB45" s="11"/>
      <c r="BC45" s="11"/>
      <c r="BD45" s="9"/>
    </row>
    <row r="46" spans="3:56" x14ac:dyDescent="0.2">
      <c r="C46" s="11">
        <v>403.4</v>
      </c>
      <c r="D46" s="11">
        <v>16.399999999999999</v>
      </c>
      <c r="E46" s="9">
        <f t="shared" si="18"/>
        <v>6.781153999999999E-2</v>
      </c>
      <c r="F46" s="11">
        <v>440.75</v>
      </c>
      <c r="G46" s="11">
        <v>13.24</v>
      </c>
      <c r="H46" s="9">
        <f t="shared" si="19"/>
        <v>4.828901075E-2</v>
      </c>
      <c r="I46" s="11"/>
      <c r="J46" s="11"/>
      <c r="K46" s="9"/>
      <c r="L46" s="11"/>
      <c r="M46" s="11"/>
      <c r="N46" s="9"/>
      <c r="O46" s="11"/>
      <c r="P46" s="11"/>
      <c r="Q46" s="9"/>
      <c r="R46" s="11"/>
      <c r="S46" s="11"/>
      <c r="T46" s="9"/>
      <c r="U46" s="11"/>
      <c r="V46" s="11"/>
      <c r="W46" s="9"/>
      <c r="X46" s="11"/>
      <c r="Y46" s="11"/>
      <c r="Z46" s="9"/>
      <c r="AA46" s="11"/>
      <c r="AB46" s="11"/>
      <c r="AC46" s="9"/>
      <c r="AD46" s="11"/>
      <c r="AE46" s="11"/>
      <c r="AF46" s="9"/>
      <c r="AG46" s="11"/>
      <c r="AH46" s="11"/>
      <c r="AI46" s="9"/>
      <c r="AJ46" s="11"/>
      <c r="AK46" s="11"/>
      <c r="AL46" s="9"/>
      <c r="AM46" s="11"/>
      <c r="AN46" s="11"/>
      <c r="AO46" s="9"/>
      <c r="AP46" s="11"/>
      <c r="AQ46" s="11"/>
      <c r="AR46" s="9"/>
      <c r="AS46" s="11"/>
      <c r="AT46" s="11"/>
      <c r="AU46" s="9"/>
      <c r="AV46" s="11"/>
      <c r="AW46" s="11"/>
      <c r="AX46" s="9"/>
      <c r="AY46" s="11"/>
      <c r="AZ46" s="11"/>
      <c r="BA46" s="9"/>
      <c r="BB46" s="11"/>
      <c r="BC46" s="11"/>
      <c r="BD46" s="9"/>
    </row>
    <row r="47" spans="3:56" x14ac:dyDescent="0.2">
      <c r="C47" s="11">
        <v>394.33</v>
      </c>
      <c r="D47" s="11">
        <v>13.21</v>
      </c>
      <c r="E47" s="9">
        <f t="shared" si="18"/>
        <v>4.3007626095625001E-2</v>
      </c>
      <c r="F47" s="11">
        <v>371.15</v>
      </c>
      <c r="G47" s="11">
        <v>14.99</v>
      </c>
      <c r="H47" s="9">
        <f t="shared" si="19"/>
        <v>5.2123401321874999E-2</v>
      </c>
      <c r="I47" s="11"/>
      <c r="J47" s="11"/>
      <c r="K47" s="9"/>
      <c r="L47" s="11"/>
      <c r="M47" s="11"/>
      <c r="N47" s="9"/>
      <c r="O47" s="11"/>
      <c r="P47" s="11"/>
      <c r="Q47" s="9"/>
      <c r="R47" s="11"/>
      <c r="S47" s="11"/>
      <c r="T47" s="9"/>
      <c r="U47" s="11"/>
      <c r="V47" s="11"/>
      <c r="W47" s="9"/>
      <c r="X47" s="11"/>
      <c r="Y47" s="11"/>
      <c r="Z47" s="9"/>
      <c r="AA47" s="11"/>
      <c r="AB47" s="11"/>
      <c r="AC47" s="9"/>
      <c r="AD47" s="11"/>
      <c r="AE47" s="11"/>
      <c r="AF47" s="9"/>
      <c r="AG47" s="11"/>
      <c r="AH47" s="11"/>
      <c r="AI47" s="9"/>
      <c r="AJ47" s="11"/>
      <c r="AK47" s="11"/>
      <c r="AL47" s="9"/>
      <c r="AM47" s="11"/>
      <c r="AN47" s="11"/>
      <c r="AO47" s="9"/>
      <c r="AP47" s="11"/>
      <c r="AQ47" s="11"/>
      <c r="AR47" s="9"/>
      <c r="AS47" s="11"/>
      <c r="AT47" s="11"/>
      <c r="AU47" s="9"/>
      <c r="AV47" s="11"/>
      <c r="AW47" s="11"/>
      <c r="AX47" s="9"/>
      <c r="AY47" s="11"/>
      <c r="AZ47" s="11"/>
      <c r="BA47" s="9"/>
      <c r="BB47" s="11"/>
      <c r="BC47" s="11"/>
      <c r="BD47" s="9"/>
    </row>
    <row r="48" spans="3:56" x14ac:dyDescent="0.2">
      <c r="C48" s="11">
        <v>350.99</v>
      </c>
      <c r="D48" s="11">
        <v>13.82</v>
      </c>
      <c r="E48" s="9">
        <f t="shared" si="18"/>
        <v>4.1897764047500001E-2</v>
      </c>
      <c r="F48" s="11">
        <v>379.31</v>
      </c>
      <c r="G48" s="11">
        <v>12.73</v>
      </c>
      <c r="H48" s="9">
        <f t="shared" si="19"/>
        <v>3.8417678436875005E-2</v>
      </c>
      <c r="I48" s="11"/>
      <c r="J48" s="11"/>
      <c r="K48" s="9"/>
      <c r="L48" s="11"/>
      <c r="M48" s="11"/>
      <c r="N48" s="9"/>
      <c r="O48" s="11"/>
      <c r="P48" s="11"/>
      <c r="Q48" s="9"/>
      <c r="R48" s="11"/>
      <c r="S48" s="11"/>
      <c r="T48" s="9"/>
      <c r="U48" s="11"/>
      <c r="V48" s="11"/>
      <c r="W48" s="9"/>
      <c r="X48" s="11"/>
      <c r="Y48" s="11"/>
      <c r="Z48" s="9"/>
      <c r="AA48" s="11"/>
      <c r="AB48" s="11"/>
      <c r="AC48" s="9"/>
      <c r="AD48" s="11"/>
      <c r="AE48" s="11"/>
      <c r="AF48" s="9"/>
      <c r="AG48" s="11"/>
      <c r="AH48" s="11"/>
      <c r="AI48" s="9"/>
      <c r="AJ48" s="11"/>
      <c r="AK48" s="11"/>
      <c r="AL48" s="9"/>
      <c r="AM48" s="11"/>
      <c r="AN48" s="11"/>
      <c r="AO48" s="9"/>
      <c r="AP48" s="11"/>
      <c r="AQ48" s="11"/>
      <c r="AR48" s="9"/>
      <c r="AS48" s="11"/>
      <c r="AT48" s="11"/>
      <c r="AU48" s="9"/>
      <c r="AV48" s="11"/>
      <c r="AW48" s="11"/>
      <c r="AX48" s="9"/>
      <c r="AY48" s="11"/>
      <c r="AZ48" s="11"/>
      <c r="BA48" s="9"/>
      <c r="BB48" s="11"/>
      <c r="BC48" s="11"/>
      <c r="BD48" s="9"/>
    </row>
    <row r="49" spans="3:56" x14ac:dyDescent="0.2">
      <c r="C49" s="11">
        <v>443.22</v>
      </c>
      <c r="D49" s="11">
        <v>15.17</v>
      </c>
      <c r="E49" s="9">
        <f t="shared" si="18"/>
        <v>6.3748581911250005E-2</v>
      </c>
      <c r="F49" s="11">
        <v>382.92</v>
      </c>
      <c r="G49" s="11">
        <v>15.09</v>
      </c>
      <c r="H49" s="9">
        <f t="shared" si="19"/>
        <v>5.4496241032500004E-2</v>
      </c>
      <c r="I49" s="11"/>
      <c r="J49" s="11"/>
      <c r="K49" s="9"/>
      <c r="L49" s="11"/>
      <c r="M49" s="11"/>
      <c r="N49" s="9"/>
      <c r="O49" s="11"/>
      <c r="P49" s="11"/>
      <c r="Q49" s="9"/>
      <c r="R49" s="11"/>
      <c r="S49" s="11"/>
      <c r="T49" s="9"/>
      <c r="U49" s="11"/>
      <c r="V49" s="11"/>
      <c r="W49" s="9"/>
      <c r="X49" s="11"/>
      <c r="Y49" s="11"/>
      <c r="Z49" s="9"/>
      <c r="AA49" s="11"/>
      <c r="AB49" s="11"/>
      <c r="AC49" s="9"/>
      <c r="AD49" s="11"/>
      <c r="AE49" s="11"/>
      <c r="AF49" s="9"/>
      <c r="AG49" s="11"/>
      <c r="AH49" s="11"/>
      <c r="AI49" s="9"/>
      <c r="AJ49" s="11"/>
      <c r="AK49" s="11"/>
      <c r="AL49" s="9"/>
      <c r="AM49" s="11"/>
      <c r="AN49" s="11"/>
      <c r="AO49" s="9"/>
      <c r="AP49" s="11"/>
      <c r="AQ49" s="11"/>
      <c r="AR49" s="9"/>
      <c r="AS49" s="11"/>
      <c r="AT49" s="11"/>
      <c r="AU49" s="9"/>
      <c r="AV49" s="11"/>
      <c r="AW49" s="11"/>
      <c r="AX49" s="9"/>
      <c r="AY49" s="11"/>
      <c r="AZ49" s="11"/>
      <c r="BA49" s="9"/>
      <c r="BB49" s="11"/>
      <c r="BC49" s="11"/>
      <c r="BD49" s="9"/>
    </row>
    <row r="50" spans="3:56" x14ac:dyDescent="0.2">
      <c r="C50" s="11">
        <v>393</v>
      </c>
      <c r="D50" s="11">
        <v>16.78</v>
      </c>
      <c r="E50" s="9">
        <f t="shared" si="18"/>
        <v>6.9160238250000006E-2</v>
      </c>
      <c r="F50" s="11">
        <v>383.65</v>
      </c>
      <c r="G50" s="11">
        <v>16.07</v>
      </c>
      <c r="H50" s="9">
        <f t="shared" si="19"/>
        <v>6.1922284928124988E-2</v>
      </c>
      <c r="I50" s="11"/>
      <c r="J50" s="11"/>
      <c r="K50" s="9"/>
      <c r="L50" s="11"/>
      <c r="M50" s="11"/>
      <c r="N50" s="9"/>
      <c r="O50" s="11"/>
      <c r="P50" s="11"/>
      <c r="Q50" s="9"/>
      <c r="R50" s="11"/>
      <c r="S50" s="11"/>
      <c r="T50" s="9"/>
      <c r="U50" s="11"/>
      <c r="V50" s="11"/>
      <c r="W50" s="9"/>
      <c r="X50" s="11"/>
      <c r="Y50" s="11"/>
      <c r="Z50" s="9"/>
      <c r="AA50" s="11"/>
      <c r="AB50" s="11"/>
      <c r="AC50" s="9"/>
      <c r="AD50" s="11"/>
      <c r="AE50" s="11"/>
      <c r="AF50" s="9"/>
      <c r="AG50" s="11"/>
      <c r="AH50" s="11"/>
      <c r="AI50" s="9"/>
      <c r="AJ50" s="11"/>
      <c r="AK50" s="11"/>
      <c r="AL50" s="9"/>
      <c r="AM50" s="11"/>
      <c r="AN50" s="11"/>
      <c r="AO50" s="9"/>
      <c r="AP50" s="11"/>
      <c r="AQ50" s="11"/>
      <c r="AR50" s="9"/>
      <c r="AS50" s="11"/>
      <c r="AT50" s="11"/>
      <c r="AU50" s="9"/>
      <c r="AV50" s="11"/>
      <c r="AW50" s="11"/>
      <c r="AX50" s="9"/>
      <c r="AY50" s="11"/>
      <c r="AZ50" s="11"/>
      <c r="BA50" s="9"/>
      <c r="BB50" s="11"/>
      <c r="BC50" s="11"/>
      <c r="BD50" s="9"/>
    </row>
    <row r="51" spans="3:56" x14ac:dyDescent="0.2">
      <c r="C51" s="11">
        <v>424.63</v>
      </c>
      <c r="D51" s="11">
        <v>17.22</v>
      </c>
      <c r="E51" s="9">
        <f t="shared" si="18"/>
        <v>7.8696784057499983E-2</v>
      </c>
      <c r="F51" s="11">
        <v>404.73</v>
      </c>
      <c r="G51" s="11">
        <v>14.07</v>
      </c>
      <c r="H51" s="9">
        <f t="shared" si="19"/>
        <v>5.007645873562501E-2</v>
      </c>
      <c r="I51" s="11"/>
      <c r="J51" s="11"/>
      <c r="K51" s="9"/>
      <c r="L51" s="11"/>
      <c r="M51" s="11"/>
      <c r="N51" s="9"/>
      <c r="O51" s="11"/>
      <c r="P51" s="11"/>
      <c r="Q51" s="9"/>
      <c r="R51" s="11"/>
      <c r="S51" s="11"/>
      <c r="T51" s="9"/>
      <c r="U51" s="11"/>
      <c r="V51" s="11"/>
      <c r="W51" s="9"/>
      <c r="X51" s="11"/>
      <c r="Y51" s="11"/>
      <c r="Z51" s="9"/>
      <c r="AA51" s="11"/>
      <c r="AB51" s="11"/>
      <c r="AC51" s="9"/>
      <c r="AD51" s="11"/>
      <c r="AE51" s="11"/>
      <c r="AF51" s="9"/>
      <c r="AG51" s="11"/>
      <c r="AH51" s="11"/>
      <c r="AI51" s="9"/>
      <c r="AJ51" s="11"/>
      <c r="AK51" s="11"/>
      <c r="AL51" s="9"/>
      <c r="AM51" s="11"/>
      <c r="AN51" s="11"/>
      <c r="AO51" s="9"/>
      <c r="AP51" s="11"/>
      <c r="AQ51" s="11"/>
      <c r="AR51" s="9"/>
      <c r="AS51" s="11"/>
      <c r="AT51" s="11"/>
      <c r="AU51" s="9"/>
      <c r="AV51" s="11"/>
      <c r="AW51" s="11"/>
      <c r="AX51" s="9"/>
      <c r="AY51" s="11"/>
      <c r="AZ51" s="11"/>
      <c r="BA51" s="9"/>
      <c r="BB51" s="11"/>
      <c r="BC51" s="11"/>
      <c r="BD51" s="9"/>
    </row>
    <row r="52" spans="3:56" x14ac:dyDescent="0.2">
      <c r="C52" s="11">
        <v>380.74</v>
      </c>
      <c r="D52" s="11">
        <v>15.64</v>
      </c>
      <c r="E52" s="9">
        <f t="shared" si="18"/>
        <v>5.8207911940000003E-2</v>
      </c>
      <c r="F52" s="11">
        <v>377.22</v>
      </c>
      <c r="G52" s="11">
        <v>14.44</v>
      </c>
      <c r="H52" s="9">
        <f t="shared" si="19"/>
        <v>4.9159687620000003E-2</v>
      </c>
      <c r="I52" s="11"/>
      <c r="J52" s="11"/>
      <c r="K52" s="9"/>
      <c r="L52" s="11"/>
      <c r="M52" s="11"/>
      <c r="N52" s="9"/>
      <c r="O52" s="11"/>
      <c r="P52" s="11"/>
      <c r="Q52" s="9"/>
      <c r="R52" s="11"/>
      <c r="S52" s="11"/>
      <c r="T52" s="9"/>
      <c r="U52" s="11"/>
      <c r="V52" s="11"/>
      <c r="W52" s="9"/>
      <c r="X52" s="11"/>
      <c r="Y52" s="11"/>
      <c r="Z52" s="9"/>
      <c r="AA52" s="11"/>
      <c r="AB52" s="11"/>
      <c r="AC52" s="9"/>
      <c r="AD52" s="11"/>
      <c r="AE52" s="11"/>
      <c r="AF52" s="9"/>
      <c r="AG52" s="11"/>
      <c r="AH52" s="11"/>
      <c r="AI52" s="9"/>
      <c r="AJ52" s="11"/>
      <c r="AK52" s="11"/>
      <c r="AL52" s="9"/>
      <c r="AM52" s="11"/>
      <c r="AN52" s="11"/>
      <c r="AO52" s="9"/>
      <c r="AP52" s="11"/>
      <c r="AQ52" s="11"/>
      <c r="AR52" s="9"/>
      <c r="AS52" s="11"/>
      <c r="AT52" s="11"/>
      <c r="AU52" s="9"/>
      <c r="AV52" s="11"/>
      <c r="AW52" s="11"/>
      <c r="AX52" s="9"/>
      <c r="AY52" s="11"/>
      <c r="AZ52" s="11"/>
      <c r="BA52" s="9"/>
      <c r="BB52" s="11"/>
      <c r="BC52" s="11"/>
      <c r="BD52" s="9"/>
    </row>
    <row r="53" spans="3:56" x14ac:dyDescent="0.2">
      <c r="C53" s="11">
        <v>346.15</v>
      </c>
      <c r="D53" s="11">
        <v>15.66</v>
      </c>
      <c r="E53" s="9">
        <f t="shared" si="18"/>
        <v>5.3055189337499996E-2</v>
      </c>
      <c r="F53" s="11">
        <v>385.81</v>
      </c>
      <c r="G53" s="11">
        <v>15.21</v>
      </c>
      <c r="H53" s="9">
        <f t="shared" si="19"/>
        <v>5.5784292013125007E-2</v>
      </c>
      <c r="I53" s="11"/>
      <c r="J53" s="11"/>
      <c r="K53" s="9"/>
      <c r="L53" s="11"/>
      <c r="M53" s="11"/>
      <c r="N53" s="9"/>
      <c r="O53" s="11"/>
      <c r="P53" s="11"/>
      <c r="Q53" s="9"/>
      <c r="R53" s="11"/>
      <c r="S53" s="11"/>
      <c r="T53" s="9"/>
      <c r="U53" s="11"/>
      <c r="V53" s="11"/>
      <c r="W53" s="9"/>
      <c r="X53" s="11"/>
      <c r="Y53" s="11"/>
      <c r="Z53" s="9"/>
      <c r="AA53" s="11"/>
      <c r="AB53" s="11"/>
      <c r="AC53" s="9"/>
      <c r="AD53" s="11"/>
      <c r="AE53" s="11"/>
      <c r="AF53" s="9"/>
      <c r="AG53" s="11"/>
      <c r="AH53" s="11"/>
      <c r="AI53" s="9"/>
      <c r="AJ53" s="11"/>
      <c r="AK53" s="11"/>
      <c r="AL53" s="9"/>
      <c r="AM53" s="11"/>
      <c r="AN53" s="11"/>
      <c r="AO53" s="9"/>
      <c r="AP53" s="11"/>
      <c r="AQ53" s="11"/>
      <c r="AR53" s="9"/>
      <c r="AS53" s="11"/>
      <c r="AT53" s="11"/>
      <c r="AU53" s="9"/>
      <c r="AV53" s="11"/>
      <c r="AW53" s="11"/>
      <c r="AX53" s="9"/>
      <c r="AY53" s="11"/>
      <c r="AZ53" s="11"/>
      <c r="BA53" s="9"/>
      <c r="BB53" s="11"/>
      <c r="BC53" s="11"/>
      <c r="BD53" s="9"/>
    </row>
    <row r="54" spans="3:56" x14ac:dyDescent="0.2">
      <c r="C54" s="11">
        <v>399.69</v>
      </c>
      <c r="D54" s="11">
        <v>18.25</v>
      </c>
      <c r="E54" s="9">
        <f t="shared" si="18"/>
        <v>8.3201094140624987E-2</v>
      </c>
      <c r="F54" s="11">
        <v>416.15</v>
      </c>
      <c r="G54" s="11">
        <v>14.98</v>
      </c>
      <c r="H54" s="9">
        <f t="shared" si="19"/>
        <v>5.8365141537499991E-2</v>
      </c>
      <c r="I54" s="11"/>
      <c r="J54" s="11"/>
      <c r="K54" s="9"/>
      <c r="L54" s="11"/>
      <c r="M54" s="11"/>
      <c r="N54" s="9"/>
      <c r="O54" s="11"/>
      <c r="P54" s="11"/>
      <c r="Q54" s="9"/>
      <c r="R54" s="11"/>
      <c r="S54" s="11"/>
      <c r="T54" s="9"/>
      <c r="U54" s="11"/>
      <c r="V54" s="11"/>
      <c r="W54" s="9"/>
      <c r="X54" s="11"/>
      <c r="Y54" s="11"/>
      <c r="Z54" s="9"/>
      <c r="AA54" s="11"/>
      <c r="AB54" s="11"/>
      <c r="AC54" s="9"/>
      <c r="AD54" s="11"/>
      <c r="AE54" s="11"/>
      <c r="AF54" s="9"/>
      <c r="AG54" s="11"/>
      <c r="AH54" s="11"/>
      <c r="AI54" s="9"/>
      <c r="AJ54" s="11"/>
      <c r="AK54" s="11"/>
      <c r="AL54" s="9"/>
      <c r="AM54" s="11"/>
      <c r="AN54" s="11"/>
      <c r="AO54" s="9"/>
      <c r="AP54" s="11"/>
      <c r="AQ54" s="11"/>
      <c r="AR54" s="9"/>
      <c r="AS54" s="11"/>
      <c r="AT54" s="11"/>
      <c r="AU54" s="9"/>
      <c r="AV54" s="11"/>
      <c r="AW54" s="11"/>
      <c r="AX54" s="9"/>
      <c r="AY54" s="11"/>
      <c r="AZ54" s="11"/>
      <c r="BA54" s="9"/>
      <c r="BB54" s="11"/>
      <c r="BC54" s="11"/>
      <c r="BD54" s="9"/>
    </row>
    <row r="55" spans="3:56" x14ac:dyDescent="0.2">
      <c r="C55" s="11">
        <v>402.67</v>
      </c>
      <c r="D55" s="11">
        <v>14.77</v>
      </c>
      <c r="E55" s="9">
        <f t="shared" si="18"/>
        <v>5.4902267651874996E-2</v>
      </c>
      <c r="F55" s="11">
        <v>418.67</v>
      </c>
      <c r="G55" s="11">
        <v>16.46</v>
      </c>
      <c r="H55" s="9">
        <f t="shared" si="19"/>
        <v>7.0894333107500013E-2</v>
      </c>
      <c r="I55" s="11"/>
      <c r="J55" s="11"/>
      <c r="K55" s="9"/>
      <c r="L55" s="11"/>
      <c r="M55" s="11"/>
      <c r="N55" s="9"/>
      <c r="O55" s="11"/>
      <c r="P55" s="11"/>
      <c r="Q55" s="9"/>
      <c r="R55" s="11"/>
      <c r="S55" s="11"/>
      <c r="T55" s="9"/>
      <c r="U55" s="11"/>
      <c r="V55" s="11"/>
      <c r="W55" s="9"/>
      <c r="X55" s="11"/>
      <c r="Y55" s="11"/>
      <c r="Z55" s="9"/>
      <c r="AA55" s="11"/>
      <c r="AB55" s="11"/>
      <c r="AC55" s="9"/>
      <c r="AD55" s="11"/>
      <c r="AE55" s="11"/>
      <c r="AF55" s="9"/>
      <c r="AG55" s="11"/>
      <c r="AH55" s="11"/>
      <c r="AI55" s="9"/>
      <c r="AJ55" s="11"/>
      <c r="AK55" s="11"/>
      <c r="AL55" s="9"/>
      <c r="AM55" s="11"/>
      <c r="AN55" s="11"/>
      <c r="AO55" s="9"/>
      <c r="AP55" s="11"/>
      <c r="AQ55" s="11"/>
      <c r="AR55" s="9"/>
      <c r="AS55" s="11"/>
      <c r="AT55" s="11"/>
      <c r="AU55" s="9"/>
      <c r="AV55" s="11"/>
      <c r="AW55" s="11"/>
      <c r="AX55" s="9"/>
      <c r="AY55" s="11"/>
      <c r="AZ55" s="11"/>
      <c r="BA55" s="9"/>
      <c r="BB55" s="11"/>
      <c r="BC55" s="11"/>
      <c r="BD55" s="9"/>
    </row>
    <row r="56" spans="3:56" x14ac:dyDescent="0.2">
      <c r="C56" s="11">
        <v>432.57</v>
      </c>
      <c r="D56" s="11">
        <v>17.43</v>
      </c>
      <c r="E56" s="9">
        <f t="shared" si="18"/>
        <v>8.2135553495624986E-2</v>
      </c>
      <c r="F56" s="11">
        <v>432.32</v>
      </c>
      <c r="G56" s="11">
        <v>19.11</v>
      </c>
      <c r="H56" s="9">
        <f t="shared" si="19"/>
        <v>9.8674905419999973E-2</v>
      </c>
      <c r="I56" s="11"/>
      <c r="J56" s="11"/>
      <c r="K56" s="9"/>
      <c r="L56" s="11"/>
      <c r="M56" s="11"/>
      <c r="N56" s="9"/>
      <c r="O56" s="11"/>
      <c r="P56" s="11"/>
      <c r="Q56" s="9"/>
      <c r="R56" s="11"/>
      <c r="S56" s="11"/>
      <c r="T56" s="9"/>
      <c r="U56" s="11"/>
      <c r="V56" s="11"/>
      <c r="W56" s="9"/>
      <c r="X56" s="11"/>
      <c r="Y56" s="11"/>
      <c r="Z56" s="9"/>
      <c r="AA56" s="11"/>
      <c r="AB56" s="11"/>
      <c r="AC56" s="9"/>
      <c r="AD56" s="11"/>
      <c r="AE56" s="11"/>
      <c r="AF56" s="9"/>
      <c r="AG56" s="11"/>
      <c r="AH56" s="11"/>
      <c r="AI56" s="9"/>
      <c r="AJ56" s="11"/>
      <c r="AK56" s="11"/>
      <c r="AL56" s="9"/>
      <c r="AM56" s="11"/>
      <c r="AN56" s="11"/>
      <c r="AO56" s="9"/>
      <c r="AP56" s="11"/>
      <c r="AQ56" s="11"/>
      <c r="AR56" s="9"/>
      <c r="AS56" s="11"/>
      <c r="AT56" s="11"/>
      <c r="AU56" s="9"/>
      <c r="AV56" s="11"/>
      <c r="AW56" s="11"/>
      <c r="AX56" s="9"/>
      <c r="AY56" s="11"/>
      <c r="AZ56" s="11"/>
      <c r="BA56" s="9"/>
      <c r="BB56" s="11"/>
      <c r="BC56" s="11"/>
      <c r="BD56" s="9"/>
    </row>
    <row r="57" spans="3:56" x14ac:dyDescent="0.2">
      <c r="C57" s="11">
        <v>415.79</v>
      </c>
      <c r="D57" s="11">
        <v>16.12</v>
      </c>
      <c r="E57" s="9">
        <f t="shared" si="18"/>
        <v>6.7528038110000008E-2</v>
      </c>
      <c r="F57" s="11">
        <v>385.84</v>
      </c>
      <c r="G57" s="11">
        <v>17.3</v>
      </c>
      <c r="H57" s="9">
        <f t="shared" si="19"/>
        <v>7.2173783500000005E-2</v>
      </c>
      <c r="I57" s="11"/>
      <c r="J57" s="11"/>
      <c r="K57" s="9"/>
      <c r="L57" s="11"/>
      <c r="M57" s="11"/>
      <c r="N57" s="9"/>
      <c r="O57" s="11"/>
      <c r="P57" s="11"/>
      <c r="Q57" s="9"/>
      <c r="R57" s="11"/>
      <c r="S57" s="11"/>
      <c r="T57" s="9"/>
      <c r="U57" s="11"/>
      <c r="V57" s="11"/>
      <c r="W57" s="9"/>
      <c r="X57" s="11"/>
      <c r="Y57" s="11"/>
      <c r="Z57" s="9"/>
      <c r="AA57" s="11"/>
      <c r="AB57" s="11"/>
      <c r="AC57" s="9"/>
      <c r="AD57" s="11"/>
      <c r="AE57" s="11"/>
      <c r="AF57" s="9"/>
      <c r="AG57" s="11"/>
      <c r="AH57" s="11"/>
      <c r="AI57" s="9"/>
      <c r="AJ57" s="11"/>
      <c r="AK57" s="11"/>
      <c r="AL57" s="9"/>
      <c r="AM57" s="11"/>
      <c r="AN57" s="11"/>
      <c r="AO57" s="9"/>
      <c r="AP57" s="11"/>
      <c r="AQ57" s="11"/>
      <c r="AR57" s="9"/>
      <c r="AS57" s="11"/>
      <c r="AT57" s="11"/>
      <c r="AU57" s="9"/>
      <c r="AV57" s="11"/>
      <c r="AW57" s="11"/>
      <c r="AX57" s="9"/>
      <c r="AY57" s="11"/>
      <c r="AZ57" s="11"/>
      <c r="BA57" s="9"/>
      <c r="BB57" s="11"/>
      <c r="BC57" s="11"/>
      <c r="BD57" s="9"/>
    </row>
    <row r="58" spans="3:56" x14ac:dyDescent="0.2">
      <c r="C58" s="11">
        <v>417.64</v>
      </c>
      <c r="D58" s="11">
        <v>15.49</v>
      </c>
      <c r="E58" s="9">
        <f t="shared" si="18"/>
        <v>6.2630364602499988E-2</v>
      </c>
      <c r="F58" s="11">
        <v>346.01</v>
      </c>
      <c r="G58" s="11">
        <v>14.47</v>
      </c>
      <c r="H58" s="9">
        <f t="shared" si="19"/>
        <v>4.5279928255624997E-2</v>
      </c>
      <c r="I58" s="11"/>
      <c r="J58" s="11"/>
      <c r="K58" s="9"/>
      <c r="L58" s="11"/>
      <c r="M58" s="11"/>
      <c r="N58" s="9"/>
      <c r="O58" s="11"/>
      <c r="P58" s="11"/>
      <c r="Q58" s="9"/>
      <c r="R58" s="11"/>
      <c r="S58" s="11"/>
      <c r="T58" s="9"/>
      <c r="U58" s="11"/>
      <c r="V58" s="11"/>
      <c r="W58" s="9"/>
      <c r="X58" s="11"/>
      <c r="Y58" s="11"/>
      <c r="Z58" s="9"/>
      <c r="AA58" s="11"/>
      <c r="AB58" s="11"/>
      <c r="AC58" s="9"/>
      <c r="AD58" s="11"/>
      <c r="AE58" s="11"/>
      <c r="AF58" s="9"/>
      <c r="AG58" s="11"/>
      <c r="AH58" s="11"/>
      <c r="AI58" s="9"/>
      <c r="AJ58" s="11"/>
      <c r="AK58" s="11"/>
      <c r="AL58" s="9"/>
      <c r="AM58" s="11"/>
      <c r="AN58" s="11"/>
      <c r="AO58" s="9"/>
      <c r="AP58" s="11"/>
      <c r="AQ58" s="11"/>
      <c r="AR58" s="9"/>
      <c r="AS58" s="11"/>
      <c r="AT58" s="11"/>
      <c r="AU58" s="9"/>
      <c r="AV58" s="11"/>
      <c r="AW58" s="11"/>
      <c r="AX58" s="9"/>
      <c r="AY58" s="11"/>
      <c r="AZ58" s="11"/>
      <c r="BA58" s="9"/>
      <c r="BB58" s="11"/>
      <c r="BC58" s="11"/>
      <c r="BD58" s="9"/>
    </row>
    <row r="59" spans="3:56" x14ac:dyDescent="0.2">
      <c r="C59" s="11">
        <v>380.57</v>
      </c>
      <c r="D59" s="11">
        <v>14.29</v>
      </c>
      <c r="E59" s="9">
        <f t="shared" si="18"/>
        <v>4.8571221460624994E-2</v>
      </c>
      <c r="F59" s="11"/>
      <c r="G59" s="11"/>
      <c r="H59" s="9"/>
      <c r="I59" s="11"/>
      <c r="J59" s="11"/>
      <c r="K59" s="9"/>
      <c r="L59" s="11"/>
      <c r="M59" s="11"/>
      <c r="N59" s="9"/>
      <c r="O59" s="11"/>
      <c r="P59" s="11"/>
      <c r="Q59" s="9"/>
      <c r="R59" s="11"/>
      <c r="S59" s="11"/>
      <c r="T59" s="9"/>
      <c r="U59" s="11"/>
      <c r="V59" s="11"/>
      <c r="W59" s="9"/>
      <c r="X59" s="11"/>
      <c r="Y59" s="11"/>
      <c r="Z59" s="9"/>
      <c r="AA59" s="11"/>
      <c r="AB59" s="11"/>
      <c r="AC59" s="9"/>
      <c r="AD59" s="11"/>
      <c r="AE59" s="11"/>
      <c r="AF59" s="9"/>
      <c r="AG59" s="11"/>
      <c r="AH59" s="11"/>
      <c r="AI59" s="9"/>
      <c r="AJ59" s="11"/>
      <c r="AK59" s="11"/>
      <c r="AL59" s="9"/>
      <c r="AM59" s="11"/>
      <c r="AN59" s="11"/>
      <c r="AO59" s="9"/>
      <c r="AP59" s="11"/>
      <c r="AQ59" s="11"/>
      <c r="AR59" s="9"/>
      <c r="AS59" s="11"/>
      <c r="AT59" s="11"/>
      <c r="AU59" s="9"/>
      <c r="AV59" s="11"/>
      <c r="AW59" s="11"/>
      <c r="AX59" s="9"/>
      <c r="AY59" s="11"/>
      <c r="AZ59" s="11"/>
      <c r="BA59" s="9"/>
      <c r="BB59" s="11"/>
      <c r="BC59" s="11"/>
      <c r="BD59" s="9"/>
    </row>
    <row r="60" spans="3:56" x14ac:dyDescent="0.2">
      <c r="C60" s="11">
        <v>217.48</v>
      </c>
      <c r="D60" s="11">
        <v>18.079999999999998</v>
      </c>
      <c r="E60" s="9">
        <f t="shared" si="18"/>
        <v>4.4432033919999989E-2</v>
      </c>
      <c r="F60" s="11"/>
      <c r="G60" s="11"/>
      <c r="H60" s="9"/>
      <c r="I60" s="11"/>
      <c r="J60" s="11"/>
      <c r="K60" s="9"/>
      <c r="L60" s="11"/>
      <c r="M60" s="11"/>
      <c r="N60" s="9"/>
      <c r="O60" s="11"/>
      <c r="P60" s="11"/>
      <c r="Q60" s="9"/>
      <c r="R60" s="11"/>
      <c r="S60" s="11"/>
      <c r="T60" s="9"/>
      <c r="U60" s="11"/>
      <c r="V60" s="11"/>
      <c r="W60" s="9"/>
      <c r="X60" s="11"/>
      <c r="Y60" s="11"/>
      <c r="Z60" s="9"/>
      <c r="AA60" s="11"/>
      <c r="AB60" s="11"/>
      <c r="AC60" s="9"/>
      <c r="AD60" s="11"/>
      <c r="AE60" s="11"/>
      <c r="AF60" s="9"/>
      <c r="AG60" s="11"/>
      <c r="AH60" s="11"/>
      <c r="AI60" s="9"/>
      <c r="AJ60" s="11"/>
      <c r="AK60" s="11"/>
      <c r="AL60" s="9"/>
      <c r="AM60" s="11"/>
      <c r="AN60" s="11"/>
      <c r="AO60" s="9"/>
      <c r="AP60" s="11"/>
      <c r="AQ60" s="11"/>
      <c r="AR60" s="9"/>
      <c r="AS60" s="11"/>
      <c r="AT60" s="11"/>
      <c r="AU60" s="9"/>
      <c r="AV60" s="11"/>
      <c r="AW60" s="11"/>
      <c r="AX60" s="9"/>
      <c r="AY60" s="11"/>
      <c r="AZ60" s="11"/>
      <c r="BA60" s="9"/>
      <c r="BB60" s="11"/>
      <c r="BC60" s="11"/>
      <c r="BD60" s="9"/>
    </row>
    <row r="61" spans="3:56" x14ac:dyDescent="0.2">
      <c r="C61" s="11">
        <v>348.58</v>
      </c>
      <c r="D61" s="11">
        <v>15.73</v>
      </c>
      <c r="E61" s="9">
        <f t="shared" si="18"/>
        <v>5.3906350176249999E-2</v>
      </c>
      <c r="F61" s="11"/>
      <c r="G61" s="11"/>
      <c r="H61" s="9"/>
      <c r="I61" s="11"/>
      <c r="J61" s="11"/>
      <c r="K61" s="9"/>
      <c r="L61" s="11"/>
      <c r="M61" s="11"/>
      <c r="N61" s="9"/>
      <c r="O61" s="11"/>
      <c r="P61" s="11"/>
      <c r="Q61" s="9"/>
      <c r="R61" s="11"/>
      <c r="S61" s="11"/>
      <c r="T61" s="9"/>
      <c r="U61" s="11"/>
      <c r="V61" s="11"/>
      <c r="W61" s="9"/>
      <c r="X61" s="11"/>
      <c r="Y61" s="11"/>
      <c r="Z61" s="9"/>
      <c r="AA61" s="11"/>
      <c r="AB61" s="11"/>
      <c r="AC61" s="9"/>
      <c r="AD61" s="11"/>
      <c r="AE61" s="11"/>
      <c r="AF61" s="9"/>
      <c r="AG61" s="11"/>
      <c r="AH61" s="11"/>
      <c r="AI61" s="9"/>
      <c r="AJ61" s="11"/>
      <c r="AK61" s="11"/>
      <c r="AL61" s="9"/>
      <c r="AM61" s="11"/>
      <c r="AN61" s="11"/>
      <c r="AO61" s="9"/>
      <c r="AP61" s="11"/>
      <c r="AQ61" s="11"/>
      <c r="AR61" s="9"/>
      <c r="AS61" s="11"/>
      <c r="AT61" s="11"/>
      <c r="AU61" s="9"/>
      <c r="AV61" s="11"/>
      <c r="AW61" s="11"/>
      <c r="AX61" s="9"/>
      <c r="AY61" s="11"/>
      <c r="AZ61" s="11"/>
      <c r="BA61" s="9"/>
      <c r="BB61" s="11"/>
      <c r="BC61" s="11"/>
      <c r="BD61" s="9"/>
    </row>
    <row r="62" spans="3:56" x14ac:dyDescent="0.2">
      <c r="C62" s="11">
        <v>405.88</v>
      </c>
      <c r="D62" s="11">
        <v>16.510000000000002</v>
      </c>
      <c r="E62" s="9">
        <f t="shared" si="18"/>
        <v>6.9146756867500006E-2</v>
      </c>
      <c r="F62" s="11"/>
      <c r="G62" s="11"/>
      <c r="H62" s="9"/>
      <c r="I62" s="11"/>
      <c r="J62" s="11"/>
      <c r="K62" s="9"/>
      <c r="L62" s="11"/>
      <c r="M62" s="11"/>
      <c r="N62" s="9"/>
      <c r="O62" s="11"/>
      <c r="P62" s="11"/>
      <c r="Q62" s="9"/>
      <c r="R62" s="11"/>
      <c r="S62" s="11"/>
      <c r="T62" s="9"/>
      <c r="U62" s="11"/>
      <c r="V62" s="11"/>
      <c r="W62" s="9"/>
      <c r="X62" s="11"/>
      <c r="Y62" s="11"/>
      <c r="Z62" s="9"/>
      <c r="AA62" s="11"/>
      <c r="AB62" s="11"/>
      <c r="AC62" s="9"/>
      <c r="AD62" s="11"/>
      <c r="AE62" s="11"/>
      <c r="AF62" s="9"/>
      <c r="AG62" s="11"/>
      <c r="AH62" s="11"/>
      <c r="AI62" s="9"/>
      <c r="AJ62" s="11"/>
      <c r="AK62" s="11"/>
      <c r="AL62" s="9"/>
      <c r="AM62" s="11"/>
      <c r="AN62" s="11"/>
      <c r="AO62" s="9"/>
      <c r="AP62" s="11"/>
      <c r="AQ62" s="11"/>
      <c r="AR62" s="9"/>
      <c r="AS62" s="11"/>
      <c r="AT62" s="11"/>
      <c r="AU62" s="9"/>
      <c r="AV62" s="11"/>
      <c r="AW62" s="11"/>
      <c r="AX62" s="9"/>
      <c r="AY62" s="11"/>
      <c r="AZ62" s="11"/>
      <c r="BA62" s="9"/>
      <c r="BB62" s="11"/>
      <c r="BC62" s="11"/>
      <c r="BD62" s="9"/>
    </row>
    <row r="63" spans="3:56" x14ac:dyDescent="0.2">
      <c r="C63" s="11">
        <v>376.42</v>
      </c>
      <c r="D63" s="11">
        <v>18.45</v>
      </c>
      <c r="E63" s="9">
        <f t="shared" si="18"/>
        <v>8.008394315624999E-2</v>
      </c>
      <c r="F63" s="11"/>
      <c r="G63" s="11"/>
      <c r="H63" s="9"/>
      <c r="I63" s="11"/>
      <c r="J63" s="11"/>
      <c r="K63" s="9"/>
      <c r="L63" s="11"/>
      <c r="M63" s="11"/>
      <c r="N63" s="9"/>
      <c r="O63" s="11"/>
      <c r="P63" s="11"/>
      <c r="Q63" s="9"/>
      <c r="R63" s="11"/>
      <c r="S63" s="11"/>
      <c r="T63" s="9"/>
      <c r="U63" s="11"/>
      <c r="V63" s="11"/>
      <c r="W63" s="9"/>
      <c r="X63" s="11"/>
      <c r="Y63" s="11"/>
      <c r="Z63" s="9"/>
      <c r="AA63" s="11"/>
      <c r="AB63" s="11"/>
      <c r="AC63" s="9"/>
      <c r="AD63" s="11"/>
      <c r="AE63" s="11"/>
      <c r="AF63" s="9"/>
      <c r="AG63" s="11"/>
      <c r="AH63" s="11"/>
      <c r="AI63" s="9"/>
      <c r="AJ63" s="11"/>
      <c r="AK63" s="11"/>
      <c r="AL63" s="9"/>
      <c r="AM63" s="11"/>
      <c r="AN63" s="11"/>
      <c r="AO63" s="9"/>
      <c r="AP63" s="11"/>
      <c r="AQ63" s="11"/>
      <c r="AR63" s="9"/>
      <c r="AS63" s="11"/>
      <c r="AT63" s="11"/>
      <c r="AU63" s="9"/>
      <c r="AV63" s="11"/>
      <c r="AW63" s="11"/>
      <c r="AX63" s="9"/>
      <c r="AY63" s="11"/>
      <c r="AZ63" s="11"/>
      <c r="BA63" s="9"/>
      <c r="BB63" s="11"/>
      <c r="BC63" s="11"/>
      <c r="BD63" s="9"/>
    </row>
    <row r="64" spans="3:56" x14ac:dyDescent="0.2">
      <c r="C64" s="11">
        <v>359.08</v>
      </c>
      <c r="D64" s="11">
        <v>16.309999999999999</v>
      </c>
      <c r="E64" s="9">
        <f t="shared" si="18"/>
        <v>5.9700663242499986E-2</v>
      </c>
      <c r="F64" s="11"/>
      <c r="G64" s="11"/>
      <c r="H64" s="9"/>
      <c r="I64" s="11"/>
      <c r="J64" s="11"/>
      <c r="K64" s="9"/>
      <c r="L64" s="11"/>
      <c r="M64" s="11"/>
      <c r="N64" s="9"/>
      <c r="O64" s="11"/>
      <c r="P64" s="11"/>
      <c r="Q64" s="9"/>
      <c r="R64" s="11"/>
      <c r="S64" s="11"/>
      <c r="T64" s="9"/>
      <c r="U64" s="11"/>
      <c r="V64" s="11"/>
      <c r="W64" s="9"/>
      <c r="X64" s="11"/>
      <c r="Y64" s="11"/>
      <c r="Z64" s="9"/>
      <c r="AA64" s="11"/>
      <c r="AB64" s="11"/>
      <c r="AC64" s="9"/>
      <c r="AD64" s="11"/>
      <c r="AE64" s="11"/>
      <c r="AF64" s="9"/>
      <c r="AG64" s="11"/>
      <c r="AH64" s="11"/>
      <c r="AI64" s="9"/>
      <c r="AJ64" s="11"/>
      <c r="AK64" s="11"/>
      <c r="AL64" s="9"/>
      <c r="AM64" s="11"/>
      <c r="AN64" s="11"/>
      <c r="AO64" s="9"/>
      <c r="AP64" s="11"/>
      <c r="AQ64" s="11"/>
      <c r="AR64" s="9"/>
      <c r="AS64" s="11"/>
      <c r="AT64" s="11"/>
      <c r="AU64" s="9"/>
      <c r="AV64" s="11"/>
      <c r="AW64" s="11"/>
      <c r="AX64" s="9"/>
      <c r="AY64" s="11"/>
      <c r="AZ64" s="11"/>
      <c r="BA64" s="9"/>
      <c r="BB64" s="11"/>
      <c r="BC64" s="11"/>
      <c r="BD64" s="9"/>
    </row>
    <row r="65" spans="3:56" x14ac:dyDescent="0.2">
      <c r="C65" s="11">
        <v>274.95999999999998</v>
      </c>
      <c r="D65" s="11">
        <v>18.36</v>
      </c>
      <c r="E65" s="9">
        <f t="shared" si="18"/>
        <v>5.7928847759999999E-2</v>
      </c>
      <c r="F65" s="11"/>
      <c r="G65" s="11"/>
      <c r="H65" s="9"/>
      <c r="I65" s="11"/>
      <c r="J65" s="11"/>
      <c r="K65" s="9"/>
      <c r="L65" s="11"/>
      <c r="M65" s="11"/>
      <c r="N65" s="9"/>
      <c r="O65" s="11"/>
      <c r="P65" s="11"/>
      <c r="Q65" s="9"/>
      <c r="R65" s="11"/>
      <c r="S65" s="11"/>
      <c r="T65" s="9"/>
      <c r="U65" s="11"/>
      <c r="V65" s="11"/>
      <c r="W65" s="9"/>
      <c r="X65" s="11"/>
      <c r="Y65" s="11"/>
      <c r="Z65" s="9"/>
      <c r="AA65" s="11"/>
      <c r="AB65" s="11"/>
      <c r="AC65" s="9"/>
      <c r="AD65" s="11"/>
      <c r="AE65" s="11"/>
      <c r="AF65" s="9"/>
      <c r="AG65" s="11"/>
      <c r="AH65" s="11"/>
      <c r="AI65" s="9"/>
      <c r="AJ65" s="11"/>
      <c r="AK65" s="11"/>
      <c r="AL65" s="9"/>
      <c r="AM65" s="11"/>
      <c r="AN65" s="11"/>
      <c r="AO65" s="9"/>
      <c r="AP65" s="11"/>
      <c r="AQ65" s="11"/>
      <c r="AR65" s="9"/>
      <c r="AS65" s="11"/>
      <c r="AT65" s="11"/>
      <c r="AU65" s="9"/>
      <c r="AV65" s="11"/>
      <c r="AW65" s="11"/>
      <c r="AX65" s="9"/>
      <c r="AY65" s="11"/>
      <c r="AZ65" s="11"/>
      <c r="BA65" s="9"/>
      <c r="BB65" s="11"/>
      <c r="BC65" s="11"/>
      <c r="BD65" s="9"/>
    </row>
    <row r="66" spans="3:56" x14ac:dyDescent="0.2">
      <c r="C66" s="11">
        <v>429.48</v>
      </c>
      <c r="D66" s="11">
        <v>16.489999999999998</v>
      </c>
      <c r="E66" s="9">
        <f t="shared" si="18"/>
        <v>7.2990152842499989E-2</v>
      </c>
      <c r="F66" s="11"/>
      <c r="G66" s="11"/>
      <c r="H66" s="9"/>
      <c r="I66" s="11"/>
      <c r="J66" s="11"/>
      <c r="K66" s="9"/>
      <c r="L66" s="11"/>
      <c r="M66" s="11"/>
      <c r="N66" s="9"/>
      <c r="O66" s="11"/>
      <c r="P66" s="11"/>
      <c r="Q66" s="9"/>
      <c r="R66" s="11"/>
      <c r="S66" s="11"/>
      <c r="T66" s="9"/>
      <c r="U66" s="11"/>
      <c r="V66" s="11"/>
      <c r="W66" s="9"/>
      <c r="X66" s="11"/>
      <c r="Y66" s="11"/>
      <c r="Z66" s="9"/>
      <c r="AA66" s="11"/>
      <c r="AB66" s="11"/>
      <c r="AC66" s="9"/>
      <c r="AD66" s="11"/>
      <c r="AE66" s="11"/>
      <c r="AF66" s="9"/>
      <c r="AG66" s="11"/>
      <c r="AH66" s="11"/>
      <c r="AI66" s="9"/>
      <c r="AJ66" s="11"/>
      <c r="AK66" s="11"/>
      <c r="AL66" s="9"/>
      <c r="AM66" s="11"/>
      <c r="AN66" s="11"/>
      <c r="AO66" s="9"/>
      <c r="AP66" s="11"/>
      <c r="AQ66" s="11"/>
      <c r="AR66" s="9"/>
      <c r="AS66" s="11"/>
      <c r="AT66" s="11"/>
      <c r="AU66" s="9"/>
      <c r="AV66" s="11"/>
      <c r="AW66" s="11"/>
      <c r="AX66" s="9"/>
      <c r="AY66" s="11"/>
      <c r="AZ66" s="11"/>
      <c r="BA66" s="9"/>
      <c r="BB66" s="11"/>
      <c r="BC66" s="11"/>
      <c r="BD66" s="9"/>
    </row>
    <row r="67" spans="3:56" x14ac:dyDescent="0.2">
      <c r="C67" s="11">
        <v>360.12</v>
      </c>
      <c r="D67" s="11">
        <v>17.079999999999998</v>
      </c>
      <c r="E67" s="9">
        <f t="shared" si="18"/>
        <v>6.5660319479999993E-2</v>
      </c>
      <c r="F67" s="11"/>
      <c r="G67" s="11"/>
      <c r="H67" s="9"/>
      <c r="I67" s="11"/>
      <c r="J67" s="11"/>
      <c r="K67" s="9"/>
      <c r="L67" s="11"/>
      <c r="M67" s="11"/>
      <c r="N67" s="9"/>
      <c r="O67" s="11"/>
      <c r="P67" s="11"/>
      <c r="Q67" s="9"/>
      <c r="R67" s="11"/>
      <c r="S67" s="11"/>
      <c r="T67" s="9"/>
      <c r="U67" s="11"/>
      <c r="V67" s="11"/>
      <c r="W67" s="9"/>
      <c r="X67" s="11"/>
      <c r="Y67" s="11"/>
      <c r="Z67" s="9"/>
      <c r="AA67" s="11"/>
      <c r="AB67" s="11"/>
      <c r="AC67" s="9"/>
      <c r="AD67" s="11"/>
      <c r="AE67" s="11"/>
      <c r="AF67" s="9"/>
      <c r="AG67" s="11"/>
      <c r="AH67" s="11"/>
      <c r="AI67" s="9"/>
      <c r="AJ67" s="11"/>
      <c r="AK67" s="11"/>
      <c r="AL67" s="9"/>
      <c r="AM67" s="11"/>
      <c r="AN67" s="11"/>
      <c r="AO67" s="9"/>
      <c r="AP67" s="11"/>
      <c r="AQ67" s="11"/>
      <c r="AR67" s="9"/>
      <c r="AS67" s="11"/>
      <c r="AT67" s="11"/>
      <c r="AU67" s="9"/>
      <c r="AV67" s="11"/>
      <c r="AW67" s="11"/>
      <c r="AX67" s="9"/>
      <c r="AY67" s="11"/>
      <c r="AZ67" s="11"/>
      <c r="BA67" s="9"/>
      <c r="BB67" s="11"/>
      <c r="BC67" s="11"/>
      <c r="BD67" s="9"/>
    </row>
    <row r="68" spans="3:56" x14ac:dyDescent="0.2">
      <c r="C68" s="11">
        <v>381.58</v>
      </c>
      <c r="D68" s="11">
        <v>14.73</v>
      </c>
      <c r="E68" s="9">
        <f t="shared" si="18"/>
        <v>5.1745324488750001E-2</v>
      </c>
      <c r="F68" s="11"/>
      <c r="G68" s="11"/>
      <c r="H68" s="9"/>
      <c r="I68" s="11"/>
      <c r="J68" s="11"/>
      <c r="K68" s="9"/>
      <c r="L68" s="11"/>
      <c r="M68" s="11"/>
      <c r="N68" s="9"/>
      <c r="O68" s="11"/>
      <c r="P68" s="11"/>
      <c r="Q68" s="9"/>
      <c r="R68" s="11"/>
      <c r="S68" s="11"/>
      <c r="T68" s="9"/>
      <c r="U68" s="11"/>
      <c r="V68" s="11"/>
      <c r="W68" s="9"/>
      <c r="X68" s="11"/>
      <c r="Y68" s="11"/>
      <c r="Z68" s="9"/>
      <c r="AA68" s="11"/>
      <c r="AB68" s="11"/>
      <c r="AC68" s="9"/>
      <c r="AD68" s="11"/>
      <c r="AE68" s="11"/>
      <c r="AF68" s="9"/>
      <c r="AG68" s="11"/>
      <c r="AH68" s="11"/>
      <c r="AI68" s="9"/>
      <c r="AJ68" s="11"/>
      <c r="AK68" s="11"/>
      <c r="AL68" s="9"/>
      <c r="AM68" s="11"/>
      <c r="AN68" s="11"/>
      <c r="AO68" s="9"/>
      <c r="AP68" s="11"/>
      <c r="AQ68" s="11"/>
      <c r="AR68" s="9"/>
      <c r="AS68" s="11"/>
      <c r="AT68" s="11"/>
      <c r="AU68" s="9"/>
      <c r="AV68" s="11"/>
      <c r="AW68" s="11"/>
      <c r="AX68" s="9"/>
      <c r="AY68" s="11"/>
      <c r="AZ68" s="11"/>
      <c r="BA68" s="9"/>
      <c r="BB68" s="11"/>
      <c r="BC68" s="11"/>
      <c r="BD68" s="9"/>
    </row>
    <row r="69" spans="3:56" x14ac:dyDescent="0.2">
      <c r="C69" s="11"/>
      <c r="D69" s="11"/>
      <c r="E69" s="9"/>
      <c r="F69" s="11"/>
      <c r="G69" s="11"/>
      <c r="H69" s="9"/>
      <c r="I69" s="11"/>
      <c r="J69" s="11"/>
      <c r="K69" s="9"/>
      <c r="L69" s="11"/>
      <c r="M69" s="11"/>
      <c r="N69" s="9"/>
      <c r="O69" s="11"/>
      <c r="P69" s="11"/>
      <c r="Q69" s="9"/>
      <c r="R69" s="11"/>
      <c r="S69" s="11"/>
      <c r="T69" s="9"/>
      <c r="U69" s="11"/>
      <c r="V69" s="11"/>
      <c r="W69" s="9"/>
      <c r="X69" s="11"/>
      <c r="Y69" s="11"/>
      <c r="Z69" s="9"/>
      <c r="AA69" s="11"/>
      <c r="AB69" s="11"/>
      <c r="AC69" s="9"/>
      <c r="AD69" s="11"/>
      <c r="AE69" s="11"/>
      <c r="AF69" s="9"/>
      <c r="AG69" s="11"/>
      <c r="AH69" s="11"/>
      <c r="AI69" s="9"/>
      <c r="AJ69" s="11"/>
      <c r="AK69" s="11"/>
      <c r="AL69" s="9"/>
      <c r="AM69" s="11"/>
      <c r="AN69" s="11"/>
      <c r="AO69" s="9"/>
      <c r="AP69" s="11"/>
      <c r="AQ69" s="11"/>
      <c r="AR69" s="9"/>
      <c r="AS69" s="11"/>
      <c r="AT69" s="11"/>
      <c r="AU69" s="9"/>
      <c r="AV69" s="11"/>
      <c r="AW69" s="11"/>
      <c r="AX69" s="9"/>
      <c r="AY69" s="11"/>
      <c r="AZ69" s="11"/>
      <c r="BA69" s="9"/>
      <c r="BB69" s="11"/>
      <c r="BC69" s="11"/>
      <c r="BD69" s="9"/>
    </row>
    <row r="70" spans="3:56" x14ac:dyDescent="0.2">
      <c r="C70" s="11"/>
      <c r="D70" s="11"/>
      <c r="E70" s="9"/>
      <c r="F70" s="11"/>
      <c r="G70" s="11"/>
      <c r="H70" s="9"/>
      <c r="I70" s="11"/>
      <c r="J70" s="11"/>
      <c r="K70" s="9"/>
      <c r="L70" s="11"/>
      <c r="M70" s="11"/>
      <c r="N70" s="9"/>
      <c r="O70" s="11"/>
      <c r="P70" s="11"/>
      <c r="Q70" s="9"/>
      <c r="R70" s="11"/>
      <c r="S70" s="11"/>
      <c r="T70" s="9"/>
      <c r="U70" s="11"/>
      <c r="V70" s="11"/>
      <c r="W70" s="9"/>
      <c r="X70" s="11"/>
      <c r="Y70" s="11"/>
      <c r="Z70" s="9"/>
      <c r="AA70" s="11"/>
      <c r="AB70" s="11"/>
      <c r="AC70" s="9"/>
      <c r="AD70" s="11"/>
      <c r="AE70" s="11"/>
      <c r="AF70" s="9"/>
      <c r="AG70" s="11"/>
      <c r="AH70" s="11"/>
      <c r="AI70" s="9"/>
      <c r="AJ70" s="11"/>
      <c r="AK70" s="11"/>
      <c r="AL70" s="9"/>
      <c r="AM70" s="11"/>
      <c r="AN70" s="11"/>
      <c r="AO70" s="9"/>
      <c r="AP70" s="11"/>
      <c r="AQ70" s="11"/>
      <c r="AR70" s="9"/>
      <c r="AS70" s="11"/>
      <c r="AT70" s="11"/>
      <c r="AU70" s="9"/>
      <c r="AV70" s="11"/>
      <c r="AW70" s="11"/>
      <c r="AX70" s="9"/>
      <c r="AY70" s="11"/>
      <c r="AZ70" s="11"/>
      <c r="BA70" s="9"/>
      <c r="BB70" s="11"/>
      <c r="BC70" s="11"/>
      <c r="BD70" s="9"/>
    </row>
    <row r="71" spans="3:56" x14ac:dyDescent="0.2">
      <c r="C71" s="11"/>
      <c r="D71" s="11"/>
      <c r="E71" s="9"/>
      <c r="F71" s="11"/>
      <c r="G71" s="11"/>
      <c r="H71" s="9"/>
      <c r="I71" s="11"/>
      <c r="J71" s="11"/>
      <c r="K71" s="9"/>
      <c r="L71" s="11"/>
      <c r="M71" s="11"/>
      <c r="N71" s="9"/>
      <c r="O71" s="11"/>
      <c r="P71" s="11"/>
      <c r="Q71" s="9"/>
      <c r="R71" s="11"/>
      <c r="S71" s="11"/>
      <c r="T71" s="9"/>
      <c r="U71" s="11"/>
      <c r="V71" s="11"/>
      <c r="W71" s="9"/>
      <c r="X71" s="11"/>
      <c r="Y71" s="11"/>
      <c r="Z71" s="9"/>
      <c r="AA71" s="11"/>
      <c r="AB71" s="11"/>
      <c r="AC71" s="9"/>
      <c r="AD71" s="11"/>
      <c r="AE71" s="11"/>
      <c r="AF71" s="9"/>
      <c r="AG71" s="11"/>
      <c r="AH71" s="11"/>
      <c r="AI71" s="9"/>
      <c r="AJ71" s="11"/>
      <c r="AK71" s="11"/>
      <c r="AL71" s="9"/>
      <c r="AM71" s="11"/>
      <c r="AN71" s="11"/>
      <c r="AO71" s="9"/>
      <c r="AP71" s="11"/>
      <c r="AQ71" s="11"/>
      <c r="AR71" s="9"/>
      <c r="AS71" s="11"/>
      <c r="AT71" s="11"/>
      <c r="AU71" s="9"/>
      <c r="AV71" s="11"/>
      <c r="AW71" s="11"/>
      <c r="AX71" s="9"/>
      <c r="AY71" s="11"/>
      <c r="AZ71" s="11"/>
      <c r="BA71" s="9"/>
      <c r="BB71" s="11"/>
      <c r="BC71" s="11"/>
      <c r="BD71" s="9"/>
    </row>
    <row r="72" spans="3:56" x14ac:dyDescent="0.2">
      <c r="C72" s="11"/>
      <c r="D72" s="11"/>
      <c r="E72" s="9"/>
      <c r="F72" s="11"/>
      <c r="G72" s="11"/>
      <c r="H72" s="9"/>
      <c r="I72" s="11"/>
      <c r="J72" s="11"/>
      <c r="K72" s="9"/>
      <c r="L72" s="11"/>
      <c r="M72" s="11"/>
      <c r="N72" s="9"/>
      <c r="O72" s="11"/>
      <c r="P72" s="11"/>
      <c r="Q72" s="9"/>
      <c r="R72" s="11"/>
      <c r="S72" s="11"/>
      <c r="T72" s="9"/>
      <c r="U72" s="11"/>
      <c r="V72" s="11"/>
      <c r="W72" s="9"/>
      <c r="X72" s="11"/>
      <c r="Y72" s="11"/>
      <c r="Z72" s="9"/>
      <c r="AA72" s="11"/>
      <c r="AB72" s="11"/>
      <c r="AC72" s="9"/>
      <c r="AD72" s="11"/>
      <c r="AE72" s="11"/>
      <c r="AF72" s="9"/>
      <c r="AG72" s="11"/>
      <c r="AH72" s="11"/>
      <c r="AI72" s="9"/>
      <c r="AJ72" s="11"/>
      <c r="AK72" s="11"/>
      <c r="AL72" s="9"/>
      <c r="AM72" s="11"/>
      <c r="AN72" s="11"/>
      <c r="AO72" s="9"/>
      <c r="AP72" s="11"/>
      <c r="AQ72" s="11"/>
      <c r="AR72" s="9"/>
      <c r="AS72" s="11"/>
      <c r="AT72" s="11"/>
      <c r="AU72" s="9"/>
      <c r="AV72" s="11"/>
      <c r="AW72" s="11"/>
      <c r="AX72" s="9"/>
      <c r="AY72" s="11"/>
      <c r="AZ72" s="11"/>
      <c r="BA72" s="9"/>
      <c r="BB72" s="11"/>
      <c r="BC72" s="11"/>
      <c r="BD72" s="9"/>
    </row>
    <row r="73" spans="3:56" x14ac:dyDescent="0.2">
      <c r="E73" s="9"/>
      <c r="H73" s="9"/>
      <c r="K73" s="9"/>
      <c r="N73" s="9"/>
      <c r="Q73" s="9"/>
      <c r="T73" s="9"/>
      <c r="W73" s="9"/>
      <c r="Z73" s="9"/>
      <c r="AC73" s="9"/>
      <c r="AF73" s="9"/>
      <c r="AI73" s="9"/>
      <c r="AL73" s="9"/>
      <c r="AO73" s="9"/>
      <c r="AR73" s="9"/>
      <c r="AU73" s="9"/>
      <c r="AX73" s="9"/>
      <c r="BA73" s="9"/>
      <c r="BD73" s="9"/>
    </row>
    <row r="74" spans="3:56" x14ac:dyDescent="0.2">
      <c r="E74" s="9"/>
      <c r="H74" s="9"/>
      <c r="K74" s="9"/>
      <c r="N74" s="9"/>
      <c r="Q74" s="9"/>
      <c r="T74" s="9"/>
      <c r="W74" s="9"/>
      <c r="Z74" s="9"/>
      <c r="AC74" s="9"/>
      <c r="AF74" s="9"/>
      <c r="AI74" s="9"/>
      <c r="AL74" s="9"/>
      <c r="AO74" s="9"/>
      <c r="AR74" s="9"/>
      <c r="AU74" s="9"/>
      <c r="AX74" s="9"/>
      <c r="BA74" s="9"/>
      <c r="BD74" s="9"/>
    </row>
    <row r="75" spans="3:56" x14ac:dyDescent="0.2">
      <c r="E75" s="9"/>
      <c r="H75" s="9"/>
      <c r="K75" s="9"/>
      <c r="N75" s="9"/>
      <c r="Q75" s="9"/>
      <c r="T75" s="9"/>
      <c r="W75" s="9"/>
      <c r="Z75" s="9"/>
      <c r="AC75" s="9"/>
      <c r="AF75" s="9"/>
      <c r="AI75" s="9"/>
      <c r="AL75" s="9"/>
      <c r="AO75" s="9"/>
      <c r="AR75" s="9"/>
      <c r="AU75" s="9"/>
      <c r="AX75" s="9"/>
      <c r="BA75" s="9"/>
      <c r="BD75" s="9"/>
    </row>
    <row r="76" spans="3:56" x14ac:dyDescent="0.2">
      <c r="E76" s="9"/>
      <c r="H76" s="9"/>
      <c r="K76" s="9"/>
      <c r="N76" s="9"/>
      <c r="Q76" s="9"/>
      <c r="T76" s="9"/>
      <c r="W76" s="9"/>
      <c r="Z76" s="9"/>
      <c r="AC76" s="9"/>
      <c r="AF76" s="9"/>
      <c r="AI76" s="9"/>
      <c r="AL76" s="9"/>
      <c r="AO76" s="9"/>
      <c r="AR76" s="9"/>
      <c r="AU76" s="9"/>
      <c r="AX76" s="9"/>
      <c r="BA76" s="9"/>
      <c r="BD76" s="9"/>
    </row>
    <row r="77" spans="3:56" x14ac:dyDescent="0.2">
      <c r="E77" s="9"/>
      <c r="H77" s="9"/>
      <c r="K77" s="9"/>
      <c r="N77" s="9"/>
      <c r="Q77" s="9"/>
      <c r="T77" s="9"/>
      <c r="W77" s="9"/>
      <c r="Z77" s="9"/>
      <c r="AC77" s="9"/>
      <c r="AF77" s="9"/>
      <c r="AI77" s="9"/>
      <c r="AL77" s="9"/>
      <c r="AO77" s="9"/>
      <c r="AR77" s="9"/>
      <c r="AU77" s="9"/>
      <c r="AX77" s="9"/>
      <c r="BA77" s="9"/>
      <c r="BD77" s="9"/>
    </row>
    <row r="78" spans="3:56" x14ac:dyDescent="0.2">
      <c r="E78" s="9"/>
      <c r="H78" s="9"/>
      <c r="K78" s="9"/>
      <c r="N78" s="9"/>
      <c r="Q78" s="9"/>
      <c r="T78" s="9"/>
      <c r="W78" s="9"/>
      <c r="Z78" s="9"/>
      <c r="AC78" s="9"/>
      <c r="AF78" s="9"/>
      <c r="AI78" s="9"/>
      <c r="AL78" s="9"/>
      <c r="AO78" s="9"/>
      <c r="AR78" s="9"/>
      <c r="AU78" s="9"/>
      <c r="AX78" s="9"/>
      <c r="BA78" s="9"/>
      <c r="BD78" s="9"/>
    </row>
    <row r="79" spans="3:56" x14ac:dyDescent="0.2">
      <c r="E79" s="9"/>
      <c r="H79" s="9"/>
      <c r="K79" s="9"/>
      <c r="N79" s="9"/>
      <c r="Q79" s="9"/>
      <c r="T79" s="9"/>
      <c r="W79" s="9"/>
      <c r="Z79" s="9"/>
      <c r="AC79" s="9"/>
      <c r="AF79" s="9"/>
      <c r="AI79" s="9"/>
      <c r="AL79" s="9"/>
      <c r="AO79" s="9"/>
      <c r="AR79" s="9"/>
      <c r="AU79" s="9"/>
      <c r="AX79" s="9"/>
      <c r="BA79" s="9"/>
      <c r="BD79" s="9"/>
    </row>
    <row r="80" spans="3:56" x14ac:dyDescent="0.2">
      <c r="E80" s="9"/>
      <c r="H80" s="9"/>
      <c r="K80" s="9"/>
      <c r="N80" s="9"/>
      <c r="Q80" s="9"/>
      <c r="T80" s="9"/>
      <c r="W80" s="9"/>
      <c r="Z80" s="9"/>
      <c r="AC80" s="9"/>
      <c r="AF80" s="9"/>
      <c r="AI80" s="9"/>
      <c r="AL80" s="9"/>
      <c r="AO80" s="9"/>
      <c r="AR80" s="9"/>
      <c r="AU80" s="9"/>
      <c r="AX80" s="9"/>
      <c r="BA80" s="9"/>
      <c r="BD80" s="9"/>
    </row>
    <row r="81" spans="5:56" x14ac:dyDescent="0.2">
      <c r="E81" s="9"/>
      <c r="H81" s="9"/>
      <c r="K81" s="9"/>
      <c r="N81" s="9"/>
      <c r="Q81" s="9"/>
      <c r="T81" s="9"/>
      <c r="W81" s="9"/>
      <c r="Z81" s="9"/>
      <c r="AC81" s="9"/>
      <c r="AF81" s="9"/>
      <c r="AI81" s="9"/>
      <c r="AL81" s="9"/>
      <c r="AO81" s="9"/>
      <c r="AR81" s="9"/>
      <c r="AU81" s="9"/>
      <c r="AX81" s="9"/>
      <c r="BA81" s="9"/>
      <c r="BD81" s="9"/>
    </row>
    <row r="82" spans="5:56" x14ac:dyDescent="0.2">
      <c r="E82" s="9"/>
      <c r="H82" s="9"/>
      <c r="K82" s="9"/>
      <c r="N82" s="9"/>
      <c r="Q82" s="9"/>
      <c r="T82" s="9"/>
      <c r="W82" s="9"/>
      <c r="Z82" s="9"/>
      <c r="AC82" s="9"/>
      <c r="AF82" s="9"/>
      <c r="AI82" s="9"/>
      <c r="AL82" s="9"/>
      <c r="AO82" s="9"/>
      <c r="AR82" s="9"/>
      <c r="AU82" s="9"/>
      <c r="AX82" s="9"/>
      <c r="BA82" s="9"/>
      <c r="BD82" s="9"/>
    </row>
    <row r="83" spans="5:56" x14ac:dyDescent="0.2">
      <c r="E83" s="9"/>
      <c r="H83" s="9"/>
      <c r="K83" s="9"/>
      <c r="N83" s="9"/>
      <c r="Q83" s="9"/>
      <c r="T83" s="9"/>
      <c r="W83" s="9"/>
      <c r="Z83" s="9"/>
      <c r="AC83" s="9"/>
      <c r="AF83" s="9"/>
      <c r="AI83" s="9"/>
      <c r="AL83" s="9"/>
      <c r="AO83" s="9"/>
      <c r="AR83" s="9"/>
      <c r="AU83" s="9"/>
      <c r="AX83" s="9"/>
      <c r="BA83" s="9"/>
      <c r="BD83" s="9"/>
    </row>
    <row r="84" spans="5:56" x14ac:dyDescent="0.2">
      <c r="E84" s="9"/>
      <c r="H84" s="9"/>
      <c r="K84" s="9"/>
      <c r="N84" s="9"/>
      <c r="Q84" s="9"/>
      <c r="T84" s="9"/>
      <c r="W84" s="9"/>
      <c r="Z84" s="9"/>
      <c r="AC84" s="9"/>
      <c r="AF84" s="9"/>
      <c r="AI84" s="9"/>
      <c r="AL84" s="9"/>
      <c r="AO84" s="9"/>
      <c r="AR84" s="9"/>
      <c r="AU84" s="9"/>
      <c r="AX84" s="9"/>
      <c r="BA84" s="9"/>
      <c r="BD84" s="9"/>
    </row>
    <row r="85" spans="5:56" x14ac:dyDescent="0.2">
      <c r="E85" s="9"/>
      <c r="H85" s="9"/>
      <c r="K85" s="9"/>
      <c r="N85" s="9"/>
      <c r="Q85" s="9"/>
      <c r="T85" s="9"/>
      <c r="W85" s="9"/>
      <c r="Z85" s="9"/>
      <c r="AC85" s="9"/>
      <c r="AF85" s="9"/>
      <c r="AI85" s="9"/>
      <c r="AL85" s="9"/>
      <c r="AO85" s="9"/>
      <c r="AR85" s="9"/>
      <c r="AU85" s="9"/>
      <c r="AX85" s="9"/>
      <c r="BA85" s="9"/>
      <c r="BD85" s="9"/>
    </row>
    <row r="86" spans="5:56" x14ac:dyDescent="0.2">
      <c r="E86" s="9"/>
      <c r="H86" s="9"/>
      <c r="K86" s="9"/>
      <c r="N86" s="9"/>
      <c r="Q86" s="9"/>
      <c r="T86" s="9"/>
      <c r="W86" s="9"/>
      <c r="Z86" s="9"/>
      <c r="AC86" s="9"/>
      <c r="AF86" s="9"/>
      <c r="AI86" s="9"/>
      <c r="AL86" s="9"/>
      <c r="AO86" s="9"/>
      <c r="AR86" s="9"/>
      <c r="AU86" s="9"/>
      <c r="AX86" s="9"/>
      <c r="BA86" s="9"/>
      <c r="BD86" s="9"/>
    </row>
    <row r="87" spans="5:56" x14ac:dyDescent="0.2">
      <c r="E87" s="9"/>
      <c r="H87" s="9"/>
      <c r="K87" s="9"/>
      <c r="N87" s="9"/>
      <c r="Q87" s="9"/>
      <c r="T87" s="9"/>
      <c r="W87" s="9"/>
      <c r="Z87" s="9"/>
      <c r="AC87" s="9"/>
      <c r="AF87" s="9"/>
      <c r="AI87" s="9"/>
      <c r="AL87" s="9"/>
      <c r="AO87" s="9"/>
      <c r="AR87" s="9"/>
      <c r="AU87" s="9"/>
      <c r="AX87" s="9"/>
      <c r="BA87" s="9"/>
      <c r="BD87" s="9"/>
    </row>
    <row r="88" spans="5:56" x14ac:dyDescent="0.2">
      <c r="E88" s="9"/>
      <c r="H88" s="9"/>
      <c r="K88" s="9"/>
      <c r="N88" s="9"/>
      <c r="Q88" s="9"/>
      <c r="T88" s="9"/>
      <c r="W88" s="9"/>
      <c r="Z88" s="9"/>
      <c r="AC88" s="9"/>
      <c r="AF88" s="9"/>
      <c r="AI88" s="9"/>
      <c r="AL88" s="9"/>
      <c r="AO88" s="9"/>
      <c r="AR88" s="9"/>
      <c r="AU88" s="9"/>
      <c r="AX88" s="9"/>
      <c r="BA88" s="9"/>
      <c r="BD88" s="9"/>
    </row>
    <row r="89" spans="5:56" x14ac:dyDescent="0.2">
      <c r="E89" s="9"/>
      <c r="H89" s="9"/>
      <c r="K89" s="9"/>
      <c r="N89" s="9"/>
      <c r="Q89" s="9"/>
      <c r="T89" s="9"/>
      <c r="W89" s="9"/>
      <c r="Z89" s="9"/>
      <c r="AC89" s="9"/>
      <c r="AF89" s="9"/>
      <c r="AI89" s="9"/>
      <c r="AL89" s="9"/>
      <c r="AO89" s="9"/>
      <c r="AR89" s="9"/>
      <c r="AU89" s="9"/>
      <c r="AX89" s="9"/>
      <c r="BA89" s="9"/>
      <c r="BD89" s="9"/>
    </row>
    <row r="90" spans="5:56" x14ac:dyDescent="0.2">
      <c r="E90" s="9"/>
      <c r="H90" s="9"/>
      <c r="K90" s="9"/>
      <c r="N90" s="9"/>
      <c r="Q90" s="9"/>
      <c r="T90" s="9"/>
      <c r="W90" s="9"/>
      <c r="Z90" s="9"/>
      <c r="AC90" s="9"/>
      <c r="AF90" s="9"/>
      <c r="AI90" s="9"/>
      <c r="AL90" s="9"/>
      <c r="AO90" s="9"/>
      <c r="AR90" s="9"/>
      <c r="AU90" s="9"/>
      <c r="AX90" s="9"/>
      <c r="BA90" s="9"/>
      <c r="BD90" s="9"/>
    </row>
    <row r="91" spans="5:56" x14ac:dyDescent="0.2">
      <c r="E91" s="9"/>
      <c r="H91" s="9"/>
      <c r="K91" s="9"/>
      <c r="N91" s="9"/>
      <c r="Q91" s="9"/>
      <c r="T91" s="9"/>
      <c r="W91" s="9"/>
      <c r="Z91" s="9"/>
      <c r="AC91" s="9"/>
      <c r="AF91" s="9"/>
      <c r="AI91" s="9"/>
      <c r="AL91" s="9"/>
      <c r="AO91" s="9"/>
      <c r="AR91" s="9"/>
      <c r="AU91" s="9"/>
      <c r="AX91" s="9"/>
      <c r="BA91" s="9"/>
      <c r="BD91" s="9"/>
    </row>
    <row r="92" spans="5:56" x14ac:dyDescent="0.2">
      <c r="E92" s="9"/>
      <c r="H92" s="9"/>
      <c r="K92" s="9"/>
      <c r="N92" s="9"/>
      <c r="Q92" s="9"/>
      <c r="T92" s="9"/>
      <c r="W92" s="9"/>
      <c r="Z92" s="9"/>
      <c r="AC92" s="9"/>
      <c r="AF92" s="9"/>
      <c r="AI92" s="9"/>
      <c r="AL92" s="9"/>
      <c r="AO92" s="9"/>
      <c r="AR92" s="9"/>
      <c r="AU92" s="9"/>
      <c r="AX92" s="9"/>
      <c r="BA92" s="9"/>
      <c r="BD92" s="9"/>
    </row>
    <row r="93" spans="5:56" x14ac:dyDescent="0.2">
      <c r="E93" s="9"/>
      <c r="H93" s="9"/>
      <c r="K93" s="9"/>
      <c r="N93" s="9"/>
      <c r="Q93" s="9"/>
      <c r="T93" s="9"/>
      <c r="W93" s="9"/>
      <c r="Z93" s="9"/>
      <c r="AC93" s="9"/>
      <c r="AF93" s="9"/>
      <c r="AI93" s="9"/>
      <c r="AL93" s="9"/>
      <c r="AO93" s="9"/>
      <c r="AR93" s="9"/>
      <c r="AU93" s="9"/>
      <c r="AX93" s="9"/>
      <c r="BA93" s="9"/>
      <c r="BD93" s="9"/>
    </row>
    <row r="94" spans="5:56" x14ac:dyDescent="0.2">
      <c r="E94" s="9"/>
      <c r="H94" s="9"/>
      <c r="K94" s="9"/>
      <c r="N94" s="9"/>
      <c r="Q94" s="9"/>
      <c r="T94" s="9"/>
      <c r="W94" s="9"/>
      <c r="Z94" s="9"/>
      <c r="AC94" s="9"/>
      <c r="AF94" s="9"/>
      <c r="AI94" s="9"/>
      <c r="AL94" s="9"/>
      <c r="AO94" s="9"/>
      <c r="AR94" s="9"/>
      <c r="AU94" s="9"/>
      <c r="AX94" s="9"/>
      <c r="BA94" s="9"/>
      <c r="BD94" s="9"/>
    </row>
    <row r="95" spans="5:56" x14ac:dyDescent="0.2">
      <c r="E95" s="9"/>
      <c r="H95" s="9"/>
      <c r="K95" s="9"/>
      <c r="N95" s="9"/>
      <c r="Q95" s="9"/>
      <c r="T95" s="9"/>
      <c r="W95" s="9"/>
      <c r="Z95" s="9"/>
      <c r="AC95" s="9"/>
      <c r="AF95" s="9"/>
      <c r="AI95" s="9"/>
      <c r="AL95" s="9"/>
      <c r="AO95" s="9"/>
      <c r="AR95" s="9"/>
      <c r="AU95" s="9"/>
      <c r="AX95" s="9"/>
      <c r="BA95" s="9"/>
      <c r="BD95" s="9"/>
    </row>
    <row r="96" spans="5:56" x14ac:dyDescent="0.2">
      <c r="E96" s="9"/>
      <c r="H96" s="9"/>
      <c r="K96" s="9"/>
      <c r="N96" s="9"/>
      <c r="Q96" s="9"/>
      <c r="T96" s="9"/>
      <c r="W96" s="9"/>
      <c r="Z96" s="9"/>
      <c r="AC96" s="9"/>
      <c r="AF96" s="9"/>
      <c r="AI96" s="9"/>
      <c r="AL96" s="9"/>
      <c r="AO96" s="9"/>
      <c r="AR96" s="9"/>
      <c r="AU96" s="9"/>
      <c r="AX96" s="9"/>
      <c r="BA96" s="9"/>
      <c r="BD96" s="9"/>
    </row>
    <row r="97" spans="5:56" x14ac:dyDescent="0.2">
      <c r="E97" s="9"/>
      <c r="H97" s="9"/>
      <c r="K97" s="9"/>
      <c r="N97" s="9"/>
      <c r="Q97" s="9"/>
      <c r="T97" s="9"/>
      <c r="W97" s="9"/>
      <c r="Z97" s="9"/>
      <c r="AC97" s="9"/>
      <c r="AF97" s="9"/>
      <c r="AI97" s="9"/>
      <c r="AL97" s="9"/>
      <c r="AO97" s="9"/>
      <c r="AR97" s="9"/>
      <c r="AU97" s="9"/>
      <c r="AX97" s="9"/>
      <c r="BA97" s="9"/>
      <c r="BD97" s="9"/>
    </row>
    <row r="98" spans="5:56" x14ac:dyDescent="0.2">
      <c r="E98" s="9"/>
      <c r="H98" s="9"/>
      <c r="K98" s="9"/>
      <c r="N98" s="9"/>
      <c r="Q98" s="9"/>
      <c r="T98" s="9"/>
      <c r="W98" s="9"/>
      <c r="Z98" s="9"/>
      <c r="AC98" s="9"/>
      <c r="AF98" s="9"/>
      <c r="AI98" s="9"/>
      <c r="AL98" s="9"/>
      <c r="AO98" s="9"/>
      <c r="AR98" s="9"/>
      <c r="AU98" s="9"/>
      <c r="AX98" s="9"/>
      <c r="BA98" s="9"/>
      <c r="BD98" s="9"/>
    </row>
    <row r="99" spans="5:56" x14ac:dyDescent="0.2">
      <c r="E99" s="9"/>
      <c r="H99" s="9"/>
      <c r="K99" s="9"/>
      <c r="N99" s="9"/>
      <c r="Q99" s="9"/>
      <c r="T99" s="9"/>
      <c r="W99" s="9"/>
      <c r="Z99" s="9"/>
      <c r="AC99" s="9"/>
      <c r="AF99" s="9"/>
      <c r="AI99" s="9"/>
      <c r="AL99" s="9"/>
      <c r="AO99" s="9"/>
      <c r="AR99" s="9"/>
      <c r="AU99" s="9"/>
      <c r="AX99" s="9"/>
      <c r="BA99" s="9"/>
      <c r="BD99" s="9"/>
    </row>
    <row r="100" spans="5:56" x14ac:dyDescent="0.2">
      <c r="E100" s="9"/>
      <c r="H100" s="9"/>
      <c r="K100" s="9"/>
      <c r="N100" s="9"/>
      <c r="Q100" s="9"/>
      <c r="T100" s="9"/>
      <c r="W100" s="9"/>
      <c r="Z100" s="9"/>
      <c r="AC100" s="9"/>
      <c r="AF100" s="9"/>
      <c r="AI100" s="9"/>
      <c r="AL100" s="9"/>
      <c r="AO100" s="9"/>
      <c r="AR100" s="9"/>
      <c r="AU100" s="9"/>
      <c r="AX100" s="9"/>
      <c r="BA100" s="9"/>
      <c r="BD100" s="9"/>
    </row>
    <row r="101" spans="5:56" x14ac:dyDescent="0.2">
      <c r="E101" s="9"/>
      <c r="H101" s="9"/>
      <c r="K101" s="9"/>
      <c r="N101" s="9"/>
      <c r="Q101" s="9"/>
      <c r="T101" s="9"/>
      <c r="W101" s="9"/>
      <c r="Z101" s="9"/>
      <c r="AC101" s="9"/>
      <c r="AF101" s="9"/>
      <c r="AI101" s="9"/>
      <c r="AL101" s="9"/>
      <c r="AO101" s="9"/>
      <c r="AR101" s="9"/>
      <c r="AU101" s="9"/>
      <c r="AX101" s="9"/>
      <c r="BA101" s="9"/>
      <c r="BD101" s="9"/>
    </row>
    <row r="102" spans="5:56" x14ac:dyDescent="0.2">
      <c r="E102" s="9"/>
      <c r="H102" s="9"/>
      <c r="K102" s="9"/>
      <c r="N102" s="9"/>
      <c r="Q102" s="9"/>
      <c r="T102" s="9"/>
      <c r="W102" s="9"/>
      <c r="Z102" s="9"/>
      <c r="AC102" s="9"/>
      <c r="AF102" s="9"/>
      <c r="AI102" s="9"/>
      <c r="AL102" s="9"/>
      <c r="AO102" s="9"/>
      <c r="AR102" s="9"/>
      <c r="AU102" s="9"/>
      <c r="AX102" s="9"/>
      <c r="BA102" s="9"/>
      <c r="BD102" s="9"/>
    </row>
    <row r="103" spans="5:56" x14ac:dyDescent="0.2">
      <c r="E103" s="9"/>
      <c r="H103" s="9"/>
      <c r="K103" s="9"/>
      <c r="N103" s="9"/>
      <c r="Q103" s="9"/>
      <c r="T103" s="9"/>
      <c r="W103" s="9"/>
      <c r="Z103" s="9"/>
      <c r="AC103" s="9"/>
      <c r="AF103" s="9"/>
      <c r="AI103" s="9"/>
      <c r="AL103" s="9"/>
      <c r="AO103" s="9"/>
      <c r="AR103" s="9"/>
      <c r="AU103" s="9"/>
      <c r="AX103" s="9"/>
      <c r="BA103" s="9"/>
      <c r="BD103" s="9"/>
    </row>
    <row r="104" spans="5:56" x14ac:dyDescent="0.2">
      <c r="E104" s="9"/>
      <c r="H104" s="9"/>
      <c r="K104" s="9"/>
      <c r="N104" s="9"/>
      <c r="Q104" s="9"/>
      <c r="T104" s="9"/>
      <c r="W104" s="9"/>
      <c r="Z104" s="9"/>
      <c r="AC104" s="9"/>
      <c r="AF104" s="9"/>
      <c r="AI104" s="9"/>
      <c r="AL104" s="9"/>
      <c r="AO104" s="9"/>
      <c r="AR104" s="9"/>
      <c r="AU104" s="9"/>
      <c r="AX104" s="9"/>
      <c r="BA104" s="9"/>
      <c r="BD104" s="9"/>
    </row>
    <row r="105" spans="5:56" x14ac:dyDescent="0.2">
      <c r="E105" s="9"/>
      <c r="H105" s="9"/>
      <c r="K105" s="9"/>
      <c r="N105" s="9"/>
      <c r="Q105" s="9"/>
      <c r="T105" s="9"/>
      <c r="W105" s="9"/>
      <c r="Z105" s="9"/>
      <c r="AC105" s="9"/>
      <c r="AF105" s="9"/>
      <c r="AI105" s="9"/>
      <c r="AL105" s="9"/>
      <c r="AO105" s="9"/>
      <c r="AR105" s="9"/>
      <c r="AU105" s="9"/>
      <c r="AX105" s="9"/>
      <c r="BA105" s="9"/>
      <c r="BD105" s="9"/>
    </row>
    <row r="106" spans="5:56" x14ac:dyDescent="0.2">
      <c r="E106" s="9"/>
      <c r="H106" s="9"/>
      <c r="K106" s="9"/>
      <c r="N106" s="9"/>
      <c r="Q106" s="9"/>
      <c r="T106" s="9"/>
      <c r="W106" s="9"/>
      <c r="Z106" s="9"/>
      <c r="AC106" s="9"/>
      <c r="AF106" s="9"/>
      <c r="AI106" s="9"/>
      <c r="AL106" s="9"/>
      <c r="AO106" s="9"/>
      <c r="AR106" s="9"/>
      <c r="AU106" s="9"/>
      <c r="AX106" s="9"/>
      <c r="BA106" s="9"/>
      <c r="BD106" s="9"/>
    </row>
    <row r="107" spans="5:56" x14ac:dyDescent="0.2">
      <c r="E107" s="9"/>
      <c r="H107" s="9"/>
      <c r="K107" s="9"/>
      <c r="N107" s="9"/>
      <c r="Q107" s="9"/>
      <c r="T107" s="9"/>
      <c r="W107" s="9"/>
      <c r="Z107" s="9"/>
      <c r="AC107" s="9"/>
      <c r="AF107" s="9"/>
      <c r="AI107" s="9"/>
      <c r="AL107" s="9"/>
      <c r="AO107" s="9"/>
      <c r="AR107" s="9"/>
      <c r="AU107" s="9"/>
      <c r="AX107" s="9"/>
      <c r="BA107" s="9"/>
      <c r="BD107" s="9"/>
    </row>
    <row r="108" spans="5:56" x14ac:dyDescent="0.2">
      <c r="E108" s="9"/>
      <c r="H108" s="9"/>
      <c r="K108" s="9"/>
      <c r="N108" s="9"/>
      <c r="Q108" s="9"/>
      <c r="T108" s="9"/>
      <c r="W108" s="9"/>
      <c r="Z108" s="9"/>
      <c r="AC108" s="9"/>
      <c r="AF108" s="9"/>
      <c r="AI108" s="9"/>
      <c r="AL108" s="9"/>
      <c r="AO108" s="9"/>
      <c r="AR108" s="9"/>
      <c r="AU108" s="9"/>
      <c r="AX108" s="9"/>
      <c r="BA108" s="9"/>
      <c r="BD108" s="9"/>
    </row>
    <row r="109" spans="5:56" x14ac:dyDescent="0.2">
      <c r="E109" s="9"/>
      <c r="H109" s="9"/>
      <c r="K109" s="9"/>
      <c r="N109" s="9"/>
      <c r="Q109" s="9"/>
      <c r="T109" s="9"/>
      <c r="W109" s="9"/>
      <c r="Z109" s="9"/>
      <c r="AC109" s="9"/>
      <c r="AF109" s="9"/>
      <c r="AI109" s="9"/>
      <c r="AL109" s="9"/>
      <c r="AO109" s="9"/>
      <c r="AR109" s="9"/>
      <c r="AU109" s="9"/>
      <c r="AX109" s="9"/>
      <c r="BA109" s="9"/>
      <c r="BD109" s="9"/>
    </row>
    <row r="110" spans="5:56" x14ac:dyDescent="0.2">
      <c r="E110" s="9"/>
      <c r="H110" s="9"/>
      <c r="K110" s="9"/>
      <c r="N110" s="9"/>
      <c r="Q110" s="9"/>
      <c r="T110" s="9"/>
      <c r="W110" s="9"/>
      <c r="Z110" s="9"/>
      <c r="AC110" s="9"/>
      <c r="AF110" s="9"/>
      <c r="AI110" s="9"/>
      <c r="AL110" s="9"/>
      <c r="AO110" s="9"/>
      <c r="AR110" s="9"/>
      <c r="AU110" s="9"/>
      <c r="AX110" s="9"/>
      <c r="BA110" s="9"/>
      <c r="BD110" s="9"/>
    </row>
    <row r="111" spans="5:56" x14ac:dyDescent="0.2">
      <c r="E111" s="9"/>
      <c r="H111" s="9"/>
      <c r="K111" s="9"/>
      <c r="N111" s="9"/>
      <c r="Q111" s="9"/>
      <c r="T111" s="9"/>
      <c r="W111" s="9"/>
      <c r="Z111" s="9"/>
      <c r="AC111" s="9"/>
      <c r="AF111" s="9"/>
      <c r="AI111" s="9"/>
      <c r="AL111" s="9"/>
      <c r="AO111" s="9"/>
      <c r="AR111" s="9"/>
      <c r="AU111" s="9"/>
      <c r="AX111" s="9"/>
      <c r="BA111" s="9"/>
      <c r="BD111" s="9"/>
    </row>
    <row r="112" spans="5:56" x14ac:dyDescent="0.2">
      <c r="E112" s="9"/>
      <c r="H112" s="9"/>
      <c r="K112" s="9"/>
      <c r="N112" s="9"/>
      <c r="Q112" s="9"/>
      <c r="T112" s="9"/>
      <c r="W112" s="9"/>
      <c r="Z112" s="9"/>
      <c r="AC112" s="9"/>
      <c r="AF112" s="9"/>
      <c r="AI112" s="9"/>
      <c r="AL112" s="9"/>
      <c r="AO112" s="9"/>
      <c r="AR112" s="9"/>
      <c r="AU112" s="9"/>
      <c r="AX112" s="9"/>
      <c r="BA112" s="9"/>
      <c r="BD112" s="9"/>
    </row>
    <row r="113" spans="5:56" x14ac:dyDescent="0.2">
      <c r="E113" s="9"/>
      <c r="H113" s="9"/>
      <c r="K113" s="9"/>
      <c r="N113" s="9"/>
      <c r="Q113" s="9"/>
      <c r="T113" s="9"/>
      <c r="W113" s="9"/>
      <c r="Z113" s="9"/>
      <c r="AC113" s="9"/>
      <c r="AF113" s="9"/>
      <c r="AI113" s="9"/>
      <c r="AL113" s="9"/>
      <c r="AO113" s="9"/>
      <c r="AR113" s="9"/>
      <c r="AU113" s="9"/>
      <c r="AX113" s="9"/>
      <c r="BA113" s="9"/>
      <c r="BD113" s="9"/>
    </row>
    <row r="114" spans="5:56" x14ac:dyDescent="0.2">
      <c r="E114" s="9"/>
      <c r="H114" s="9"/>
      <c r="K114" s="9"/>
      <c r="N114" s="9"/>
      <c r="Q114" s="9"/>
      <c r="T114" s="9"/>
      <c r="W114" s="9"/>
      <c r="Z114" s="9"/>
      <c r="AC114" s="9"/>
      <c r="AF114" s="9"/>
      <c r="AI114" s="9"/>
      <c r="AL114" s="9"/>
      <c r="AO114" s="9"/>
      <c r="AR114" s="9"/>
      <c r="AU114" s="9"/>
      <c r="AX114" s="9"/>
      <c r="BA114" s="9"/>
      <c r="BD114" s="9"/>
    </row>
    <row r="115" spans="5:56" x14ac:dyDescent="0.2">
      <c r="E115" s="9"/>
      <c r="H115" s="9"/>
      <c r="K115" s="9"/>
      <c r="N115" s="9"/>
      <c r="Q115" s="9"/>
      <c r="T115" s="9"/>
      <c r="W115" s="9"/>
      <c r="Z115" s="9"/>
      <c r="AC115" s="9"/>
      <c r="AF115" s="9"/>
      <c r="AI115" s="9"/>
      <c r="AL115" s="9"/>
      <c r="AO115" s="9"/>
      <c r="AR115" s="9"/>
      <c r="AU115" s="9"/>
      <c r="AX115" s="9"/>
      <c r="BA115" s="9"/>
      <c r="BD115" s="9"/>
    </row>
    <row r="116" spans="5:56" x14ac:dyDescent="0.2">
      <c r="E116" s="9"/>
      <c r="H116" s="9"/>
      <c r="K116" s="9"/>
      <c r="N116" s="9"/>
      <c r="Q116" s="9"/>
      <c r="T116" s="9"/>
      <c r="W116" s="9"/>
      <c r="Z116" s="9"/>
      <c r="AC116" s="9"/>
      <c r="AF116" s="9"/>
      <c r="AI116" s="9"/>
      <c r="AL116" s="9"/>
      <c r="AO116" s="9"/>
      <c r="AR116" s="9"/>
      <c r="AU116" s="9"/>
      <c r="AX116" s="9"/>
      <c r="BA116" s="9"/>
      <c r="BD116" s="9"/>
    </row>
    <row r="117" spans="5:56" x14ac:dyDescent="0.2">
      <c r="E117" s="9"/>
      <c r="H117" s="9"/>
      <c r="K117" s="9"/>
      <c r="N117" s="9"/>
      <c r="Q117" s="9"/>
      <c r="T117" s="9"/>
      <c r="W117" s="9"/>
      <c r="Z117" s="9"/>
      <c r="AC117" s="9"/>
      <c r="AF117" s="9"/>
      <c r="AI117" s="9"/>
      <c r="AL117" s="9"/>
      <c r="AO117" s="9"/>
      <c r="AR117" s="9"/>
      <c r="AU117" s="9"/>
      <c r="AX117" s="9"/>
      <c r="BA117" s="9"/>
      <c r="BD117" s="9"/>
    </row>
    <row r="118" spans="5:56" x14ac:dyDescent="0.2">
      <c r="E118" s="9"/>
      <c r="H118" s="9"/>
      <c r="K118" s="9"/>
      <c r="N118" s="9"/>
      <c r="Q118" s="9"/>
      <c r="T118" s="9"/>
      <c r="W118" s="9"/>
      <c r="Z118" s="9"/>
      <c r="AC118" s="9"/>
      <c r="AF118" s="9"/>
      <c r="AI118" s="9"/>
      <c r="AL118" s="9"/>
      <c r="AO118" s="9"/>
      <c r="AR118" s="9"/>
      <c r="AU118" s="9"/>
      <c r="AX118" s="9"/>
      <c r="BA118" s="9"/>
      <c r="BD118" s="9"/>
    </row>
    <row r="119" spans="5:56" x14ac:dyDescent="0.2">
      <c r="E119" s="9"/>
      <c r="H119" s="9"/>
      <c r="K119" s="9"/>
      <c r="N119" s="9"/>
      <c r="Q119" s="9"/>
      <c r="T119" s="9"/>
      <c r="W119" s="9"/>
      <c r="Z119" s="9"/>
      <c r="AC119" s="9"/>
      <c r="AF119" s="9"/>
      <c r="AI119" s="9"/>
      <c r="AL119" s="9"/>
      <c r="AO119" s="9"/>
      <c r="AR119" s="9"/>
      <c r="AU119" s="9"/>
      <c r="AX119" s="9"/>
      <c r="BA119" s="9"/>
      <c r="BD119" s="9"/>
    </row>
    <row r="120" spans="5:56" x14ac:dyDescent="0.2">
      <c r="E120" s="9"/>
      <c r="H120" s="9"/>
      <c r="K120" s="9"/>
      <c r="N120" s="9"/>
      <c r="Q120" s="9"/>
      <c r="T120" s="9"/>
      <c r="W120" s="9"/>
      <c r="Z120" s="9"/>
      <c r="AC120" s="9"/>
      <c r="AF120" s="9"/>
      <c r="AI120" s="9"/>
      <c r="AL120" s="9"/>
      <c r="AO120" s="9"/>
      <c r="AR120" s="9"/>
      <c r="AU120" s="9"/>
      <c r="AX120" s="9"/>
      <c r="BA120" s="9"/>
      <c r="BD120" s="9"/>
    </row>
    <row r="121" spans="5:56" x14ac:dyDescent="0.2">
      <c r="E121" s="9"/>
      <c r="H121" s="9"/>
      <c r="K121" s="9"/>
      <c r="N121" s="9"/>
      <c r="Q121" s="9"/>
      <c r="T121" s="9"/>
      <c r="W121" s="9"/>
      <c r="Z121" s="9"/>
      <c r="AC121" s="9"/>
      <c r="AF121" s="9"/>
      <c r="AI121" s="9"/>
      <c r="AL121" s="9"/>
      <c r="AO121" s="9"/>
      <c r="AR121" s="9"/>
      <c r="AU121" s="9"/>
      <c r="AX121" s="9"/>
      <c r="BA121" s="9"/>
      <c r="BD121" s="9"/>
    </row>
    <row r="122" spans="5:56" x14ac:dyDescent="0.2">
      <c r="E122" s="9"/>
      <c r="H122" s="9"/>
      <c r="K122" s="9"/>
      <c r="N122" s="9"/>
      <c r="Q122" s="9"/>
      <c r="T122" s="9"/>
      <c r="W122" s="9"/>
      <c r="Z122" s="9"/>
      <c r="AC122" s="9"/>
      <c r="AF122" s="9"/>
      <c r="AI122" s="9"/>
      <c r="AL122" s="9"/>
      <c r="AO122" s="9"/>
      <c r="AR122" s="9"/>
      <c r="AU122" s="9"/>
      <c r="AX122" s="9"/>
      <c r="BA122" s="9"/>
      <c r="BD122" s="9"/>
    </row>
    <row r="123" spans="5:56" x14ac:dyDescent="0.2">
      <c r="E123" s="9"/>
      <c r="H123" s="9"/>
      <c r="K123" s="9"/>
      <c r="N123" s="9"/>
      <c r="Q123" s="9"/>
      <c r="T123" s="9"/>
      <c r="W123" s="9"/>
      <c r="Z123" s="9"/>
      <c r="AC123" s="9"/>
      <c r="AF123" s="9"/>
      <c r="AI123" s="9"/>
      <c r="AL123" s="9"/>
      <c r="AO123" s="9"/>
      <c r="AR123" s="9"/>
      <c r="AU123" s="9"/>
      <c r="AX123" s="9"/>
      <c r="BA123" s="9"/>
      <c r="BD123" s="9"/>
    </row>
    <row r="124" spans="5:56" x14ac:dyDescent="0.2">
      <c r="E124" s="9"/>
      <c r="H124" s="9"/>
      <c r="K124" s="9"/>
      <c r="N124" s="9"/>
      <c r="Q124" s="9"/>
      <c r="T124" s="9"/>
      <c r="W124" s="9"/>
      <c r="Z124" s="9"/>
      <c r="AC124" s="9"/>
      <c r="AF124" s="9"/>
      <c r="AI124" s="9"/>
      <c r="AL124" s="9"/>
      <c r="AO124" s="9"/>
      <c r="AR124" s="9"/>
      <c r="AU124" s="9"/>
      <c r="AX124" s="9"/>
      <c r="BA124" s="9"/>
      <c r="BD124" s="9"/>
    </row>
    <row r="125" spans="5:56" x14ac:dyDescent="0.2">
      <c r="E125" s="9"/>
      <c r="H125" s="9"/>
      <c r="K125" s="9"/>
      <c r="N125" s="9"/>
      <c r="Q125" s="9"/>
      <c r="T125" s="9"/>
      <c r="W125" s="9"/>
      <c r="Z125" s="9"/>
      <c r="AC125" s="9"/>
      <c r="AF125" s="9"/>
      <c r="AI125" s="9"/>
      <c r="AL125" s="9"/>
      <c r="AO125" s="9"/>
      <c r="AR125" s="9"/>
      <c r="AU125" s="9"/>
      <c r="AX125" s="9"/>
      <c r="BA125" s="9"/>
      <c r="BD125" s="9"/>
    </row>
    <row r="126" spans="5:56" x14ac:dyDescent="0.2">
      <c r="E126" s="9"/>
      <c r="H126" s="9"/>
      <c r="K126" s="9"/>
      <c r="N126" s="9"/>
      <c r="Q126" s="9"/>
      <c r="T126" s="9"/>
      <c r="W126" s="9"/>
      <c r="Z126" s="9"/>
      <c r="AC126" s="9"/>
      <c r="AF126" s="9"/>
      <c r="AI126" s="9"/>
      <c r="AL126" s="9"/>
      <c r="AO126" s="9"/>
      <c r="AR126" s="9"/>
      <c r="AU126" s="9"/>
      <c r="AX126" s="9"/>
      <c r="BA126" s="9"/>
      <c r="BD126" s="9"/>
    </row>
    <row r="127" spans="5:56" x14ac:dyDescent="0.2">
      <c r="E127" s="9"/>
      <c r="H127" s="9"/>
      <c r="K127" s="9"/>
      <c r="N127" s="9"/>
      <c r="Q127" s="9"/>
      <c r="T127" s="9"/>
      <c r="W127" s="9"/>
      <c r="Z127" s="9"/>
      <c r="AC127" s="9"/>
      <c r="AF127" s="9"/>
      <c r="AI127" s="9"/>
      <c r="AL127" s="9"/>
      <c r="AO127" s="9"/>
      <c r="AR127" s="9"/>
      <c r="AU127" s="9"/>
      <c r="AX127" s="9"/>
      <c r="BA127" s="9"/>
      <c r="BD127" s="9"/>
    </row>
    <row r="128" spans="5:56" x14ac:dyDescent="0.2">
      <c r="E128" s="9"/>
      <c r="H128" s="9"/>
      <c r="K128" s="9"/>
      <c r="N128" s="9"/>
      <c r="Q128" s="9"/>
      <c r="T128" s="9"/>
      <c r="W128" s="9"/>
      <c r="Z128" s="9"/>
      <c r="AC128" s="9"/>
      <c r="AF128" s="9"/>
      <c r="AI128" s="9"/>
      <c r="AL128" s="9"/>
      <c r="AO128" s="9"/>
      <c r="AR128" s="9"/>
      <c r="AU128" s="9"/>
      <c r="AX128" s="9"/>
      <c r="BA128" s="9"/>
      <c r="BD128" s="9"/>
    </row>
    <row r="129" spans="5:56" x14ac:dyDescent="0.2">
      <c r="E129" s="9"/>
      <c r="H129" s="9"/>
      <c r="K129" s="9"/>
      <c r="N129" s="9"/>
      <c r="Q129" s="9"/>
      <c r="T129" s="9"/>
      <c r="W129" s="9"/>
      <c r="Z129" s="9"/>
      <c r="AC129" s="9"/>
      <c r="AF129" s="9"/>
      <c r="AI129" s="9"/>
      <c r="AL129" s="9"/>
      <c r="AO129" s="9"/>
      <c r="AR129" s="9"/>
      <c r="AU129" s="9"/>
      <c r="AX129" s="9"/>
      <c r="BA129" s="9"/>
      <c r="BD129" s="9"/>
    </row>
    <row r="130" spans="5:56" x14ac:dyDescent="0.2">
      <c r="E130" s="9"/>
      <c r="H130" s="9"/>
      <c r="K130" s="9"/>
      <c r="N130" s="9"/>
      <c r="Q130" s="9"/>
      <c r="T130" s="9"/>
      <c r="W130" s="9"/>
      <c r="Z130" s="9"/>
      <c r="AC130" s="9"/>
      <c r="AF130" s="9"/>
      <c r="AI130" s="9"/>
      <c r="AL130" s="9"/>
      <c r="AO130" s="9"/>
      <c r="AR130" s="9"/>
      <c r="AU130" s="9"/>
      <c r="AX130" s="9"/>
      <c r="BA130" s="9"/>
      <c r="BD130" s="9"/>
    </row>
    <row r="131" spans="5:56" x14ac:dyDescent="0.2">
      <c r="E131" s="9"/>
      <c r="H131" s="9"/>
      <c r="K131" s="9"/>
      <c r="N131" s="9"/>
      <c r="Q131" s="9"/>
      <c r="T131" s="9"/>
      <c r="W131" s="9"/>
      <c r="Z131" s="9"/>
      <c r="AC131" s="9"/>
      <c r="AF131" s="9"/>
      <c r="AI131" s="9"/>
      <c r="AL131" s="9"/>
      <c r="AO131" s="9"/>
      <c r="AR131" s="9"/>
      <c r="AU131" s="9"/>
      <c r="AX131" s="9"/>
      <c r="BA131" s="9"/>
      <c r="BD131" s="9"/>
    </row>
    <row r="132" spans="5:56" x14ac:dyDescent="0.2">
      <c r="E132" s="9"/>
      <c r="H132" s="9"/>
      <c r="K132" s="9"/>
      <c r="N132" s="9"/>
      <c r="Q132" s="9"/>
      <c r="T132" s="9"/>
      <c r="W132" s="9"/>
      <c r="Z132" s="9"/>
      <c r="AC132" s="9"/>
      <c r="AF132" s="9"/>
      <c r="AI132" s="9"/>
      <c r="AL132" s="9"/>
      <c r="AO132" s="9"/>
      <c r="AR132" s="9"/>
      <c r="AU132" s="9"/>
      <c r="AX132" s="9"/>
      <c r="BA132" s="9"/>
      <c r="BD132" s="9"/>
    </row>
    <row r="133" spans="5:56" x14ac:dyDescent="0.2">
      <c r="E133" s="9"/>
      <c r="H133" s="9"/>
      <c r="K133" s="9"/>
      <c r="N133" s="9"/>
      <c r="Q133" s="9"/>
      <c r="T133" s="9"/>
      <c r="W133" s="9"/>
      <c r="Z133" s="9"/>
      <c r="AC133" s="9"/>
      <c r="AF133" s="9"/>
      <c r="AI133" s="9"/>
      <c r="AL133" s="9"/>
      <c r="AO133" s="9"/>
      <c r="AR133" s="9"/>
      <c r="AU133" s="9"/>
      <c r="AX133" s="9"/>
      <c r="BA133" s="9"/>
      <c r="BD133" s="9"/>
    </row>
    <row r="134" spans="5:56" x14ac:dyDescent="0.2">
      <c r="E134" s="9"/>
      <c r="H134" s="9"/>
      <c r="K134" s="9"/>
      <c r="N134" s="9"/>
      <c r="Q134" s="9"/>
      <c r="T134" s="9"/>
      <c r="W134" s="9"/>
      <c r="Z134" s="9"/>
      <c r="AC134" s="9"/>
      <c r="AF134" s="9"/>
      <c r="AI134" s="9"/>
      <c r="AL134" s="9"/>
      <c r="AO134" s="9"/>
      <c r="AR134" s="9"/>
      <c r="AU134" s="9"/>
      <c r="AX134" s="9"/>
      <c r="BA134" s="9"/>
      <c r="BD134" s="9"/>
    </row>
    <row r="135" spans="5:56" x14ac:dyDescent="0.2">
      <c r="E135" s="9"/>
      <c r="H135" s="9"/>
      <c r="K135" s="9"/>
      <c r="N135" s="9"/>
      <c r="Q135" s="9"/>
      <c r="T135" s="9"/>
      <c r="W135" s="9"/>
      <c r="Z135" s="9"/>
      <c r="AC135" s="9"/>
      <c r="AF135" s="9"/>
      <c r="AI135" s="9"/>
      <c r="AL135" s="9"/>
      <c r="AO135" s="9"/>
      <c r="AR135" s="9"/>
      <c r="AU135" s="9"/>
      <c r="AX135" s="9"/>
      <c r="BA135" s="9"/>
      <c r="BD135" s="9"/>
    </row>
    <row r="136" spans="5:56" x14ac:dyDescent="0.2">
      <c r="E136" s="9"/>
      <c r="H136" s="9"/>
      <c r="K136" s="9"/>
      <c r="N136" s="9"/>
      <c r="Q136" s="9"/>
      <c r="T136" s="9"/>
      <c r="W136" s="9"/>
      <c r="Z136" s="9"/>
      <c r="AC136" s="9"/>
      <c r="AF136" s="9"/>
      <c r="AI136" s="9"/>
      <c r="AL136" s="9"/>
      <c r="AO136" s="9"/>
      <c r="AR136" s="9"/>
      <c r="AU136" s="9"/>
      <c r="AX136" s="9"/>
      <c r="BA136" s="9"/>
      <c r="BD136" s="9"/>
    </row>
    <row r="137" spans="5:56" x14ac:dyDescent="0.2">
      <c r="E137" s="9"/>
      <c r="H137" s="9"/>
      <c r="K137" s="9"/>
      <c r="N137" s="9"/>
      <c r="Q137" s="9"/>
      <c r="T137" s="9"/>
      <c r="W137" s="9"/>
      <c r="Z137" s="9"/>
      <c r="AC137" s="9"/>
      <c r="AF137" s="9"/>
      <c r="AI137" s="9"/>
      <c r="AL137" s="9"/>
      <c r="AO137" s="9"/>
      <c r="AR137" s="9"/>
      <c r="AU137" s="9"/>
      <c r="AX137" s="9"/>
      <c r="BA137" s="9"/>
      <c r="BD137" s="9"/>
    </row>
    <row r="138" spans="5:56" x14ac:dyDescent="0.2">
      <c r="E138" s="9"/>
      <c r="H138" s="9"/>
      <c r="K138" s="9"/>
      <c r="N138" s="9"/>
      <c r="Q138" s="9"/>
      <c r="T138" s="9"/>
      <c r="W138" s="9"/>
      <c r="Z138" s="9"/>
      <c r="AC138" s="9"/>
      <c r="AF138" s="9"/>
      <c r="AI138" s="9"/>
      <c r="AL138" s="9"/>
      <c r="AO138" s="9"/>
      <c r="AR138" s="9"/>
      <c r="AU138" s="9"/>
      <c r="AX138" s="9"/>
      <c r="BA138" s="9"/>
      <c r="BD138" s="9"/>
    </row>
    <row r="139" spans="5:56" x14ac:dyDescent="0.2">
      <c r="E139" s="9"/>
      <c r="H139" s="9"/>
      <c r="K139" s="9"/>
      <c r="N139" s="9"/>
      <c r="Q139" s="9"/>
      <c r="T139" s="9"/>
      <c r="W139" s="9"/>
      <c r="Z139" s="9"/>
      <c r="AC139" s="9"/>
      <c r="AF139" s="9"/>
      <c r="AI139" s="9"/>
      <c r="AL139" s="9"/>
      <c r="AO139" s="9"/>
      <c r="AR139" s="9"/>
      <c r="AU139" s="9"/>
      <c r="AX139" s="9"/>
      <c r="BA139" s="9"/>
      <c r="BD139" s="9"/>
    </row>
  </sheetData>
  <mergeCells count="73">
    <mergeCell ref="AS1:AU1"/>
    <mergeCell ref="AV1:AX1"/>
    <mergeCell ref="AY1:BA1"/>
    <mergeCell ref="BB1:BD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D2:AE2"/>
    <mergeCell ref="AG2:AH2"/>
    <mergeCell ref="AJ2:AK2"/>
    <mergeCell ref="AM2:AN2"/>
    <mergeCell ref="AP2:AQ2"/>
    <mergeCell ref="BB4:BC4"/>
    <mergeCell ref="AP3:AQ3"/>
    <mergeCell ref="AS2:AT2"/>
    <mergeCell ref="AV2:AW2"/>
    <mergeCell ref="AY2:AZ2"/>
    <mergeCell ref="BB2:BC2"/>
    <mergeCell ref="BB3:BC3"/>
    <mergeCell ref="AP4:AQ4"/>
    <mergeCell ref="AS3:AT3"/>
    <mergeCell ref="AV3:AW3"/>
    <mergeCell ref="AY3:AZ3"/>
    <mergeCell ref="AS4:AT4"/>
    <mergeCell ref="AV4:AW4"/>
    <mergeCell ref="AY4:AZ4"/>
    <mergeCell ref="C3:D3"/>
    <mergeCell ref="F3:G3"/>
    <mergeCell ref="I3:J3"/>
    <mergeCell ref="L3:M3"/>
    <mergeCell ref="AM4:AN4"/>
    <mergeCell ref="AD3:AE3"/>
    <mergeCell ref="AG3:AH3"/>
    <mergeCell ref="AJ3:AK3"/>
    <mergeCell ref="AM3:AN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O3:P3"/>
    <mergeCell ref="R3:S3"/>
    <mergeCell ref="U3:V3"/>
    <mergeCell ref="X3:Y3"/>
    <mergeCell ref="AA3:AB3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O2:P2"/>
    <mergeCell ref="R2:S2"/>
    <mergeCell ref="U2:V2"/>
    <mergeCell ref="X2:Y2"/>
    <mergeCell ref="AA2:AB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3731-1699-4CF1-BFAE-B7EB91E077DE}">
  <dimension ref="A1:BJ142"/>
  <sheetViews>
    <sheetView topLeftCell="AD1" zoomScale="130" zoomScaleNormal="130" workbookViewId="0">
      <selection activeCell="BE14" sqref="BE14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"/>
    <col min="5" max="5" width="9" style="6"/>
    <col min="6" max="7" width="9" style="1"/>
    <col min="8" max="8" width="9" style="6"/>
    <col min="9" max="10" width="9" style="1"/>
    <col min="11" max="11" width="9" style="6"/>
    <col min="12" max="13" width="9" style="1"/>
    <col min="14" max="14" width="9" style="6"/>
    <col min="15" max="16" width="9" style="1"/>
    <col min="17" max="17" width="9" style="6"/>
    <col min="18" max="19" width="9" style="1"/>
    <col min="20" max="20" width="9" style="6"/>
    <col min="21" max="22" width="9" style="1"/>
    <col min="23" max="23" width="9" style="6"/>
    <col min="24" max="25" width="9" style="1"/>
    <col min="26" max="26" width="9" style="6"/>
    <col min="27" max="28" width="9" style="1"/>
    <col min="29" max="29" width="9" style="6"/>
    <col min="30" max="31" width="9" style="1"/>
    <col min="32" max="32" width="9" style="6"/>
    <col min="33" max="34" width="9" style="1"/>
    <col min="35" max="35" width="9" style="6"/>
    <col min="36" max="37" width="9" style="1"/>
    <col min="38" max="38" width="9" style="6"/>
    <col min="39" max="40" width="9" style="1"/>
    <col min="41" max="41" width="9" style="6"/>
    <col min="42" max="43" width="9" style="1"/>
    <col min="44" max="44" width="9" style="6"/>
    <col min="45" max="46" width="9" style="1"/>
    <col min="47" max="47" width="9" style="6"/>
    <col min="48" max="49" width="9" style="1"/>
    <col min="50" max="50" width="9" style="6"/>
    <col min="51" max="52" width="9" style="1"/>
    <col min="53" max="53" width="9" style="6"/>
    <col min="54" max="55" width="9" style="1"/>
    <col min="56" max="56" width="9" style="6"/>
    <col min="57" max="58" width="9" style="1"/>
    <col min="59" max="59" width="9" style="6"/>
    <col min="60" max="61" width="9" style="1"/>
    <col min="62" max="62" width="9" style="6"/>
    <col min="63" max="16384" width="9" style="1"/>
  </cols>
  <sheetData>
    <row r="1" spans="1:62" s="5" customFormat="1" x14ac:dyDescent="0.2">
      <c r="A1" s="22" t="s">
        <v>56</v>
      </c>
      <c r="B1" s="22"/>
      <c r="C1" s="18" t="s">
        <v>20</v>
      </c>
      <c r="D1" s="18"/>
      <c r="E1" s="18"/>
      <c r="F1" s="18" t="s">
        <v>21</v>
      </c>
      <c r="G1" s="18"/>
      <c r="H1" s="18"/>
      <c r="I1" s="18" t="s">
        <v>17</v>
      </c>
      <c r="J1" s="18"/>
      <c r="K1" s="18"/>
      <c r="L1" s="18" t="s">
        <v>15</v>
      </c>
      <c r="M1" s="18"/>
      <c r="N1" s="18"/>
      <c r="O1" s="18" t="s">
        <v>10</v>
      </c>
      <c r="P1" s="18"/>
      <c r="Q1" s="18"/>
      <c r="R1" s="18" t="s">
        <v>12</v>
      </c>
      <c r="S1" s="18"/>
      <c r="T1" s="18"/>
      <c r="U1" s="18" t="s">
        <v>8</v>
      </c>
      <c r="V1" s="18"/>
      <c r="W1" s="18"/>
      <c r="X1" s="18" t="s">
        <v>16</v>
      </c>
      <c r="Y1" s="18"/>
      <c r="Z1" s="18"/>
      <c r="AA1" s="18" t="s">
        <v>29</v>
      </c>
      <c r="AB1" s="18"/>
      <c r="AC1" s="18"/>
      <c r="AD1" s="18" t="s">
        <v>54</v>
      </c>
      <c r="AE1" s="18"/>
      <c r="AF1" s="18"/>
      <c r="AG1" s="18" t="s">
        <v>9</v>
      </c>
      <c r="AH1" s="18"/>
      <c r="AI1" s="18"/>
      <c r="AJ1" s="18" t="s">
        <v>33</v>
      </c>
      <c r="AK1" s="18"/>
      <c r="AL1" s="18"/>
      <c r="AM1" s="18" t="s">
        <v>11</v>
      </c>
      <c r="AN1" s="18"/>
      <c r="AO1" s="18"/>
      <c r="AP1" s="18" t="s">
        <v>42</v>
      </c>
      <c r="AQ1" s="18"/>
      <c r="AR1" s="18"/>
      <c r="AS1" s="18" t="s">
        <v>28</v>
      </c>
      <c r="AT1" s="18"/>
      <c r="AU1" s="18"/>
      <c r="AV1" s="18" t="s">
        <v>34</v>
      </c>
      <c r="AW1" s="18"/>
      <c r="AX1" s="18"/>
      <c r="AY1" s="18" t="s">
        <v>23</v>
      </c>
      <c r="AZ1" s="18"/>
      <c r="BA1" s="18"/>
      <c r="BB1" s="18" t="s">
        <v>25</v>
      </c>
      <c r="BC1" s="18"/>
      <c r="BD1" s="18"/>
      <c r="BE1" s="18" t="s">
        <v>46</v>
      </c>
      <c r="BF1" s="18"/>
      <c r="BG1" s="18"/>
      <c r="BH1" s="18" t="s">
        <v>49</v>
      </c>
      <c r="BI1" s="18"/>
      <c r="BJ1" s="18"/>
    </row>
    <row r="2" spans="1:62" s="10" customFormat="1" x14ac:dyDescent="0.2">
      <c r="A2" s="1" t="s">
        <v>5</v>
      </c>
      <c r="B2" s="1">
        <f>SUM(C2:WT2)</f>
        <v>250</v>
      </c>
      <c r="C2" s="19" t="s">
        <v>5</v>
      </c>
      <c r="D2" s="19"/>
      <c r="E2" s="8">
        <f>COUNT(E6:E300)</f>
        <v>30</v>
      </c>
      <c r="F2" s="19" t="s">
        <v>5</v>
      </c>
      <c r="G2" s="19"/>
      <c r="H2" s="8">
        <f>COUNT(H6:H300)</f>
        <v>10</v>
      </c>
      <c r="I2" s="19" t="s">
        <v>5</v>
      </c>
      <c r="J2" s="19"/>
      <c r="K2" s="8">
        <f>COUNT(K6:K300)</f>
        <v>64</v>
      </c>
      <c r="L2" s="19" t="s">
        <v>5</v>
      </c>
      <c r="M2" s="19"/>
      <c r="N2" s="8">
        <f>COUNT(N6:N300)</f>
        <v>1</v>
      </c>
      <c r="O2" s="19" t="s">
        <v>5</v>
      </c>
      <c r="P2" s="19"/>
      <c r="Q2" s="8">
        <f>COUNT(Q6:Q300)</f>
        <v>65</v>
      </c>
      <c r="R2" s="19" t="s">
        <v>5</v>
      </c>
      <c r="S2" s="19"/>
      <c r="T2" s="8">
        <f>COUNT(T6:T300)</f>
        <v>32</v>
      </c>
      <c r="U2" s="19" t="s">
        <v>5</v>
      </c>
      <c r="V2" s="19"/>
      <c r="W2" s="8">
        <f>COUNT(W6:W300)</f>
        <v>2</v>
      </c>
      <c r="X2" s="19" t="s">
        <v>5</v>
      </c>
      <c r="Y2" s="19"/>
      <c r="Z2" s="8">
        <f>COUNT(Z6:Z300)</f>
        <v>3</v>
      </c>
      <c r="AA2" s="19" t="s">
        <v>5</v>
      </c>
      <c r="AB2" s="19"/>
      <c r="AC2" s="8">
        <f>COUNT(AC6:AC300)</f>
        <v>6</v>
      </c>
      <c r="AD2" s="19" t="s">
        <v>5</v>
      </c>
      <c r="AE2" s="19"/>
      <c r="AF2" s="8">
        <f>COUNT(AF6:AF300)</f>
        <v>1</v>
      </c>
      <c r="AG2" s="19" t="s">
        <v>5</v>
      </c>
      <c r="AH2" s="19"/>
      <c r="AI2" s="8">
        <f>COUNT(AI6:AI300)</f>
        <v>5</v>
      </c>
      <c r="AJ2" s="19" t="s">
        <v>5</v>
      </c>
      <c r="AK2" s="19"/>
      <c r="AL2" s="8">
        <f>COUNT(AL6:AL300)</f>
        <v>3</v>
      </c>
      <c r="AM2" s="19" t="s">
        <v>5</v>
      </c>
      <c r="AN2" s="19"/>
      <c r="AO2" s="8">
        <f>COUNT(AO6:AO300)</f>
        <v>2</v>
      </c>
      <c r="AP2" s="19" t="s">
        <v>5</v>
      </c>
      <c r="AQ2" s="19"/>
      <c r="AR2" s="8">
        <f>COUNT(AR6:AR300)</f>
        <v>2</v>
      </c>
      <c r="AS2" s="19" t="s">
        <v>5</v>
      </c>
      <c r="AT2" s="19"/>
      <c r="AU2" s="8">
        <f>COUNT(AU6:AU300)</f>
        <v>2</v>
      </c>
      <c r="AV2" s="19" t="s">
        <v>5</v>
      </c>
      <c r="AW2" s="19"/>
      <c r="AX2" s="8">
        <f>COUNT(AX6:AX300)</f>
        <v>14</v>
      </c>
      <c r="AY2" s="19" t="s">
        <v>5</v>
      </c>
      <c r="AZ2" s="19"/>
      <c r="BA2" s="8">
        <f>COUNT(BA6:BA300)</f>
        <v>3</v>
      </c>
      <c r="BB2" s="19" t="s">
        <v>5</v>
      </c>
      <c r="BC2" s="19"/>
      <c r="BD2" s="8">
        <f>COUNT(BD6:BD300)</f>
        <v>2</v>
      </c>
      <c r="BE2" s="19" t="s">
        <v>5</v>
      </c>
      <c r="BF2" s="19"/>
      <c r="BG2" s="8">
        <f>COUNT(BG6:BG300)</f>
        <v>2</v>
      </c>
      <c r="BH2" s="19" t="s">
        <v>5</v>
      </c>
      <c r="BI2" s="19"/>
      <c r="BJ2" s="8">
        <f>COUNT(BJ6:BJ300)</f>
        <v>1</v>
      </c>
    </row>
    <row r="3" spans="1:62" s="10" customFormat="1" x14ac:dyDescent="0.2">
      <c r="A3" s="1" t="s">
        <v>4</v>
      </c>
      <c r="B3" s="1">
        <f>SUM(C3:WT3)</f>
        <v>25.285898435248743</v>
      </c>
      <c r="C3" s="19" t="s">
        <v>4</v>
      </c>
      <c r="D3" s="19"/>
      <c r="E3" s="8">
        <f>SUM(E6:E300)</f>
        <v>7.4495529385225003</v>
      </c>
      <c r="F3" s="19" t="s">
        <v>4</v>
      </c>
      <c r="G3" s="19"/>
      <c r="H3" s="8">
        <f>SUM(H6:H300)</f>
        <v>0.61202177026437499</v>
      </c>
      <c r="I3" s="19" t="s">
        <v>4</v>
      </c>
      <c r="J3" s="19"/>
      <c r="K3" s="8">
        <f>SUM(K6:K300)</f>
        <v>7.4321337049418759</v>
      </c>
      <c r="L3" s="19" t="s">
        <v>4</v>
      </c>
      <c r="M3" s="19"/>
      <c r="N3" s="8">
        <f>SUM(N6:N300)</f>
        <v>0.15325748756437499</v>
      </c>
      <c r="O3" s="19" t="s">
        <v>4</v>
      </c>
      <c r="P3" s="19"/>
      <c r="Q3" s="8">
        <f>SUM(Q6:Q300)</f>
        <v>4.225611663088749</v>
      </c>
      <c r="R3" s="19" t="s">
        <v>4</v>
      </c>
      <c r="S3" s="19"/>
      <c r="T3" s="8">
        <f>SUM(T6:T300)</f>
        <v>2.2359623683137504</v>
      </c>
      <c r="U3" s="19" t="s">
        <v>4</v>
      </c>
      <c r="V3" s="19"/>
      <c r="W3" s="8">
        <f>SUM(W6:W300)</f>
        <v>0.14024239308937503</v>
      </c>
      <c r="X3" s="19" t="s">
        <v>4</v>
      </c>
      <c r="Y3" s="19"/>
      <c r="Z3" s="8">
        <f>SUM(Z6:Z300)</f>
        <v>0.10280915832000001</v>
      </c>
      <c r="AA3" s="19" t="s">
        <v>4</v>
      </c>
      <c r="AB3" s="19"/>
      <c r="AC3" s="8">
        <f>SUM(AC6:AC300)</f>
        <v>0.206481808098125</v>
      </c>
      <c r="AD3" s="19" t="s">
        <v>4</v>
      </c>
      <c r="AE3" s="19"/>
      <c r="AF3" s="8">
        <f>SUM(AF6:AF300)</f>
        <v>3.5517740273750008E-2</v>
      </c>
      <c r="AG3" s="19" t="s">
        <v>4</v>
      </c>
      <c r="AH3" s="19"/>
      <c r="AI3" s="8">
        <f>SUM(AI6:AI300)</f>
        <v>0.57455909254562498</v>
      </c>
      <c r="AJ3" s="19" t="s">
        <v>4</v>
      </c>
      <c r="AK3" s="19"/>
      <c r="AL3" s="8">
        <f>SUM(AL6:AL300)</f>
        <v>0.11972420982562501</v>
      </c>
      <c r="AM3" s="19" t="s">
        <v>4</v>
      </c>
      <c r="AN3" s="19"/>
      <c r="AO3" s="8">
        <f>SUM(AO6:AO300)</f>
        <v>0.125900021319375</v>
      </c>
      <c r="AP3" s="19" t="s">
        <v>4</v>
      </c>
      <c r="AQ3" s="19"/>
      <c r="AR3" s="8">
        <f>SUM(AR6:AR300)</f>
        <v>9.0227432135625008E-2</v>
      </c>
      <c r="AS3" s="19" t="s">
        <v>4</v>
      </c>
      <c r="AT3" s="19"/>
      <c r="AU3" s="8">
        <f>SUM(AU6:AU300)</f>
        <v>8.9870699376875002E-2</v>
      </c>
      <c r="AV3" s="19" t="s">
        <v>4</v>
      </c>
      <c r="AW3" s="19"/>
      <c r="AX3" s="8">
        <f>SUM(AX6:AX300)</f>
        <v>1.2187176738474998</v>
      </c>
      <c r="AY3" s="19" t="s">
        <v>4</v>
      </c>
      <c r="AZ3" s="19"/>
      <c r="BA3" s="8">
        <f>SUM(BA6:BA300)</f>
        <v>0.16383141710937502</v>
      </c>
      <c r="BB3" s="19" t="s">
        <v>4</v>
      </c>
      <c r="BC3" s="19"/>
      <c r="BD3" s="8">
        <f>SUM(BD6:BD300)</f>
        <v>0.10300720423750001</v>
      </c>
      <c r="BE3" s="19" t="s">
        <v>4</v>
      </c>
      <c r="BF3" s="19"/>
      <c r="BG3" s="8">
        <f>SUM(BG6:BG300)</f>
        <v>0.12825003514</v>
      </c>
      <c r="BH3" s="19" t="s">
        <v>4</v>
      </c>
      <c r="BI3" s="19"/>
      <c r="BJ3" s="8">
        <f>SUM(BJ6:BJ300)</f>
        <v>7.8219617234374983E-2</v>
      </c>
    </row>
    <row r="4" spans="1:62" s="10" customFormat="1" x14ac:dyDescent="0.2">
      <c r="A4" s="1"/>
      <c r="B4" s="1"/>
      <c r="C4" s="19" t="s">
        <v>3</v>
      </c>
      <c r="D4" s="19"/>
      <c r="E4" s="8">
        <f>AVERAGE(E6:E300)</f>
        <v>0.24831843128408335</v>
      </c>
      <c r="F4" s="19" t="s">
        <v>3</v>
      </c>
      <c r="G4" s="19"/>
      <c r="H4" s="8">
        <f>AVERAGE(H6:H300)</f>
        <v>6.1202177026437501E-2</v>
      </c>
      <c r="I4" s="19" t="s">
        <v>3</v>
      </c>
      <c r="J4" s="19"/>
      <c r="K4" s="8">
        <f>AVERAGE(K6:K300)</f>
        <v>0.11612708913971681</v>
      </c>
      <c r="L4" s="19" t="s">
        <v>3</v>
      </c>
      <c r="M4" s="19"/>
      <c r="N4" s="8">
        <f>AVERAGE(N6:N300)</f>
        <v>0.15325748756437499</v>
      </c>
      <c r="O4" s="19" t="s">
        <v>3</v>
      </c>
      <c r="P4" s="19"/>
      <c r="Q4" s="8">
        <f>AVERAGE(Q6:Q300)</f>
        <v>6.5009410201365372E-2</v>
      </c>
      <c r="R4" s="19" t="s">
        <v>3</v>
      </c>
      <c r="S4" s="19"/>
      <c r="T4" s="8">
        <f>AVERAGE(T6:T300)</f>
        <v>6.98738240098047E-2</v>
      </c>
      <c r="U4" s="19" t="s">
        <v>3</v>
      </c>
      <c r="V4" s="19"/>
      <c r="W4" s="8">
        <f>AVERAGE(W6:W300)</f>
        <v>7.0121196544687514E-2</v>
      </c>
      <c r="X4" s="19" t="s">
        <v>3</v>
      </c>
      <c r="Y4" s="19"/>
      <c r="Z4" s="8">
        <f>AVERAGE(Z6:Z300)</f>
        <v>3.4269719440000006E-2</v>
      </c>
      <c r="AA4" s="19" t="s">
        <v>3</v>
      </c>
      <c r="AB4" s="19"/>
      <c r="AC4" s="8">
        <f>AVERAGE(AC6:AC300)</f>
        <v>3.4413634683020833E-2</v>
      </c>
      <c r="AD4" s="19" t="s">
        <v>3</v>
      </c>
      <c r="AE4" s="19"/>
      <c r="AF4" s="8">
        <f>AVERAGE(AF6:AF300)</f>
        <v>3.5517740273750008E-2</v>
      </c>
      <c r="AG4" s="19" t="s">
        <v>3</v>
      </c>
      <c r="AH4" s="19"/>
      <c r="AI4" s="8">
        <f>AVERAGE(AI6:AI300)</f>
        <v>0.11491181850912499</v>
      </c>
      <c r="AJ4" s="19" t="s">
        <v>3</v>
      </c>
      <c r="AK4" s="19"/>
      <c r="AL4" s="8">
        <f>AVERAGE(AL6:AL300)</f>
        <v>3.9908069941875006E-2</v>
      </c>
      <c r="AM4" s="19" t="s">
        <v>3</v>
      </c>
      <c r="AN4" s="19"/>
      <c r="AO4" s="8">
        <f>AVERAGE(AO6:AO300)</f>
        <v>6.29500106596875E-2</v>
      </c>
      <c r="AP4" s="19" t="s">
        <v>3</v>
      </c>
      <c r="AQ4" s="19"/>
      <c r="AR4" s="8">
        <f>AVERAGE(AR6:AR300)</f>
        <v>4.5113716067812504E-2</v>
      </c>
      <c r="AS4" s="19" t="s">
        <v>3</v>
      </c>
      <c r="AT4" s="19"/>
      <c r="AU4" s="8">
        <f>AVERAGE(AU6:AU300)</f>
        <v>4.4935349688437501E-2</v>
      </c>
      <c r="AV4" s="19" t="s">
        <v>3</v>
      </c>
      <c r="AW4" s="19"/>
      <c r="AX4" s="8">
        <f>AVERAGE(AX6:AX300)</f>
        <v>8.7051262417678563E-2</v>
      </c>
      <c r="AY4" s="19" t="s">
        <v>3</v>
      </c>
      <c r="AZ4" s="19"/>
      <c r="BA4" s="8">
        <f>AVERAGE(BA6:BA300)</f>
        <v>5.461047236979167E-2</v>
      </c>
      <c r="BB4" s="19" t="s">
        <v>3</v>
      </c>
      <c r="BC4" s="19"/>
      <c r="BD4" s="8">
        <f>AVERAGE(BD6:BD300)</f>
        <v>5.1503602118750005E-2</v>
      </c>
      <c r="BE4" s="19" t="s">
        <v>3</v>
      </c>
      <c r="BF4" s="19"/>
      <c r="BG4" s="8">
        <f>AVERAGE(BG6:BG300)</f>
        <v>6.4125017569999998E-2</v>
      </c>
      <c r="BH4" s="19" t="s">
        <v>3</v>
      </c>
      <c r="BI4" s="19"/>
      <c r="BJ4" s="8">
        <f>AVERAGE(BJ6:BJ300)</f>
        <v>7.8219617234374983E-2</v>
      </c>
    </row>
    <row r="5" spans="1:62" x14ac:dyDescent="0.2">
      <c r="A5" s="1"/>
      <c r="B5" s="1"/>
      <c r="C5" s="8" t="s">
        <v>2</v>
      </c>
      <c r="D5" s="8" t="s">
        <v>1</v>
      </c>
      <c r="E5" s="8" t="s">
        <v>0</v>
      </c>
      <c r="F5" s="8" t="s">
        <v>2</v>
      </c>
      <c r="G5" s="8" t="s">
        <v>1</v>
      </c>
      <c r="H5" s="8" t="s">
        <v>0</v>
      </c>
      <c r="I5" s="8" t="s">
        <v>2</v>
      </c>
      <c r="J5" s="8" t="s">
        <v>1</v>
      </c>
      <c r="K5" s="8" t="s">
        <v>0</v>
      </c>
      <c r="L5" s="8" t="s">
        <v>2</v>
      </c>
      <c r="M5" s="8" t="s">
        <v>1</v>
      </c>
      <c r="N5" s="8" t="s">
        <v>0</v>
      </c>
      <c r="O5" s="8" t="s">
        <v>2</v>
      </c>
      <c r="P5" s="8" t="s">
        <v>1</v>
      </c>
      <c r="Q5" s="8" t="s">
        <v>0</v>
      </c>
      <c r="R5" s="8" t="s">
        <v>2</v>
      </c>
      <c r="S5" s="8" t="s">
        <v>1</v>
      </c>
      <c r="T5" s="8" t="s">
        <v>0</v>
      </c>
      <c r="U5" s="8" t="s">
        <v>2</v>
      </c>
      <c r="V5" s="8" t="s">
        <v>1</v>
      </c>
      <c r="W5" s="8" t="s">
        <v>0</v>
      </c>
      <c r="X5" s="8" t="s">
        <v>2</v>
      </c>
      <c r="Y5" s="8" t="s">
        <v>1</v>
      </c>
      <c r="Z5" s="8" t="s">
        <v>0</v>
      </c>
      <c r="AA5" s="8" t="s">
        <v>2</v>
      </c>
      <c r="AB5" s="8" t="s">
        <v>1</v>
      </c>
      <c r="AC5" s="8" t="s">
        <v>0</v>
      </c>
      <c r="AD5" s="8" t="s">
        <v>2</v>
      </c>
      <c r="AE5" s="8" t="s">
        <v>1</v>
      </c>
      <c r="AF5" s="8" t="s">
        <v>0</v>
      </c>
      <c r="AG5" s="8" t="s">
        <v>2</v>
      </c>
      <c r="AH5" s="8" t="s">
        <v>1</v>
      </c>
      <c r="AI5" s="8" t="s">
        <v>0</v>
      </c>
      <c r="AJ5" s="8" t="s">
        <v>2</v>
      </c>
      <c r="AK5" s="8" t="s">
        <v>1</v>
      </c>
      <c r="AL5" s="8" t="s">
        <v>0</v>
      </c>
      <c r="AM5" s="8" t="s">
        <v>2</v>
      </c>
      <c r="AN5" s="8" t="s">
        <v>1</v>
      </c>
      <c r="AO5" s="8" t="s">
        <v>0</v>
      </c>
      <c r="AP5" s="8" t="s">
        <v>2</v>
      </c>
      <c r="AQ5" s="8" t="s">
        <v>1</v>
      </c>
      <c r="AR5" s="8" t="s">
        <v>0</v>
      </c>
      <c r="AS5" s="8" t="s">
        <v>2</v>
      </c>
      <c r="AT5" s="8" t="s">
        <v>1</v>
      </c>
      <c r="AU5" s="8" t="s">
        <v>0</v>
      </c>
      <c r="AV5" s="8" t="s">
        <v>2</v>
      </c>
      <c r="AW5" s="8" t="s">
        <v>1</v>
      </c>
      <c r="AX5" s="8" t="s">
        <v>0</v>
      </c>
      <c r="AY5" s="8" t="s">
        <v>2</v>
      </c>
      <c r="AZ5" s="8" t="s">
        <v>1</v>
      </c>
      <c r="BA5" s="8" t="s">
        <v>0</v>
      </c>
      <c r="BB5" s="8" t="s">
        <v>2</v>
      </c>
      <c r="BC5" s="8" t="s">
        <v>1</v>
      </c>
      <c r="BD5" s="8" t="s">
        <v>0</v>
      </c>
      <c r="BE5" s="8" t="s">
        <v>2</v>
      </c>
      <c r="BF5" s="8" t="s">
        <v>1</v>
      </c>
      <c r="BG5" s="8" t="s">
        <v>0</v>
      </c>
      <c r="BH5" s="8" t="s">
        <v>2</v>
      </c>
      <c r="BI5" s="8" t="s">
        <v>1</v>
      </c>
      <c r="BJ5" s="8" t="s">
        <v>0</v>
      </c>
    </row>
    <row r="6" spans="1:62" x14ac:dyDescent="0.2">
      <c r="C6" s="3">
        <v>757.27</v>
      </c>
      <c r="D6" s="3">
        <v>27.75</v>
      </c>
      <c r="E6" s="2">
        <f t="shared" ref="E6:E35" si="0">(C6*D6*D6)/1600000</f>
        <v>0.364465768359375</v>
      </c>
      <c r="F6" s="3">
        <v>214.12</v>
      </c>
      <c r="G6" s="3">
        <v>11.34</v>
      </c>
      <c r="H6" s="2">
        <f t="shared" ref="H6:H15" si="1">(F6*G6*G6)/1600000</f>
        <v>1.7209306170000001E-2</v>
      </c>
      <c r="I6" s="3">
        <v>362.58</v>
      </c>
      <c r="J6" s="3">
        <v>21.68</v>
      </c>
      <c r="K6" s="2">
        <f t="shared" ref="K6:K37" si="2">(I6*J6*J6)/1600000</f>
        <v>0.10651295112</v>
      </c>
      <c r="L6" s="3">
        <v>385.83</v>
      </c>
      <c r="M6" s="3">
        <v>25.21</v>
      </c>
      <c r="N6" s="2">
        <f t="shared" ref="N6" si="3">(L6*M6*M6)/1600000</f>
        <v>0.15325748756437499</v>
      </c>
      <c r="O6" s="3">
        <v>399.91</v>
      </c>
      <c r="P6" s="3">
        <v>16.940000000000001</v>
      </c>
      <c r="Q6" s="2">
        <f t="shared" ref="Q6:Q37" si="4">(O6*P6*P6)/1600000</f>
        <v>7.1724758297500024E-2</v>
      </c>
      <c r="R6" s="3">
        <v>213.47</v>
      </c>
      <c r="S6" s="3">
        <v>14.93</v>
      </c>
      <c r="T6" s="2">
        <f t="shared" ref="T6:T36" si="5">(R6*S6*S6)/1600000</f>
        <v>2.9739693126874994E-2</v>
      </c>
      <c r="U6" s="3">
        <v>624.71</v>
      </c>
      <c r="V6" s="3">
        <v>12.69</v>
      </c>
      <c r="W6" s="2">
        <f t="shared" ref="W6:W7" si="6">(U6*V6*V6)/1600000</f>
        <v>6.2875538769375003E-2</v>
      </c>
      <c r="X6" s="3">
        <v>300.92</v>
      </c>
      <c r="Y6" s="3">
        <v>12.56</v>
      </c>
      <c r="Z6" s="2">
        <f t="shared" ref="Z6:Z8" si="7">(X6*Y6*Y6)/1600000</f>
        <v>2.9669508320000003E-2</v>
      </c>
      <c r="AA6" s="3">
        <v>350.05</v>
      </c>
      <c r="AB6" s="3">
        <v>16.59</v>
      </c>
      <c r="AC6" s="2">
        <f t="shared" ref="AC6:AC11" si="8">(AA6*AB6*AB6)/1600000</f>
        <v>6.0214747753124992E-2</v>
      </c>
      <c r="AD6" s="3">
        <v>337.82</v>
      </c>
      <c r="AE6" s="3">
        <v>12.97</v>
      </c>
      <c r="AF6" s="2">
        <f t="shared" ref="AF6" si="9">(AD6*AE6*AE6)/1600000</f>
        <v>3.5517740273750008E-2</v>
      </c>
      <c r="AG6" s="3">
        <v>498.74</v>
      </c>
      <c r="AH6" s="3">
        <v>20.9</v>
      </c>
      <c r="AI6" s="2">
        <f t="shared" ref="AI6:AI10" si="10">(AG6*AH6*AH6)/1600000</f>
        <v>0.13615913712499997</v>
      </c>
      <c r="AJ6" s="3">
        <v>241.33</v>
      </c>
      <c r="AK6" s="3">
        <v>15.86</v>
      </c>
      <c r="AL6" s="2">
        <f t="shared" ref="AL6:AL8" si="11">(AJ6*AK6*AK6)/1600000</f>
        <v>3.7940032292500002E-2</v>
      </c>
      <c r="AM6" s="3">
        <v>436.71</v>
      </c>
      <c r="AN6" s="3">
        <v>15.59</v>
      </c>
      <c r="AO6" s="2">
        <f t="shared" ref="AO6:AO7" si="12">(AM6*AN6*AN6)/1600000</f>
        <v>6.6338459844375003E-2</v>
      </c>
      <c r="AP6" s="3">
        <v>414.14</v>
      </c>
      <c r="AQ6" s="3">
        <v>12.4</v>
      </c>
      <c r="AR6" s="2">
        <f t="shared" ref="AR6:AR7" si="13">(AP6*AQ6*AQ6)/1600000</f>
        <v>3.9798854000000002E-2</v>
      </c>
      <c r="AS6" s="3">
        <v>394.83</v>
      </c>
      <c r="AT6" s="3">
        <v>14.09</v>
      </c>
      <c r="AU6" s="2">
        <f t="shared" ref="AU6:AU7" si="14">(AS6*AT6*AT6)/1600000</f>
        <v>4.8990531076875003E-2</v>
      </c>
      <c r="AV6" s="3">
        <v>252.82</v>
      </c>
      <c r="AW6" s="3">
        <v>16.18</v>
      </c>
      <c r="AX6" s="8">
        <f t="shared" ref="AX6:AX19" si="15">(AV6*AW6*AW6)/1600000</f>
        <v>4.1366471604999996E-2</v>
      </c>
      <c r="AY6" s="3">
        <v>429.66</v>
      </c>
      <c r="AZ6" s="3">
        <v>15.07</v>
      </c>
      <c r="BA6" s="2">
        <f t="shared" ref="BA6:BA8" si="16">(AY6*AZ6*AZ6)/1600000</f>
        <v>6.098618208375E-2</v>
      </c>
      <c r="BB6" s="3">
        <v>387.13</v>
      </c>
      <c r="BC6" s="3">
        <v>13.6</v>
      </c>
      <c r="BD6" s="2">
        <f t="shared" ref="BD6:BD7" si="17">(BB6*BC6*BC6)/1600000</f>
        <v>4.4752227999999998E-2</v>
      </c>
      <c r="BE6" s="3">
        <v>359.04</v>
      </c>
      <c r="BF6" s="3">
        <v>18.03</v>
      </c>
      <c r="BG6" s="2">
        <f t="shared" ref="BG6:BG7" si="18">(BE6*BF6*BF6)/1600000</f>
        <v>7.2948153960000012E-2</v>
      </c>
      <c r="BH6" s="3">
        <v>341.27</v>
      </c>
      <c r="BI6" s="3">
        <v>19.149999999999999</v>
      </c>
      <c r="BJ6" s="2">
        <f t="shared" ref="BJ6" si="19">(BH6*BI6*BI6)/1600000</f>
        <v>7.8219617234374983E-2</v>
      </c>
    </row>
    <row r="7" spans="1:62" x14ac:dyDescent="0.2">
      <c r="C7" s="3">
        <v>684.51</v>
      </c>
      <c r="D7" s="3">
        <v>22.98</v>
      </c>
      <c r="E7" s="2">
        <f t="shared" si="0"/>
        <v>0.2259226966275</v>
      </c>
      <c r="F7" s="3">
        <v>539.38</v>
      </c>
      <c r="G7" s="3">
        <v>18.760000000000002</v>
      </c>
      <c r="H7" s="2">
        <f t="shared" si="1"/>
        <v>0.11864256418000002</v>
      </c>
      <c r="I7" s="3">
        <v>396.87</v>
      </c>
      <c r="J7" s="3">
        <v>17.8</v>
      </c>
      <c r="K7" s="2">
        <f t="shared" si="2"/>
        <v>7.8590181750000002E-2</v>
      </c>
      <c r="L7" s="3"/>
      <c r="M7" s="3"/>
      <c r="N7" s="2"/>
      <c r="O7" s="3">
        <v>366.19</v>
      </c>
      <c r="P7" s="3">
        <v>17.579999999999998</v>
      </c>
      <c r="Q7" s="2">
        <f t="shared" si="4"/>
        <v>7.0733351947499981E-2</v>
      </c>
      <c r="R7" s="3">
        <v>342.03</v>
      </c>
      <c r="S7" s="3">
        <v>21.74</v>
      </c>
      <c r="T7" s="2">
        <f t="shared" si="5"/>
        <v>0.10103301126749997</v>
      </c>
      <c r="U7" s="3">
        <v>556.08000000000004</v>
      </c>
      <c r="V7" s="3">
        <v>14.92</v>
      </c>
      <c r="W7" s="2">
        <f t="shared" si="6"/>
        <v>7.7366854320000011E-2</v>
      </c>
      <c r="X7" s="3">
        <v>286.95</v>
      </c>
      <c r="Y7" s="3">
        <v>15.28</v>
      </c>
      <c r="Z7" s="2">
        <f t="shared" si="7"/>
        <v>4.1872891799999999E-2</v>
      </c>
      <c r="AA7" s="3">
        <v>36.14</v>
      </c>
      <c r="AB7" s="3">
        <v>11.6</v>
      </c>
      <c r="AC7" s="2">
        <f t="shared" si="8"/>
        <v>3.0393739999999996E-3</v>
      </c>
      <c r="AD7" s="3"/>
      <c r="AE7" s="3"/>
      <c r="AF7" s="2"/>
      <c r="AG7" s="3">
        <v>419.62</v>
      </c>
      <c r="AH7" s="3">
        <v>11.23</v>
      </c>
      <c r="AI7" s="2">
        <f t="shared" si="10"/>
        <v>3.3074684436250001E-2</v>
      </c>
      <c r="AJ7" s="3">
        <v>301.61</v>
      </c>
      <c r="AK7" s="3">
        <v>13.31</v>
      </c>
      <c r="AL7" s="2">
        <f t="shared" si="11"/>
        <v>3.3395032075625004E-2</v>
      </c>
      <c r="AM7" s="3">
        <v>433.9</v>
      </c>
      <c r="AN7" s="3">
        <v>14.82</v>
      </c>
      <c r="AO7" s="2">
        <f t="shared" si="12"/>
        <v>5.9561561474999997E-2</v>
      </c>
      <c r="AP7" s="3">
        <v>472.33</v>
      </c>
      <c r="AQ7" s="3">
        <v>13.07</v>
      </c>
      <c r="AR7" s="2">
        <f t="shared" si="13"/>
        <v>5.0428578135625006E-2</v>
      </c>
      <c r="AS7" s="3">
        <v>190.7</v>
      </c>
      <c r="AT7" s="3">
        <v>18.52</v>
      </c>
      <c r="AU7" s="2">
        <f t="shared" si="14"/>
        <v>4.0880168299999999E-2</v>
      </c>
      <c r="AV7" s="3">
        <v>358.34</v>
      </c>
      <c r="AW7" s="3">
        <v>15.09</v>
      </c>
      <c r="AX7" s="8">
        <f t="shared" si="15"/>
        <v>5.0998075346249998E-2</v>
      </c>
      <c r="AY7" s="3">
        <v>460.42</v>
      </c>
      <c r="AZ7" s="3">
        <v>16.37</v>
      </c>
      <c r="BA7" s="2">
        <f t="shared" si="16"/>
        <v>7.7113702686250007E-2</v>
      </c>
      <c r="BB7" s="3">
        <v>460.95</v>
      </c>
      <c r="BC7" s="3">
        <v>14.22</v>
      </c>
      <c r="BD7" s="2">
        <f t="shared" si="17"/>
        <v>5.8254976237500006E-2</v>
      </c>
      <c r="BE7" s="3">
        <v>324.22000000000003</v>
      </c>
      <c r="BF7" s="3">
        <v>16.52</v>
      </c>
      <c r="BG7" s="2">
        <f t="shared" si="18"/>
        <v>5.5301881179999998E-2</v>
      </c>
      <c r="BH7" s="3"/>
      <c r="BI7" s="3"/>
      <c r="BJ7" s="2"/>
    </row>
    <row r="8" spans="1:62" x14ac:dyDescent="0.2">
      <c r="C8" s="3">
        <v>474.97</v>
      </c>
      <c r="D8" s="3">
        <v>14.27</v>
      </c>
      <c r="E8" s="2">
        <f t="shared" si="0"/>
        <v>6.0449699070625001E-2</v>
      </c>
      <c r="F8" s="3">
        <v>331.97</v>
      </c>
      <c r="G8" s="3">
        <v>12.07</v>
      </c>
      <c r="H8" s="2">
        <f t="shared" si="1"/>
        <v>3.0226885158125005E-2</v>
      </c>
      <c r="I8" s="3">
        <v>344.02</v>
      </c>
      <c r="J8" s="3">
        <v>14.6</v>
      </c>
      <c r="K8" s="2">
        <f t="shared" si="2"/>
        <v>4.5832064499999998E-2</v>
      </c>
      <c r="L8" s="3"/>
      <c r="M8" s="3"/>
      <c r="N8" s="2"/>
      <c r="O8" s="3">
        <v>387.38</v>
      </c>
      <c r="P8" s="3">
        <v>14.95</v>
      </c>
      <c r="Q8" s="2">
        <f t="shared" si="4"/>
        <v>5.4112749031249983E-2</v>
      </c>
      <c r="R8" s="3">
        <v>372.41</v>
      </c>
      <c r="S8" s="3">
        <v>20.87</v>
      </c>
      <c r="T8" s="2">
        <f t="shared" si="5"/>
        <v>0.10137859070562504</v>
      </c>
      <c r="U8" s="3"/>
      <c r="V8" s="3"/>
      <c r="W8" s="2"/>
      <c r="X8" s="3">
        <v>248.8</v>
      </c>
      <c r="Y8" s="3">
        <v>14.18</v>
      </c>
      <c r="Z8" s="2">
        <f t="shared" si="7"/>
        <v>3.1266758200000001E-2</v>
      </c>
      <c r="AA8" s="3">
        <v>352.12</v>
      </c>
      <c r="AB8" s="3">
        <v>12.1</v>
      </c>
      <c r="AC8" s="2">
        <f t="shared" si="8"/>
        <v>3.2221180750000002E-2</v>
      </c>
      <c r="AD8" s="3"/>
      <c r="AE8" s="3"/>
      <c r="AF8" s="2"/>
      <c r="AG8" s="3">
        <v>337.51</v>
      </c>
      <c r="AH8" s="3">
        <v>19.350000000000001</v>
      </c>
      <c r="AI8" s="2">
        <f t="shared" si="10"/>
        <v>7.8982086234375012E-2</v>
      </c>
      <c r="AJ8" s="3">
        <v>346.87</v>
      </c>
      <c r="AK8" s="3">
        <v>14.94</v>
      </c>
      <c r="AL8" s="2">
        <f t="shared" si="11"/>
        <v>4.8389145457499998E-2</v>
      </c>
      <c r="AM8" s="3"/>
      <c r="AN8" s="3"/>
      <c r="AO8" s="2"/>
      <c r="AP8" s="3"/>
      <c r="AQ8" s="3"/>
      <c r="AR8" s="2"/>
      <c r="AS8" s="3"/>
      <c r="AT8" s="3"/>
      <c r="AU8" s="2"/>
      <c r="AV8" s="3">
        <v>360.98</v>
      </c>
      <c r="AW8" s="3">
        <v>15.69</v>
      </c>
      <c r="AX8" s="8">
        <f t="shared" si="15"/>
        <v>5.5540405361250003E-2</v>
      </c>
      <c r="AY8" s="3">
        <v>285.43</v>
      </c>
      <c r="AZ8" s="3">
        <v>12.01</v>
      </c>
      <c r="BA8" s="2">
        <f t="shared" si="16"/>
        <v>2.5731532339374998E-2</v>
      </c>
      <c r="BB8" s="3"/>
      <c r="BC8" s="3"/>
      <c r="BD8" s="2"/>
      <c r="BE8" s="3"/>
      <c r="BF8" s="3"/>
      <c r="BG8" s="2"/>
      <c r="BH8" s="3"/>
      <c r="BI8" s="3"/>
      <c r="BJ8" s="2"/>
    </row>
    <row r="9" spans="1:62" x14ac:dyDescent="0.2">
      <c r="C9" s="3">
        <v>754.54</v>
      </c>
      <c r="D9" s="3">
        <v>28.99</v>
      </c>
      <c r="E9" s="2">
        <f t="shared" si="0"/>
        <v>0.39633161390874994</v>
      </c>
      <c r="F9" s="3">
        <v>474.64</v>
      </c>
      <c r="G9" s="3">
        <v>18.98</v>
      </c>
      <c r="H9" s="2">
        <f t="shared" si="1"/>
        <v>0.10686531466</v>
      </c>
      <c r="I9" s="3">
        <v>343.6</v>
      </c>
      <c r="J9" s="3">
        <v>17.89</v>
      </c>
      <c r="K9" s="2">
        <f t="shared" si="2"/>
        <v>6.873118847500001E-2</v>
      </c>
      <c r="L9" s="3"/>
      <c r="M9" s="3"/>
      <c r="N9" s="2"/>
      <c r="O9" s="3">
        <v>407</v>
      </c>
      <c r="P9" s="3">
        <v>14.94</v>
      </c>
      <c r="Q9" s="2">
        <f t="shared" si="4"/>
        <v>5.6777415749999997E-2</v>
      </c>
      <c r="R9" s="3">
        <v>346.82</v>
      </c>
      <c r="S9" s="3">
        <v>20.11</v>
      </c>
      <c r="T9" s="2">
        <f t="shared" si="5"/>
        <v>8.7661377826249998E-2</v>
      </c>
      <c r="U9" s="3"/>
      <c r="V9" s="3"/>
      <c r="W9" s="2"/>
      <c r="X9" s="3"/>
      <c r="Y9" s="3"/>
      <c r="Z9" s="2"/>
      <c r="AA9" s="3">
        <v>358.06</v>
      </c>
      <c r="AB9" s="3">
        <v>14.88</v>
      </c>
      <c r="AC9" s="2">
        <f t="shared" si="8"/>
        <v>4.9549775040000008E-2</v>
      </c>
      <c r="AD9" s="3"/>
      <c r="AE9" s="3"/>
      <c r="AF9" s="2"/>
      <c r="AG9" s="3">
        <v>730.4</v>
      </c>
      <c r="AH9" s="3">
        <v>23.71</v>
      </c>
      <c r="AI9" s="2">
        <f t="shared" si="10"/>
        <v>0.25662791164999998</v>
      </c>
      <c r="AJ9" s="3"/>
      <c r="AK9" s="3"/>
      <c r="AL9" s="2"/>
      <c r="AM9" s="3"/>
      <c r="AN9" s="3"/>
      <c r="AO9" s="2"/>
      <c r="AP9" s="3"/>
      <c r="AQ9" s="3"/>
      <c r="AR9" s="2"/>
      <c r="AS9" s="3"/>
      <c r="AT9" s="3"/>
      <c r="AU9" s="2"/>
      <c r="AV9" s="3">
        <v>495.67</v>
      </c>
      <c r="AW9" s="3">
        <v>20.05</v>
      </c>
      <c r="AX9" s="8">
        <f t="shared" si="15"/>
        <v>0.12453786198437501</v>
      </c>
      <c r="AY9" s="3"/>
      <c r="AZ9" s="3"/>
      <c r="BA9" s="2"/>
      <c r="BB9" s="3"/>
      <c r="BC9" s="3"/>
      <c r="BD9" s="2"/>
      <c r="BE9" s="3"/>
      <c r="BF9" s="3"/>
      <c r="BG9" s="2"/>
      <c r="BH9" s="3"/>
      <c r="BI9" s="3"/>
      <c r="BJ9" s="2"/>
    </row>
    <row r="10" spans="1:62" x14ac:dyDescent="0.2">
      <c r="C10" s="3">
        <v>285.52</v>
      </c>
      <c r="D10" s="3">
        <v>16.68</v>
      </c>
      <c r="E10" s="2">
        <f t="shared" si="0"/>
        <v>4.9648787279999995E-2</v>
      </c>
      <c r="F10" s="3">
        <v>467.37</v>
      </c>
      <c r="G10" s="3">
        <v>15.16</v>
      </c>
      <c r="H10" s="2">
        <f t="shared" si="1"/>
        <v>6.7133494170000002E-2</v>
      </c>
      <c r="I10" s="3">
        <v>380.67</v>
      </c>
      <c r="J10" s="3">
        <v>118.7</v>
      </c>
      <c r="K10" s="2">
        <f t="shared" si="2"/>
        <v>3.3522014326875005</v>
      </c>
      <c r="L10" s="3"/>
      <c r="M10" s="3"/>
      <c r="N10" s="2"/>
      <c r="O10" s="3">
        <v>429</v>
      </c>
      <c r="P10" s="3">
        <v>18.64</v>
      </c>
      <c r="Q10" s="2">
        <f t="shared" si="4"/>
        <v>9.3159924000000005E-2</v>
      </c>
      <c r="R10" s="3">
        <v>317.18</v>
      </c>
      <c r="S10" s="3">
        <v>18.440000000000001</v>
      </c>
      <c r="T10" s="2">
        <f t="shared" si="5"/>
        <v>6.740741078000001E-2</v>
      </c>
      <c r="U10" s="3"/>
      <c r="V10" s="3"/>
      <c r="W10" s="2"/>
      <c r="X10" s="3"/>
      <c r="Y10" s="3"/>
      <c r="Z10" s="2"/>
      <c r="AA10" s="3">
        <v>356.32</v>
      </c>
      <c r="AB10" s="3">
        <v>11.03</v>
      </c>
      <c r="AC10" s="2">
        <f t="shared" si="8"/>
        <v>2.7093882429999994E-2</v>
      </c>
      <c r="AD10" s="3"/>
      <c r="AE10" s="3"/>
      <c r="AF10" s="2"/>
      <c r="AG10" s="3">
        <v>397.1</v>
      </c>
      <c r="AH10" s="3">
        <v>16.760000000000002</v>
      </c>
      <c r="AI10" s="2">
        <f t="shared" si="10"/>
        <v>6.9715273100000016E-2</v>
      </c>
      <c r="AJ10" s="3"/>
      <c r="AK10" s="3"/>
      <c r="AL10" s="2"/>
      <c r="AM10" s="3"/>
      <c r="AN10" s="3"/>
      <c r="AO10" s="2"/>
      <c r="AP10" s="3"/>
      <c r="AQ10" s="3"/>
      <c r="AR10" s="2"/>
      <c r="AS10" s="3"/>
      <c r="AT10" s="3"/>
      <c r="AU10" s="2"/>
      <c r="AV10" s="3">
        <v>410.06</v>
      </c>
      <c r="AW10" s="3">
        <v>15.2</v>
      </c>
      <c r="AX10" s="8">
        <f t="shared" si="15"/>
        <v>5.9212663999999998E-2</v>
      </c>
      <c r="AY10" s="3"/>
      <c r="AZ10" s="3"/>
      <c r="BA10" s="2"/>
      <c r="BB10" s="3"/>
      <c r="BC10" s="3"/>
      <c r="BD10" s="2"/>
      <c r="BE10" s="3"/>
      <c r="BF10" s="3"/>
      <c r="BG10" s="2"/>
      <c r="BH10" s="3"/>
      <c r="BI10" s="3"/>
      <c r="BJ10" s="2"/>
    </row>
    <row r="11" spans="1:62" x14ac:dyDescent="0.2">
      <c r="C11" s="3">
        <v>628.49</v>
      </c>
      <c r="D11" s="3">
        <v>24.09</v>
      </c>
      <c r="E11" s="2">
        <f t="shared" si="0"/>
        <v>0.22795650473062498</v>
      </c>
      <c r="F11" s="3">
        <v>415.19</v>
      </c>
      <c r="G11" s="3">
        <v>14.39</v>
      </c>
      <c r="H11" s="2">
        <f t="shared" si="1"/>
        <v>5.3733915749375E-2</v>
      </c>
      <c r="I11" s="3">
        <v>379.38</v>
      </c>
      <c r="J11" s="3">
        <v>14.03</v>
      </c>
      <c r="K11" s="2">
        <f t="shared" si="2"/>
        <v>4.6673437901249996E-2</v>
      </c>
      <c r="L11" s="3"/>
      <c r="M11" s="3"/>
      <c r="N11" s="2"/>
      <c r="O11" s="3">
        <v>226.31</v>
      </c>
      <c r="P11" s="3">
        <v>18.670000000000002</v>
      </c>
      <c r="Q11" s="2">
        <f t="shared" si="4"/>
        <v>4.9302892349375016E-2</v>
      </c>
      <c r="R11" s="3">
        <v>462.03</v>
      </c>
      <c r="S11" s="3">
        <v>29.2</v>
      </c>
      <c r="T11" s="2">
        <f t="shared" si="5"/>
        <v>0.24621578699999994</v>
      </c>
      <c r="U11" s="3"/>
      <c r="V11" s="3"/>
      <c r="W11" s="2"/>
      <c r="X11" s="3"/>
      <c r="Y11" s="3"/>
      <c r="Z11" s="2"/>
      <c r="AA11" s="3">
        <v>370</v>
      </c>
      <c r="AB11" s="3">
        <v>12.19</v>
      </c>
      <c r="AC11" s="2">
        <f t="shared" si="8"/>
        <v>3.4362848124999998E-2</v>
      </c>
      <c r="AD11" s="3"/>
      <c r="AE11" s="3"/>
      <c r="AF11" s="2"/>
      <c r="AG11" s="3"/>
      <c r="AH11" s="3"/>
      <c r="AI11" s="2"/>
      <c r="AJ11" s="3"/>
      <c r="AK11" s="3"/>
      <c r="AL11" s="2"/>
      <c r="AM11" s="3"/>
      <c r="AN11" s="3"/>
      <c r="AO11" s="2"/>
      <c r="AP11" s="3"/>
      <c r="AQ11" s="3"/>
      <c r="AR11" s="2"/>
      <c r="AS11" s="3"/>
      <c r="AT11" s="3"/>
      <c r="AU11" s="2"/>
      <c r="AV11" s="3">
        <v>648.21</v>
      </c>
      <c r="AW11" s="3">
        <v>20.27</v>
      </c>
      <c r="AX11" s="8">
        <f t="shared" si="15"/>
        <v>0.166457451568125</v>
      </c>
      <c r="AY11" s="3"/>
      <c r="AZ11" s="3"/>
      <c r="BA11" s="2"/>
      <c r="BB11" s="3"/>
      <c r="BC11" s="3"/>
      <c r="BD11" s="2"/>
      <c r="BE11" s="3"/>
      <c r="BF11" s="3"/>
      <c r="BG11" s="2"/>
      <c r="BH11" s="3"/>
      <c r="BI11" s="3"/>
      <c r="BJ11" s="2"/>
    </row>
    <row r="12" spans="1:62" x14ac:dyDescent="0.2">
      <c r="C12" s="3">
        <v>885.35</v>
      </c>
      <c r="D12" s="3">
        <v>28.08</v>
      </c>
      <c r="E12" s="2">
        <f t="shared" si="0"/>
        <v>0.43630402139999996</v>
      </c>
      <c r="F12" s="3">
        <v>432.71</v>
      </c>
      <c r="G12" s="3">
        <v>13.38</v>
      </c>
      <c r="H12" s="2">
        <f t="shared" si="1"/>
        <v>4.8416030077500012E-2</v>
      </c>
      <c r="I12" s="3">
        <v>406.74</v>
      </c>
      <c r="J12" s="3">
        <v>16.899999999999999</v>
      </c>
      <c r="K12" s="2">
        <f t="shared" si="2"/>
        <v>7.2605632125E-2</v>
      </c>
      <c r="L12" s="3"/>
      <c r="M12" s="3"/>
      <c r="N12" s="2"/>
      <c r="O12" s="3">
        <v>350.45</v>
      </c>
      <c r="P12" s="3">
        <v>14.12</v>
      </c>
      <c r="Q12" s="2">
        <f t="shared" si="4"/>
        <v>4.3669224049999997E-2</v>
      </c>
      <c r="R12" s="3">
        <v>279.08</v>
      </c>
      <c r="S12" s="3">
        <v>19.22</v>
      </c>
      <c r="T12" s="2">
        <f t="shared" si="5"/>
        <v>6.4434060169999988E-2</v>
      </c>
      <c r="U12" s="3"/>
      <c r="V12" s="3"/>
      <c r="W12" s="2"/>
      <c r="X12" s="3"/>
      <c r="Y12" s="3"/>
      <c r="Z12" s="2"/>
      <c r="AA12" s="3"/>
      <c r="AB12" s="3"/>
      <c r="AC12" s="2"/>
      <c r="AD12" s="3"/>
      <c r="AE12" s="3"/>
      <c r="AF12" s="2"/>
      <c r="AG12" s="3"/>
      <c r="AH12" s="3"/>
      <c r="AI12" s="2"/>
      <c r="AJ12" s="3"/>
      <c r="AK12" s="3"/>
      <c r="AL12" s="2"/>
      <c r="AM12" s="3"/>
      <c r="AN12" s="3"/>
      <c r="AO12" s="2"/>
      <c r="AP12" s="3"/>
      <c r="AQ12" s="3"/>
      <c r="AR12" s="2"/>
      <c r="AS12" s="3"/>
      <c r="AT12" s="3"/>
      <c r="AU12" s="2"/>
      <c r="AV12" s="3">
        <v>319.54000000000002</v>
      </c>
      <c r="AW12" s="3">
        <v>14.08</v>
      </c>
      <c r="AX12" s="8">
        <f t="shared" si="15"/>
        <v>3.9592284159999998E-2</v>
      </c>
      <c r="AY12" s="3"/>
      <c r="AZ12" s="3"/>
      <c r="BA12" s="2"/>
      <c r="BB12" s="3"/>
      <c r="BC12" s="3"/>
      <c r="BD12" s="2"/>
      <c r="BE12" s="3"/>
      <c r="BF12" s="3"/>
      <c r="BG12" s="2"/>
      <c r="BH12" s="3"/>
      <c r="BI12" s="3"/>
      <c r="BJ12" s="2"/>
    </row>
    <row r="13" spans="1:62" x14ac:dyDescent="0.2">
      <c r="C13" s="3">
        <v>614.61</v>
      </c>
      <c r="D13" s="3">
        <v>19.71</v>
      </c>
      <c r="E13" s="2">
        <f t="shared" si="0"/>
        <v>0.14922888293812503</v>
      </c>
      <c r="F13" s="3">
        <v>206.89</v>
      </c>
      <c r="G13" s="3">
        <v>10.08</v>
      </c>
      <c r="H13" s="2">
        <f t="shared" si="1"/>
        <v>1.313834256E-2</v>
      </c>
      <c r="I13" s="3">
        <v>308.20999999999998</v>
      </c>
      <c r="J13" s="3">
        <v>19.28</v>
      </c>
      <c r="K13" s="2">
        <f t="shared" si="2"/>
        <v>7.1604580040000004E-2</v>
      </c>
      <c r="L13" s="3"/>
      <c r="M13" s="3"/>
      <c r="N13" s="2"/>
      <c r="O13" s="3">
        <v>385.84</v>
      </c>
      <c r="P13" s="3">
        <v>16.55</v>
      </c>
      <c r="Q13" s="2">
        <f t="shared" si="4"/>
        <v>6.6051587874999998E-2</v>
      </c>
      <c r="R13" s="3">
        <v>241.31</v>
      </c>
      <c r="S13" s="3">
        <v>14.29</v>
      </c>
      <c r="T13" s="2">
        <f t="shared" si="5"/>
        <v>3.0797807106874998E-2</v>
      </c>
      <c r="U13" s="3"/>
      <c r="V13" s="3"/>
      <c r="W13" s="2"/>
      <c r="X13" s="3"/>
      <c r="Y13" s="3"/>
      <c r="Z13" s="2"/>
      <c r="AA13" s="3"/>
      <c r="AB13" s="3"/>
      <c r="AC13" s="2"/>
      <c r="AD13" s="3"/>
      <c r="AE13" s="3"/>
      <c r="AF13" s="2"/>
      <c r="AG13" s="3"/>
      <c r="AH13" s="3"/>
      <c r="AI13" s="2"/>
      <c r="AJ13" s="3"/>
      <c r="AK13" s="3"/>
      <c r="AL13" s="2"/>
      <c r="AM13" s="3"/>
      <c r="AN13" s="3"/>
      <c r="AO13" s="2"/>
      <c r="AP13" s="3"/>
      <c r="AQ13" s="3"/>
      <c r="AR13" s="2"/>
      <c r="AS13" s="3"/>
      <c r="AT13" s="3"/>
      <c r="AU13" s="2"/>
      <c r="AV13" s="3">
        <v>391.46</v>
      </c>
      <c r="AW13" s="3">
        <v>18.77</v>
      </c>
      <c r="AX13" s="8">
        <f t="shared" si="15"/>
        <v>8.6197754896249992E-2</v>
      </c>
      <c r="AY13" s="3"/>
      <c r="AZ13" s="3"/>
      <c r="BA13" s="2"/>
      <c r="BB13" s="3"/>
      <c r="BC13" s="3"/>
      <c r="BD13" s="2"/>
      <c r="BE13" s="3"/>
      <c r="BF13" s="3"/>
      <c r="BG13" s="2"/>
      <c r="BH13" s="3"/>
      <c r="BI13" s="3"/>
      <c r="BJ13" s="2"/>
    </row>
    <row r="14" spans="1:62" x14ac:dyDescent="0.2">
      <c r="C14" s="3">
        <v>760.5</v>
      </c>
      <c r="D14" s="3">
        <v>23.26</v>
      </c>
      <c r="E14" s="2">
        <f t="shared" si="0"/>
        <v>0.25715718112500002</v>
      </c>
      <c r="F14" s="3">
        <v>560.98</v>
      </c>
      <c r="G14" s="3">
        <v>17.88</v>
      </c>
      <c r="H14" s="2">
        <f t="shared" si="1"/>
        <v>0.11208885281999999</v>
      </c>
      <c r="I14" s="3">
        <v>411.1</v>
      </c>
      <c r="J14" s="3">
        <v>16.920000000000002</v>
      </c>
      <c r="K14" s="2">
        <f t="shared" si="2"/>
        <v>7.3557711900000017E-2</v>
      </c>
      <c r="L14" s="3"/>
      <c r="M14" s="3"/>
      <c r="N14" s="2"/>
      <c r="O14" s="3">
        <v>355.41</v>
      </c>
      <c r="P14" s="3">
        <v>18.64</v>
      </c>
      <c r="Q14" s="2">
        <f t="shared" si="4"/>
        <v>7.7179413960000012E-2</v>
      </c>
      <c r="R14" s="3">
        <v>228.01</v>
      </c>
      <c r="S14" s="3">
        <v>16.5</v>
      </c>
      <c r="T14" s="2">
        <f t="shared" si="5"/>
        <v>3.8797326562499998E-2</v>
      </c>
      <c r="U14" s="3"/>
      <c r="V14" s="3"/>
      <c r="W14" s="2"/>
      <c r="X14" s="3"/>
      <c r="Y14" s="3"/>
      <c r="Z14" s="2"/>
      <c r="AA14" s="3"/>
      <c r="AB14" s="3"/>
      <c r="AC14" s="2"/>
      <c r="AD14" s="3"/>
      <c r="AE14" s="3"/>
      <c r="AF14" s="2"/>
      <c r="AG14" s="3"/>
      <c r="AH14" s="3"/>
      <c r="AI14" s="2"/>
      <c r="AJ14" s="3"/>
      <c r="AK14" s="3"/>
      <c r="AL14" s="2"/>
      <c r="AM14" s="3"/>
      <c r="AN14" s="3"/>
      <c r="AO14" s="2"/>
      <c r="AP14" s="3"/>
      <c r="AQ14" s="3"/>
      <c r="AR14" s="2"/>
      <c r="AS14" s="3"/>
      <c r="AT14" s="3"/>
      <c r="AU14" s="2"/>
      <c r="AV14" s="3">
        <v>443.25</v>
      </c>
      <c r="AW14" s="3">
        <v>17.2</v>
      </c>
      <c r="AX14" s="8">
        <f t="shared" si="15"/>
        <v>8.1956924999999986E-2</v>
      </c>
      <c r="AY14" s="3"/>
      <c r="AZ14" s="3"/>
      <c r="BA14" s="2"/>
      <c r="BB14" s="3"/>
      <c r="BC14" s="3"/>
      <c r="BD14" s="2"/>
      <c r="BE14" s="3"/>
      <c r="BF14" s="3"/>
      <c r="BG14" s="2"/>
      <c r="BH14" s="3"/>
      <c r="BI14" s="3"/>
      <c r="BJ14" s="2"/>
    </row>
    <row r="15" spans="1:62" x14ac:dyDescent="0.2">
      <c r="C15" s="3">
        <v>741.87</v>
      </c>
      <c r="D15" s="3">
        <v>25.18</v>
      </c>
      <c r="E15" s="2">
        <f t="shared" si="0"/>
        <v>0.29398101036749996</v>
      </c>
      <c r="F15" s="3">
        <v>381.59</v>
      </c>
      <c r="G15" s="3">
        <v>13.67</v>
      </c>
      <c r="H15" s="2">
        <f t="shared" si="1"/>
        <v>4.4567064719374994E-2</v>
      </c>
      <c r="I15" s="3">
        <v>370.59</v>
      </c>
      <c r="J15" s="3">
        <v>17.28</v>
      </c>
      <c r="K15" s="2">
        <f t="shared" si="2"/>
        <v>6.9160988159999992E-2</v>
      </c>
      <c r="L15" s="3"/>
      <c r="M15" s="3"/>
      <c r="N15" s="2"/>
      <c r="O15" s="3">
        <v>401.34</v>
      </c>
      <c r="P15" s="3">
        <v>16</v>
      </c>
      <c r="Q15" s="2">
        <f t="shared" si="4"/>
        <v>6.4214399999999991E-2</v>
      </c>
      <c r="R15" s="3">
        <v>356.24</v>
      </c>
      <c r="S15" s="3">
        <v>17.510000000000002</v>
      </c>
      <c r="T15" s="2">
        <f t="shared" si="5"/>
        <v>6.8264512265000007E-2</v>
      </c>
      <c r="U15" s="3"/>
      <c r="V15" s="3"/>
      <c r="W15" s="2"/>
      <c r="X15" s="3"/>
      <c r="Y15" s="3"/>
      <c r="Z15" s="2"/>
      <c r="AA15" s="3"/>
      <c r="AB15" s="3"/>
      <c r="AC15" s="2"/>
      <c r="AD15" s="3"/>
      <c r="AE15" s="3"/>
      <c r="AF15" s="2"/>
      <c r="AG15" s="3"/>
      <c r="AH15" s="3"/>
      <c r="AI15" s="2"/>
      <c r="AJ15" s="3"/>
      <c r="AK15" s="3"/>
      <c r="AL15" s="2"/>
      <c r="AM15" s="3"/>
      <c r="AN15" s="3"/>
      <c r="AO15" s="2"/>
      <c r="AP15" s="3"/>
      <c r="AQ15" s="3"/>
      <c r="AR15" s="2"/>
      <c r="AS15" s="3"/>
      <c r="AT15" s="3"/>
      <c r="AU15" s="2"/>
      <c r="AV15" s="3">
        <v>213.41</v>
      </c>
      <c r="AW15" s="3">
        <v>11.86</v>
      </c>
      <c r="AX15" s="8">
        <f t="shared" si="15"/>
        <v>1.87613532725E-2</v>
      </c>
      <c r="AY15" s="3"/>
      <c r="AZ15" s="3"/>
      <c r="BA15" s="2"/>
      <c r="BB15" s="3"/>
      <c r="BC15" s="3"/>
      <c r="BD15" s="2"/>
      <c r="BE15" s="3"/>
      <c r="BF15" s="3"/>
      <c r="BG15" s="2"/>
      <c r="BH15" s="3"/>
      <c r="BI15" s="3"/>
      <c r="BJ15" s="2"/>
    </row>
    <row r="16" spans="1:62" x14ac:dyDescent="0.2">
      <c r="C16" s="3">
        <v>408.1</v>
      </c>
      <c r="D16" s="3">
        <v>14.79</v>
      </c>
      <c r="E16" s="2">
        <f t="shared" si="0"/>
        <v>5.5793417006249992E-2</v>
      </c>
      <c r="F16" s="3"/>
      <c r="G16" s="3"/>
      <c r="H16" s="2"/>
      <c r="I16" s="3">
        <v>282.39999999999998</v>
      </c>
      <c r="J16" s="3">
        <v>11</v>
      </c>
      <c r="K16" s="2">
        <f t="shared" si="2"/>
        <v>2.1356499999999997E-2</v>
      </c>
      <c r="L16" s="3"/>
      <c r="M16" s="3"/>
      <c r="N16" s="2"/>
      <c r="O16" s="3">
        <v>388.67</v>
      </c>
      <c r="P16" s="3">
        <v>15.27</v>
      </c>
      <c r="Q16" s="2">
        <f t="shared" si="4"/>
        <v>5.6642069401874995E-2</v>
      </c>
      <c r="R16" s="3">
        <v>234.66</v>
      </c>
      <c r="S16" s="3">
        <v>24.39</v>
      </c>
      <c r="T16" s="2">
        <f t="shared" si="5"/>
        <v>8.7245429366249988E-2</v>
      </c>
      <c r="U16" s="3"/>
      <c r="V16" s="3"/>
      <c r="W16" s="2"/>
      <c r="X16" s="3"/>
      <c r="Y16" s="3"/>
      <c r="Z16" s="2"/>
      <c r="AA16" s="3"/>
      <c r="AB16" s="3"/>
      <c r="AC16" s="2"/>
      <c r="AD16" s="3"/>
      <c r="AE16" s="3"/>
      <c r="AF16" s="2"/>
      <c r="AG16" s="3"/>
      <c r="AH16" s="3"/>
      <c r="AI16" s="2"/>
      <c r="AJ16" s="3"/>
      <c r="AK16" s="3"/>
      <c r="AL16" s="2"/>
      <c r="AM16" s="3"/>
      <c r="AN16" s="3"/>
      <c r="AO16" s="2"/>
      <c r="AP16" s="3"/>
      <c r="AQ16" s="3"/>
      <c r="AR16" s="2"/>
      <c r="AS16" s="3"/>
      <c r="AT16" s="3"/>
      <c r="AU16" s="2"/>
      <c r="AV16" s="3">
        <v>380.13</v>
      </c>
      <c r="AW16" s="3">
        <v>15.79</v>
      </c>
      <c r="AX16" s="8">
        <f t="shared" si="15"/>
        <v>5.9234731333124999E-2</v>
      </c>
      <c r="AY16" s="3"/>
      <c r="AZ16" s="3"/>
      <c r="BA16" s="2"/>
      <c r="BB16" s="3"/>
      <c r="BC16" s="3"/>
      <c r="BD16" s="2"/>
      <c r="BE16" s="3"/>
      <c r="BF16" s="3"/>
      <c r="BG16" s="2"/>
      <c r="BH16" s="3"/>
      <c r="BI16" s="3"/>
      <c r="BJ16" s="2"/>
    </row>
    <row r="17" spans="3:62" x14ac:dyDescent="0.2">
      <c r="C17" s="3">
        <v>475.56</v>
      </c>
      <c r="D17" s="3">
        <v>18.71</v>
      </c>
      <c r="E17" s="2">
        <f t="shared" si="0"/>
        <v>0.10404780212250002</v>
      </c>
      <c r="F17" s="3"/>
      <c r="G17" s="3"/>
      <c r="H17" s="2"/>
      <c r="I17" s="3">
        <v>326.12</v>
      </c>
      <c r="J17" s="3">
        <v>14.85</v>
      </c>
      <c r="K17" s="2">
        <f t="shared" si="2"/>
        <v>4.4947998562499994E-2</v>
      </c>
      <c r="L17" s="3"/>
      <c r="M17" s="3"/>
      <c r="N17" s="2"/>
      <c r="O17" s="3">
        <v>300.24</v>
      </c>
      <c r="P17" s="3">
        <v>16.100000000000001</v>
      </c>
      <c r="Q17" s="2">
        <f t="shared" si="4"/>
        <v>4.8640756500000007E-2</v>
      </c>
      <c r="R17" s="3">
        <v>248.74</v>
      </c>
      <c r="S17" s="3">
        <v>14.7</v>
      </c>
      <c r="T17" s="2">
        <f t="shared" si="5"/>
        <v>3.3593891625000004E-2</v>
      </c>
      <c r="U17" s="3"/>
      <c r="V17" s="3"/>
      <c r="W17" s="2"/>
      <c r="X17" s="3"/>
      <c r="Y17" s="3"/>
      <c r="Z17" s="2"/>
      <c r="AA17" s="3"/>
      <c r="AB17" s="3"/>
      <c r="AC17" s="2"/>
      <c r="AD17" s="3"/>
      <c r="AE17" s="3"/>
      <c r="AF17" s="2"/>
      <c r="AG17" s="3"/>
      <c r="AH17" s="3"/>
      <c r="AI17" s="2"/>
      <c r="AJ17" s="3"/>
      <c r="AK17" s="3"/>
      <c r="AL17" s="2"/>
      <c r="AM17" s="3"/>
      <c r="AN17" s="3"/>
      <c r="AO17" s="2"/>
      <c r="AP17" s="3"/>
      <c r="AQ17" s="3"/>
      <c r="AR17" s="2"/>
      <c r="AS17" s="3"/>
      <c r="AT17" s="3"/>
      <c r="AU17" s="2"/>
      <c r="AV17" s="3">
        <v>588.49</v>
      </c>
      <c r="AW17" s="3">
        <v>20.74</v>
      </c>
      <c r="AX17" s="8">
        <f t="shared" si="15"/>
        <v>0.15821097570249995</v>
      </c>
      <c r="AY17" s="3"/>
      <c r="AZ17" s="3"/>
      <c r="BA17" s="2"/>
      <c r="BB17" s="3"/>
      <c r="BC17" s="3"/>
      <c r="BD17" s="2"/>
      <c r="BE17" s="3"/>
      <c r="BF17" s="3"/>
      <c r="BG17" s="2"/>
      <c r="BH17" s="3"/>
      <c r="BI17" s="3"/>
      <c r="BJ17" s="2"/>
    </row>
    <row r="18" spans="3:62" x14ac:dyDescent="0.2">
      <c r="C18" s="3">
        <v>702.34</v>
      </c>
      <c r="D18" s="3">
        <v>22.19</v>
      </c>
      <c r="E18" s="2">
        <f t="shared" si="0"/>
        <v>0.21614342304625003</v>
      </c>
      <c r="F18" s="3"/>
      <c r="G18" s="3"/>
      <c r="H18" s="2"/>
      <c r="I18" s="3">
        <v>375.09</v>
      </c>
      <c r="J18" s="3">
        <v>14.01</v>
      </c>
      <c r="K18" s="2">
        <f t="shared" si="2"/>
        <v>4.6014189193124992E-2</v>
      </c>
      <c r="L18" s="3"/>
      <c r="M18" s="3"/>
      <c r="N18" s="2"/>
      <c r="O18" s="3">
        <v>376.79</v>
      </c>
      <c r="P18" s="3">
        <v>18.14</v>
      </c>
      <c r="Q18" s="2">
        <f t="shared" si="4"/>
        <v>7.7491479177500003E-2</v>
      </c>
      <c r="R18" s="3">
        <v>339.01</v>
      </c>
      <c r="S18" s="3">
        <v>22.37</v>
      </c>
      <c r="T18" s="2">
        <f t="shared" si="5"/>
        <v>0.106028958293125</v>
      </c>
      <c r="U18" s="3"/>
      <c r="V18" s="3"/>
      <c r="W18" s="2"/>
      <c r="X18" s="3"/>
      <c r="Y18" s="3"/>
      <c r="Z18" s="2"/>
      <c r="AA18" s="3"/>
      <c r="AB18" s="3"/>
      <c r="AC18" s="2"/>
      <c r="AD18" s="3"/>
      <c r="AE18" s="3"/>
      <c r="AF18" s="2"/>
      <c r="AG18" s="3"/>
      <c r="AH18" s="3"/>
      <c r="AI18" s="2"/>
      <c r="AJ18" s="3"/>
      <c r="AK18" s="3"/>
      <c r="AL18" s="2"/>
      <c r="AM18" s="3"/>
      <c r="AN18" s="3"/>
      <c r="AO18" s="2"/>
      <c r="AP18" s="3"/>
      <c r="AQ18" s="3"/>
      <c r="AR18" s="2"/>
      <c r="AS18" s="3"/>
      <c r="AT18" s="3"/>
      <c r="AU18" s="2"/>
      <c r="AV18" s="3">
        <v>489.49</v>
      </c>
      <c r="AW18" s="3">
        <v>20.190000000000001</v>
      </c>
      <c r="AX18" s="8">
        <f t="shared" si="15"/>
        <v>0.12470862161812502</v>
      </c>
      <c r="AY18" s="3"/>
      <c r="AZ18" s="3"/>
      <c r="BA18" s="2"/>
      <c r="BB18" s="3"/>
      <c r="BC18" s="3"/>
      <c r="BD18" s="2"/>
      <c r="BE18" s="3"/>
      <c r="BF18" s="3"/>
      <c r="BG18" s="2"/>
      <c r="BH18" s="3"/>
      <c r="BI18" s="3"/>
      <c r="BJ18" s="2"/>
    </row>
    <row r="19" spans="3:62" x14ac:dyDescent="0.2">
      <c r="C19" s="3">
        <v>380.69</v>
      </c>
      <c r="D19" s="3">
        <v>15.34</v>
      </c>
      <c r="E19" s="2">
        <f t="shared" si="0"/>
        <v>5.5988934852499998E-2</v>
      </c>
      <c r="F19" s="3"/>
      <c r="G19" s="3"/>
      <c r="H19" s="2"/>
      <c r="I19" s="3">
        <v>364.36</v>
      </c>
      <c r="J19" s="3">
        <v>15.66</v>
      </c>
      <c r="K19" s="2">
        <f t="shared" si="2"/>
        <v>5.5846277010000001E-2</v>
      </c>
      <c r="L19" s="3"/>
      <c r="M19" s="3"/>
      <c r="N19" s="2"/>
      <c r="O19" s="3">
        <v>419.04</v>
      </c>
      <c r="P19" s="3">
        <v>17.46</v>
      </c>
      <c r="Q19" s="2">
        <f t="shared" si="4"/>
        <v>7.9840634040000011E-2</v>
      </c>
      <c r="R19" s="3">
        <v>289.83999999999997</v>
      </c>
      <c r="S19" s="3">
        <v>24.62</v>
      </c>
      <c r="T19" s="2">
        <f t="shared" si="5"/>
        <v>0.10980305806</v>
      </c>
      <c r="U19" s="3"/>
      <c r="V19" s="3"/>
      <c r="W19" s="2"/>
      <c r="X19" s="3"/>
      <c r="Y19" s="3"/>
      <c r="Z19" s="2"/>
      <c r="AA19" s="3"/>
      <c r="AB19" s="3"/>
      <c r="AC19" s="2"/>
      <c r="AD19" s="3"/>
      <c r="AE19" s="3"/>
      <c r="AF19" s="2"/>
      <c r="AG19" s="3"/>
      <c r="AH19" s="3"/>
      <c r="AI19" s="2"/>
      <c r="AJ19" s="3"/>
      <c r="AK19" s="3"/>
      <c r="AL19" s="2"/>
      <c r="AM19" s="3"/>
      <c r="AN19" s="3"/>
      <c r="AO19" s="2"/>
      <c r="AP19" s="3"/>
      <c r="AQ19" s="3"/>
      <c r="AR19" s="2"/>
      <c r="AS19" s="3"/>
      <c r="AT19" s="3"/>
      <c r="AU19" s="2"/>
      <c r="AV19" s="3">
        <v>572.88</v>
      </c>
      <c r="AW19" s="3">
        <v>20.6</v>
      </c>
      <c r="AX19" s="8">
        <f t="shared" si="15"/>
        <v>0.15194209800000003</v>
      </c>
      <c r="AY19" s="3"/>
      <c r="AZ19" s="3"/>
      <c r="BA19" s="2"/>
      <c r="BB19" s="3"/>
      <c r="BC19" s="3"/>
      <c r="BD19" s="2"/>
      <c r="BE19" s="3"/>
      <c r="BF19" s="3"/>
      <c r="BG19" s="2"/>
      <c r="BH19" s="3"/>
      <c r="BI19" s="3"/>
      <c r="BJ19" s="2"/>
    </row>
    <row r="20" spans="3:62" x14ac:dyDescent="0.2">
      <c r="C20" s="3">
        <v>905.43</v>
      </c>
      <c r="D20" s="3">
        <v>29.67</v>
      </c>
      <c r="E20" s="2">
        <f t="shared" si="0"/>
        <v>0.49816130457937507</v>
      </c>
      <c r="F20" s="3"/>
      <c r="G20" s="3"/>
      <c r="H20" s="2"/>
      <c r="I20" s="3">
        <v>404.62</v>
      </c>
      <c r="J20" s="3">
        <v>14.51</v>
      </c>
      <c r="K20" s="2">
        <f t="shared" si="2"/>
        <v>5.3242959538749995E-2</v>
      </c>
      <c r="L20" s="3"/>
      <c r="M20" s="3"/>
      <c r="N20" s="2"/>
      <c r="O20" s="3">
        <v>418.08</v>
      </c>
      <c r="P20" s="3">
        <v>18.149999999999999</v>
      </c>
      <c r="Q20" s="2">
        <f t="shared" si="4"/>
        <v>8.6078099249999984E-2</v>
      </c>
      <c r="R20" s="3">
        <v>299.94</v>
      </c>
      <c r="S20" s="3">
        <v>17.89</v>
      </c>
      <c r="T20" s="2">
        <f t="shared" si="5"/>
        <v>5.9997766796249997E-2</v>
      </c>
      <c r="U20" s="3"/>
      <c r="V20" s="3"/>
      <c r="W20" s="2"/>
      <c r="X20" s="3"/>
      <c r="Y20" s="3"/>
      <c r="Z20" s="2"/>
      <c r="AA20" s="3"/>
      <c r="AB20" s="3"/>
      <c r="AC20" s="2"/>
      <c r="AD20" s="3"/>
      <c r="AE20" s="3"/>
      <c r="AF20" s="2"/>
      <c r="AG20" s="3"/>
      <c r="AH20" s="3"/>
      <c r="AI20" s="2"/>
      <c r="AJ20" s="3"/>
      <c r="AK20" s="3"/>
      <c r="AL20" s="2"/>
      <c r="AM20" s="3"/>
      <c r="AN20" s="3"/>
      <c r="AO20" s="2"/>
      <c r="AP20" s="3"/>
      <c r="AQ20" s="3"/>
      <c r="AR20" s="2"/>
      <c r="AS20" s="3"/>
      <c r="AT20" s="3"/>
      <c r="AU20" s="2"/>
      <c r="AV20" s="3"/>
      <c r="AW20" s="3"/>
      <c r="AX20" s="2"/>
      <c r="AY20" s="3"/>
      <c r="AZ20" s="3"/>
      <c r="BA20" s="2"/>
      <c r="BB20" s="3"/>
      <c r="BC20" s="3"/>
      <c r="BD20" s="2"/>
      <c r="BE20" s="3"/>
      <c r="BF20" s="3"/>
      <c r="BG20" s="2"/>
      <c r="BH20" s="3"/>
      <c r="BI20" s="3"/>
      <c r="BJ20" s="2"/>
    </row>
    <row r="21" spans="3:62" x14ac:dyDescent="0.2">
      <c r="C21" s="3">
        <v>947.38</v>
      </c>
      <c r="D21" s="3">
        <v>28.88</v>
      </c>
      <c r="E21" s="2">
        <f t="shared" si="0"/>
        <v>0.49385403591999993</v>
      </c>
      <c r="F21" s="3"/>
      <c r="G21" s="3"/>
      <c r="H21" s="2"/>
      <c r="I21" s="3">
        <v>382.36</v>
      </c>
      <c r="J21" s="3">
        <v>16.38</v>
      </c>
      <c r="K21" s="2">
        <f t="shared" si="2"/>
        <v>6.4118043989999998E-2</v>
      </c>
      <c r="L21" s="3"/>
      <c r="M21" s="3"/>
      <c r="N21" s="2"/>
      <c r="O21" s="3">
        <v>376.63</v>
      </c>
      <c r="P21" s="3">
        <v>17.61</v>
      </c>
      <c r="Q21" s="2">
        <f t="shared" si="4"/>
        <v>7.299845013937499E-2</v>
      </c>
      <c r="R21" s="3">
        <v>353.58</v>
      </c>
      <c r="S21" s="3">
        <v>20.9</v>
      </c>
      <c r="T21" s="2">
        <f t="shared" si="5"/>
        <v>9.6529549874999981E-2</v>
      </c>
      <c r="U21" s="3"/>
      <c r="V21" s="3"/>
      <c r="W21" s="2"/>
      <c r="X21" s="3"/>
      <c r="Y21" s="3"/>
      <c r="Z21" s="2"/>
      <c r="AA21" s="3"/>
      <c r="AB21" s="3"/>
      <c r="AC21" s="2"/>
      <c r="AD21" s="3"/>
      <c r="AE21" s="3"/>
      <c r="AF21" s="2"/>
      <c r="AG21" s="3"/>
      <c r="AH21" s="3"/>
      <c r="AI21" s="2"/>
      <c r="AJ21" s="3"/>
      <c r="AK21" s="3"/>
      <c r="AL21" s="2"/>
      <c r="AM21" s="3"/>
      <c r="AN21" s="3"/>
      <c r="AO21" s="2"/>
      <c r="AP21" s="3"/>
      <c r="AQ21" s="3"/>
      <c r="AR21" s="2"/>
      <c r="AS21" s="3"/>
      <c r="AT21" s="3"/>
      <c r="AU21" s="2"/>
      <c r="AV21" s="3"/>
      <c r="AW21" s="3"/>
      <c r="AX21" s="2"/>
      <c r="AY21" s="3"/>
      <c r="AZ21" s="3"/>
      <c r="BA21" s="2"/>
      <c r="BB21" s="3"/>
      <c r="BC21" s="3"/>
      <c r="BD21" s="2"/>
      <c r="BE21" s="3"/>
      <c r="BF21" s="3"/>
      <c r="BG21" s="2"/>
      <c r="BH21" s="3"/>
      <c r="BI21" s="3"/>
      <c r="BJ21" s="2"/>
    </row>
    <row r="22" spans="3:62" x14ac:dyDescent="0.2">
      <c r="C22" s="3">
        <v>720.96</v>
      </c>
      <c r="D22" s="3">
        <v>23.71</v>
      </c>
      <c r="E22" s="2">
        <f t="shared" si="0"/>
        <v>0.25331114346000005</v>
      </c>
      <c r="F22" s="3"/>
      <c r="G22" s="3"/>
      <c r="H22" s="2"/>
      <c r="I22" s="3">
        <v>441.48</v>
      </c>
      <c r="J22" s="3">
        <v>16.190000000000001</v>
      </c>
      <c r="K22" s="2">
        <f t="shared" si="2"/>
        <v>7.2324384892500024E-2</v>
      </c>
      <c r="L22" s="3"/>
      <c r="M22" s="3"/>
      <c r="N22" s="2"/>
      <c r="O22" s="3">
        <v>386.24</v>
      </c>
      <c r="P22" s="3">
        <v>20.11</v>
      </c>
      <c r="Q22" s="2">
        <f t="shared" si="4"/>
        <v>9.7625080939999984E-2</v>
      </c>
      <c r="R22" s="3">
        <v>296.38</v>
      </c>
      <c r="S22" s="3">
        <v>16.96</v>
      </c>
      <c r="T22" s="2">
        <f t="shared" si="5"/>
        <v>5.3282010880000008E-2</v>
      </c>
      <c r="U22" s="3"/>
      <c r="V22" s="3"/>
      <c r="W22" s="2"/>
      <c r="X22" s="3"/>
      <c r="Y22" s="3"/>
      <c r="Z22" s="2"/>
      <c r="AA22" s="3"/>
      <c r="AB22" s="3"/>
      <c r="AC22" s="2"/>
      <c r="AD22" s="3"/>
      <c r="AE22" s="3"/>
      <c r="AF22" s="2"/>
      <c r="AG22" s="3"/>
      <c r="AH22" s="3"/>
      <c r="AI22" s="2"/>
      <c r="AJ22" s="3"/>
      <c r="AK22" s="3"/>
      <c r="AL22" s="2"/>
      <c r="AM22" s="3"/>
      <c r="AN22" s="3"/>
      <c r="AO22" s="2"/>
      <c r="AP22" s="3"/>
      <c r="AQ22" s="3"/>
      <c r="AR22" s="2"/>
      <c r="AS22" s="3"/>
      <c r="AT22" s="3"/>
      <c r="AU22" s="2"/>
      <c r="AV22" s="3"/>
      <c r="AW22" s="3"/>
      <c r="AX22" s="2"/>
      <c r="AY22" s="3"/>
      <c r="AZ22" s="3"/>
      <c r="BA22" s="2"/>
      <c r="BB22" s="3"/>
      <c r="BC22" s="3"/>
      <c r="BD22" s="2"/>
      <c r="BE22" s="3"/>
      <c r="BF22" s="3"/>
      <c r="BG22" s="2"/>
      <c r="BH22" s="3"/>
      <c r="BI22" s="3"/>
      <c r="BJ22" s="2"/>
    </row>
    <row r="23" spans="3:62" x14ac:dyDescent="0.2">
      <c r="C23" s="3">
        <v>688.97</v>
      </c>
      <c r="D23" s="3">
        <v>25.29</v>
      </c>
      <c r="E23" s="2">
        <f t="shared" si="0"/>
        <v>0.27540891086062497</v>
      </c>
      <c r="F23" s="3"/>
      <c r="G23" s="3"/>
      <c r="H23" s="2"/>
      <c r="I23" s="3">
        <v>383.34</v>
      </c>
      <c r="J23" s="3">
        <v>17.72</v>
      </c>
      <c r="K23" s="2">
        <f t="shared" si="2"/>
        <v>7.5230091659999984E-2</v>
      </c>
      <c r="L23" s="3"/>
      <c r="M23" s="3"/>
      <c r="N23" s="2"/>
      <c r="O23" s="3">
        <v>340.39</v>
      </c>
      <c r="P23" s="3">
        <v>16.27</v>
      </c>
      <c r="Q23" s="2">
        <f t="shared" si="4"/>
        <v>5.6316015019374992E-2</v>
      </c>
      <c r="R23" s="3">
        <v>196.79</v>
      </c>
      <c r="S23" s="3">
        <v>15.18</v>
      </c>
      <c r="T23" s="2">
        <f t="shared" si="5"/>
        <v>2.8341744997500001E-2</v>
      </c>
      <c r="U23" s="3"/>
      <c r="V23" s="3"/>
      <c r="W23" s="2"/>
      <c r="X23" s="3"/>
      <c r="Y23" s="3"/>
      <c r="Z23" s="2"/>
      <c r="AA23" s="3"/>
      <c r="AB23" s="3"/>
      <c r="AC23" s="2"/>
      <c r="AD23" s="3"/>
      <c r="AE23" s="3"/>
      <c r="AF23" s="2"/>
      <c r="AG23" s="3"/>
      <c r="AH23" s="3"/>
      <c r="AI23" s="2"/>
      <c r="AJ23" s="3"/>
      <c r="AK23" s="3"/>
      <c r="AL23" s="2"/>
      <c r="AM23" s="3"/>
      <c r="AN23" s="3"/>
      <c r="AO23" s="2"/>
      <c r="AP23" s="3"/>
      <c r="AQ23" s="3"/>
      <c r="AR23" s="2"/>
      <c r="AS23" s="3"/>
      <c r="AT23" s="3"/>
      <c r="AU23" s="2"/>
      <c r="AV23" s="3"/>
      <c r="AW23" s="3"/>
      <c r="AX23" s="2"/>
      <c r="AY23" s="3"/>
      <c r="AZ23" s="3"/>
      <c r="BA23" s="2"/>
      <c r="BB23" s="3"/>
      <c r="BC23" s="3"/>
      <c r="BD23" s="2"/>
      <c r="BE23" s="3"/>
      <c r="BF23" s="3"/>
      <c r="BG23" s="2"/>
      <c r="BH23" s="3"/>
      <c r="BI23" s="3"/>
      <c r="BJ23" s="2"/>
    </row>
    <row r="24" spans="3:62" x14ac:dyDescent="0.2">
      <c r="C24" s="3">
        <v>990.35</v>
      </c>
      <c r="D24" s="3">
        <v>28.73</v>
      </c>
      <c r="E24" s="2">
        <f t="shared" si="0"/>
        <v>0.51090479094687502</v>
      </c>
      <c r="F24" s="3"/>
      <c r="G24" s="3"/>
      <c r="H24" s="2"/>
      <c r="I24" s="3">
        <v>352.44</v>
      </c>
      <c r="J24" s="3">
        <v>14.63</v>
      </c>
      <c r="K24" s="2">
        <f t="shared" si="2"/>
        <v>4.7146978147500004E-2</v>
      </c>
      <c r="L24" s="3"/>
      <c r="M24" s="3"/>
      <c r="N24" s="2"/>
      <c r="O24" s="3">
        <v>391.79</v>
      </c>
      <c r="P24" s="3">
        <v>18.8</v>
      </c>
      <c r="Q24" s="2">
        <f t="shared" si="4"/>
        <v>8.6546411000000004E-2</v>
      </c>
      <c r="R24" s="3">
        <v>295.43</v>
      </c>
      <c r="S24" s="3">
        <v>18.03</v>
      </c>
      <c r="T24" s="2">
        <f t="shared" si="5"/>
        <v>6.0024156429375017E-2</v>
      </c>
      <c r="U24" s="3"/>
      <c r="V24" s="3"/>
      <c r="W24" s="2"/>
      <c r="X24" s="3"/>
      <c r="Y24" s="3"/>
      <c r="Z24" s="2"/>
      <c r="AA24" s="3"/>
      <c r="AB24" s="3"/>
      <c r="AC24" s="2"/>
      <c r="AD24" s="3"/>
      <c r="AE24" s="3"/>
      <c r="AF24" s="2"/>
      <c r="AG24" s="3"/>
      <c r="AH24" s="3"/>
      <c r="AI24" s="2"/>
      <c r="AJ24" s="3"/>
      <c r="AK24" s="3"/>
      <c r="AL24" s="2"/>
      <c r="AM24" s="3"/>
      <c r="AN24" s="3"/>
      <c r="AO24" s="2"/>
      <c r="AP24" s="3"/>
      <c r="AQ24" s="3"/>
      <c r="AR24" s="2"/>
      <c r="AS24" s="3"/>
      <c r="AT24" s="3"/>
      <c r="AU24" s="2"/>
      <c r="AV24" s="3"/>
      <c r="AW24" s="3"/>
      <c r="AX24" s="2"/>
      <c r="AY24" s="3"/>
      <c r="AZ24" s="3"/>
      <c r="BA24" s="2"/>
      <c r="BB24" s="3"/>
      <c r="BC24" s="3"/>
      <c r="BD24" s="2"/>
      <c r="BE24" s="3"/>
      <c r="BF24" s="3"/>
      <c r="BG24" s="2"/>
      <c r="BH24" s="3"/>
      <c r="BI24" s="3"/>
      <c r="BJ24" s="2"/>
    </row>
    <row r="25" spans="3:62" x14ac:dyDescent="0.2">
      <c r="C25" s="3">
        <v>701.68</v>
      </c>
      <c r="D25" s="3">
        <v>21.6</v>
      </c>
      <c r="E25" s="2">
        <f t="shared" si="0"/>
        <v>0.20460988800000002</v>
      </c>
      <c r="F25" s="3"/>
      <c r="G25" s="3"/>
      <c r="H25" s="2"/>
      <c r="I25" s="3">
        <v>379.28</v>
      </c>
      <c r="J25" s="3">
        <v>16.66</v>
      </c>
      <c r="K25" s="2">
        <f t="shared" si="2"/>
        <v>6.5794554980000003E-2</v>
      </c>
      <c r="L25" s="3"/>
      <c r="M25" s="3"/>
      <c r="N25" s="2"/>
      <c r="O25" s="3">
        <v>281.85000000000002</v>
      </c>
      <c r="P25" s="3">
        <v>23.28</v>
      </c>
      <c r="Q25" s="2">
        <f t="shared" si="4"/>
        <v>9.5469359400000009E-2</v>
      </c>
      <c r="R25" s="3">
        <v>311.19</v>
      </c>
      <c r="S25" s="3">
        <v>14.8</v>
      </c>
      <c r="T25" s="2">
        <f t="shared" si="5"/>
        <v>4.2601910999999999E-2</v>
      </c>
      <c r="U25" s="3"/>
      <c r="V25" s="3"/>
      <c r="W25" s="2"/>
      <c r="X25" s="3"/>
      <c r="Y25" s="3"/>
      <c r="Z25" s="2"/>
      <c r="AA25" s="3"/>
      <c r="AB25" s="3"/>
      <c r="AC25" s="2"/>
      <c r="AD25" s="3"/>
      <c r="AE25" s="3"/>
      <c r="AF25" s="2"/>
      <c r="AG25" s="3"/>
      <c r="AH25" s="3"/>
      <c r="AI25" s="2"/>
      <c r="AJ25" s="3"/>
      <c r="AK25" s="3"/>
      <c r="AL25" s="2"/>
      <c r="AM25" s="3"/>
      <c r="AN25" s="3"/>
      <c r="AO25" s="2"/>
      <c r="AP25" s="3"/>
      <c r="AQ25" s="3"/>
      <c r="AR25" s="2"/>
      <c r="AS25" s="3"/>
      <c r="AT25" s="3"/>
      <c r="AU25" s="2"/>
      <c r="AV25" s="3"/>
      <c r="AW25" s="3"/>
      <c r="AX25" s="2"/>
      <c r="AY25" s="3"/>
      <c r="AZ25" s="3"/>
      <c r="BA25" s="2"/>
      <c r="BB25" s="3"/>
      <c r="BC25" s="3"/>
      <c r="BD25" s="2"/>
      <c r="BE25" s="3"/>
      <c r="BF25" s="3"/>
      <c r="BG25" s="2"/>
      <c r="BH25" s="3"/>
      <c r="BI25" s="3"/>
      <c r="BJ25" s="2"/>
    </row>
    <row r="26" spans="3:62" x14ac:dyDescent="0.2">
      <c r="C26" s="3">
        <v>696.59</v>
      </c>
      <c r="D26" s="3">
        <v>25.94</v>
      </c>
      <c r="E26" s="2">
        <f t="shared" si="0"/>
        <v>0.29295249182749999</v>
      </c>
      <c r="F26" s="3"/>
      <c r="G26" s="3"/>
      <c r="H26" s="2"/>
      <c r="I26" s="3">
        <v>389.88</v>
      </c>
      <c r="J26" s="3">
        <v>18.13</v>
      </c>
      <c r="K26" s="2">
        <f t="shared" si="2"/>
        <v>8.0095217107499977E-2</v>
      </c>
      <c r="L26" s="3"/>
      <c r="M26" s="3"/>
      <c r="N26" s="2"/>
      <c r="O26" s="3">
        <v>429.58</v>
      </c>
      <c r="P26" s="3">
        <v>17.77</v>
      </c>
      <c r="Q26" s="2">
        <f t="shared" si="4"/>
        <v>8.478107648875001E-2</v>
      </c>
      <c r="R26" s="3">
        <v>258.58999999999997</v>
      </c>
      <c r="S26" s="3">
        <v>17.39</v>
      </c>
      <c r="T26" s="2">
        <f t="shared" si="5"/>
        <v>4.8875465586875E-2</v>
      </c>
      <c r="U26" s="3"/>
      <c r="V26" s="3"/>
      <c r="W26" s="2"/>
      <c r="X26" s="3"/>
      <c r="Y26" s="3"/>
      <c r="Z26" s="2"/>
      <c r="AA26" s="3"/>
      <c r="AB26" s="3"/>
      <c r="AC26" s="2"/>
      <c r="AD26" s="3"/>
      <c r="AE26" s="3"/>
      <c r="AF26" s="2"/>
      <c r="AG26" s="3"/>
      <c r="AH26" s="3"/>
      <c r="AI26" s="2"/>
      <c r="AJ26" s="3"/>
      <c r="AK26" s="3"/>
      <c r="AL26" s="2"/>
      <c r="AM26" s="3"/>
      <c r="AN26" s="3"/>
      <c r="AO26" s="2"/>
      <c r="AP26" s="3"/>
      <c r="AQ26" s="3"/>
      <c r="AR26" s="2"/>
      <c r="AS26" s="3"/>
      <c r="AT26" s="3"/>
      <c r="AU26" s="2"/>
      <c r="AV26" s="3"/>
      <c r="AW26" s="3"/>
      <c r="AX26" s="2"/>
      <c r="AY26" s="3"/>
      <c r="AZ26" s="3"/>
      <c r="BA26" s="2"/>
      <c r="BB26" s="3"/>
      <c r="BC26" s="3"/>
      <c r="BD26" s="2"/>
      <c r="BE26" s="3"/>
      <c r="BF26" s="3"/>
      <c r="BG26" s="2"/>
      <c r="BH26" s="3"/>
      <c r="BI26" s="3"/>
      <c r="BJ26" s="2"/>
    </row>
    <row r="27" spans="3:62" x14ac:dyDescent="0.2">
      <c r="C27" s="3">
        <v>556.78</v>
      </c>
      <c r="D27" s="3">
        <v>20.89</v>
      </c>
      <c r="E27" s="2">
        <f t="shared" si="0"/>
        <v>0.15185899589875002</v>
      </c>
      <c r="F27" s="3"/>
      <c r="G27" s="3"/>
      <c r="H27" s="2"/>
      <c r="I27" s="3">
        <v>290.5</v>
      </c>
      <c r="J27" s="3">
        <v>18.57</v>
      </c>
      <c r="K27" s="2">
        <f t="shared" si="2"/>
        <v>6.2610902156250009E-2</v>
      </c>
      <c r="L27" s="3"/>
      <c r="M27" s="3"/>
      <c r="N27" s="2"/>
      <c r="O27" s="3">
        <v>392.21</v>
      </c>
      <c r="P27" s="3">
        <v>17.190000000000001</v>
      </c>
      <c r="Q27" s="2">
        <f t="shared" si="4"/>
        <v>7.2435328363125009E-2</v>
      </c>
      <c r="R27" s="3">
        <v>296.89999999999998</v>
      </c>
      <c r="S27" s="3">
        <v>27.54</v>
      </c>
      <c r="T27" s="2">
        <f t="shared" si="5"/>
        <v>0.140740175025</v>
      </c>
      <c r="U27" s="3"/>
      <c r="V27" s="3"/>
      <c r="W27" s="2"/>
      <c r="X27" s="3"/>
      <c r="Y27" s="3"/>
      <c r="Z27" s="2"/>
      <c r="AA27" s="3"/>
      <c r="AB27" s="3"/>
      <c r="AC27" s="2"/>
      <c r="AD27" s="3"/>
      <c r="AE27" s="3"/>
      <c r="AF27" s="2"/>
      <c r="AG27" s="3"/>
      <c r="AH27" s="3"/>
      <c r="AI27" s="2"/>
      <c r="AJ27" s="3"/>
      <c r="AK27" s="3"/>
      <c r="AL27" s="2"/>
      <c r="AM27" s="3"/>
      <c r="AN27" s="3"/>
      <c r="AO27" s="2"/>
      <c r="AP27" s="3"/>
      <c r="AQ27" s="3"/>
      <c r="AR27" s="2"/>
      <c r="AS27" s="3"/>
      <c r="AT27" s="3"/>
      <c r="AU27" s="2"/>
      <c r="AV27" s="3"/>
      <c r="AW27" s="3"/>
      <c r="AX27" s="2"/>
      <c r="AY27" s="3"/>
      <c r="AZ27" s="3"/>
      <c r="BA27" s="2"/>
      <c r="BB27" s="3"/>
      <c r="BC27" s="3"/>
      <c r="BD27" s="2"/>
      <c r="BE27" s="3"/>
      <c r="BF27" s="3"/>
      <c r="BG27" s="2"/>
      <c r="BH27" s="3"/>
      <c r="BI27" s="3"/>
      <c r="BJ27" s="2"/>
    </row>
    <row r="28" spans="3:62" x14ac:dyDescent="0.2">
      <c r="C28" s="3">
        <v>558.1</v>
      </c>
      <c r="D28" s="3">
        <v>21.22</v>
      </c>
      <c r="E28" s="2">
        <f t="shared" si="0"/>
        <v>0.15706622252499999</v>
      </c>
      <c r="F28" s="3"/>
      <c r="G28" s="3"/>
      <c r="H28" s="2"/>
      <c r="I28" s="3">
        <v>441.9</v>
      </c>
      <c r="J28" s="3">
        <v>17.46</v>
      </c>
      <c r="K28" s="2">
        <f t="shared" si="2"/>
        <v>8.4196201275000007E-2</v>
      </c>
      <c r="L28" s="3"/>
      <c r="M28" s="3"/>
      <c r="N28" s="2"/>
      <c r="O28" s="3">
        <v>386.33</v>
      </c>
      <c r="P28" s="3">
        <v>18.420000000000002</v>
      </c>
      <c r="Q28" s="2">
        <f t="shared" si="4"/>
        <v>8.1925236382500002E-2</v>
      </c>
      <c r="R28" s="3">
        <v>285.87</v>
      </c>
      <c r="S28" s="3">
        <v>13.95</v>
      </c>
      <c r="T28" s="2">
        <f t="shared" si="5"/>
        <v>3.4769385421875E-2</v>
      </c>
      <c r="U28" s="3"/>
      <c r="V28" s="3"/>
      <c r="W28" s="2"/>
      <c r="X28" s="3"/>
      <c r="Y28" s="3"/>
      <c r="Z28" s="2"/>
      <c r="AA28" s="3"/>
      <c r="AB28" s="3"/>
      <c r="AC28" s="2"/>
      <c r="AD28" s="3"/>
      <c r="AE28" s="3"/>
      <c r="AF28" s="2"/>
      <c r="AG28" s="3"/>
      <c r="AH28" s="3"/>
      <c r="AI28" s="2"/>
      <c r="AJ28" s="3"/>
      <c r="AK28" s="3"/>
      <c r="AL28" s="2"/>
      <c r="AM28" s="3"/>
      <c r="AN28" s="3"/>
      <c r="AO28" s="2"/>
      <c r="AP28" s="3"/>
      <c r="AQ28" s="3"/>
      <c r="AR28" s="2"/>
      <c r="AS28" s="3"/>
      <c r="AT28" s="3"/>
      <c r="AU28" s="2"/>
      <c r="AV28" s="3"/>
      <c r="AW28" s="3"/>
      <c r="AX28" s="2"/>
      <c r="AY28" s="3"/>
      <c r="AZ28" s="3"/>
      <c r="BA28" s="2"/>
      <c r="BB28" s="3"/>
      <c r="BC28" s="3"/>
      <c r="BD28" s="2"/>
      <c r="BE28" s="3"/>
      <c r="BF28" s="3"/>
      <c r="BG28" s="2"/>
      <c r="BH28" s="3"/>
      <c r="BI28" s="3"/>
      <c r="BJ28" s="2"/>
    </row>
    <row r="29" spans="3:62" x14ac:dyDescent="0.2">
      <c r="C29" s="3">
        <v>673.75</v>
      </c>
      <c r="D29" s="3">
        <v>23.89</v>
      </c>
      <c r="E29" s="2">
        <f t="shared" si="0"/>
        <v>0.24033172023437502</v>
      </c>
      <c r="F29" s="3"/>
      <c r="G29" s="3"/>
      <c r="H29" s="2"/>
      <c r="I29" s="3">
        <v>285.49</v>
      </c>
      <c r="J29" s="3">
        <v>18.989999999999998</v>
      </c>
      <c r="K29" s="2">
        <f t="shared" si="2"/>
        <v>6.434589521812499E-2</v>
      </c>
      <c r="L29" s="3"/>
      <c r="M29" s="3"/>
      <c r="N29" s="2"/>
      <c r="O29" s="3">
        <v>355.09</v>
      </c>
      <c r="P29" s="3">
        <v>16.420000000000002</v>
      </c>
      <c r="Q29" s="2">
        <f t="shared" si="4"/>
        <v>5.9836304672500007E-2</v>
      </c>
      <c r="R29" s="3">
        <v>296.75</v>
      </c>
      <c r="S29" s="3">
        <v>13.82</v>
      </c>
      <c r="T29" s="2">
        <f t="shared" si="5"/>
        <v>3.5423121687500003E-2</v>
      </c>
      <c r="U29" s="3"/>
      <c r="V29" s="3"/>
      <c r="W29" s="2"/>
      <c r="X29" s="3"/>
      <c r="Y29" s="3"/>
      <c r="Z29" s="2"/>
      <c r="AA29" s="3"/>
      <c r="AB29" s="3"/>
      <c r="AC29" s="2"/>
      <c r="AD29" s="3"/>
      <c r="AE29" s="3"/>
      <c r="AF29" s="2"/>
      <c r="AG29" s="3"/>
      <c r="AH29" s="3"/>
      <c r="AI29" s="2"/>
      <c r="AJ29" s="3"/>
      <c r="AK29" s="3"/>
      <c r="AL29" s="2"/>
      <c r="AM29" s="3"/>
      <c r="AN29" s="3"/>
      <c r="AO29" s="2"/>
      <c r="AP29" s="3"/>
      <c r="AQ29" s="3"/>
      <c r="AR29" s="2"/>
      <c r="AS29" s="3"/>
      <c r="AT29" s="3"/>
      <c r="AU29" s="2"/>
      <c r="AV29" s="3"/>
      <c r="AW29" s="3"/>
      <c r="AX29" s="2"/>
      <c r="AY29" s="3"/>
      <c r="AZ29" s="3"/>
      <c r="BA29" s="2"/>
      <c r="BB29" s="3"/>
      <c r="BC29" s="3"/>
      <c r="BD29" s="2"/>
      <c r="BE29" s="3"/>
      <c r="BF29" s="3"/>
      <c r="BG29" s="2"/>
      <c r="BH29" s="3"/>
      <c r="BI29" s="3"/>
      <c r="BJ29" s="2"/>
    </row>
    <row r="30" spans="3:62" x14ac:dyDescent="0.2">
      <c r="C30" s="3">
        <v>557.19000000000005</v>
      </c>
      <c r="D30" s="3">
        <v>24.11</v>
      </c>
      <c r="E30" s="2">
        <f t="shared" si="0"/>
        <v>0.20243134074937502</v>
      </c>
      <c r="F30" s="3"/>
      <c r="G30" s="3"/>
      <c r="H30" s="2"/>
      <c r="I30" s="3">
        <v>377.7</v>
      </c>
      <c r="J30" s="3">
        <v>16.21</v>
      </c>
      <c r="K30" s="2">
        <f t="shared" si="2"/>
        <v>6.2028750356250002E-2</v>
      </c>
      <c r="L30" s="3"/>
      <c r="M30" s="3"/>
      <c r="N30" s="2"/>
      <c r="O30" s="3">
        <v>398.16</v>
      </c>
      <c r="P30" s="3">
        <v>16.22</v>
      </c>
      <c r="Q30" s="2">
        <f t="shared" si="4"/>
        <v>6.5469548340000003E-2</v>
      </c>
      <c r="R30" s="3">
        <v>291.55</v>
      </c>
      <c r="S30" s="3">
        <v>15.9</v>
      </c>
      <c r="T30" s="2">
        <f t="shared" si="5"/>
        <v>4.6066722187500006E-2</v>
      </c>
      <c r="U30" s="3"/>
      <c r="V30" s="3"/>
      <c r="W30" s="2"/>
      <c r="X30" s="3"/>
      <c r="Y30" s="3"/>
      <c r="Z30" s="2"/>
      <c r="AA30" s="3"/>
      <c r="AB30" s="3"/>
      <c r="AC30" s="2"/>
      <c r="AD30" s="3"/>
      <c r="AE30" s="3"/>
      <c r="AF30" s="2"/>
      <c r="AG30" s="3"/>
      <c r="AH30" s="3"/>
      <c r="AI30" s="2"/>
      <c r="AJ30" s="3"/>
      <c r="AK30" s="3"/>
      <c r="AL30" s="2"/>
      <c r="AM30" s="3"/>
      <c r="AN30" s="3"/>
      <c r="AO30" s="2"/>
      <c r="AP30" s="3"/>
      <c r="AQ30" s="3"/>
      <c r="AR30" s="2"/>
      <c r="AS30" s="3"/>
      <c r="AT30" s="3"/>
      <c r="AU30" s="2"/>
      <c r="AV30" s="3"/>
      <c r="AW30" s="3"/>
      <c r="AX30" s="2"/>
      <c r="AY30" s="3"/>
      <c r="AZ30" s="3"/>
      <c r="BA30" s="2"/>
      <c r="BB30" s="3"/>
      <c r="BC30" s="3"/>
      <c r="BD30" s="2"/>
      <c r="BE30" s="3"/>
      <c r="BF30" s="3"/>
      <c r="BG30" s="2"/>
      <c r="BH30" s="3"/>
      <c r="BI30" s="3"/>
      <c r="BJ30" s="2"/>
    </row>
    <row r="31" spans="3:62" x14ac:dyDescent="0.2">
      <c r="C31" s="3">
        <v>928.5</v>
      </c>
      <c r="D31" s="3">
        <v>27.7</v>
      </c>
      <c r="E31" s="2">
        <f t="shared" si="0"/>
        <v>0.44526797812500002</v>
      </c>
      <c r="F31" s="3"/>
      <c r="G31" s="3"/>
      <c r="H31" s="2"/>
      <c r="I31" s="3">
        <v>281.97000000000003</v>
      </c>
      <c r="J31" s="3">
        <v>17.71</v>
      </c>
      <c r="K31" s="2">
        <f t="shared" si="2"/>
        <v>5.5273891798125002E-2</v>
      </c>
      <c r="L31" s="3"/>
      <c r="M31" s="3"/>
      <c r="N31" s="2"/>
      <c r="O31" s="3">
        <v>386.13</v>
      </c>
      <c r="P31" s="3">
        <v>15.65</v>
      </c>
      <c r="Q31" s="2">
        <f t="shared" si="4"/>
        <v>5.9107453078125011E-2</v>
      </c>
      <c r="R31" s="3">
        <v>210.53</v>
      </c>
      <c r="S31" s="3">
        <v>20.79</v>
      </c>
      <c r="T31" s="2">
        <f t="shared" si="5"/>
        <v>5.6872587358125004E-2</v>
      </c>
      <c r="U31" s="3"/>
      <c r="V31" s="3"/>
      <c r="W31" s="2"/>
      <c r="X31" s="3"/>
      <c r="Y31" s="3"/>
      <c r="Z31" s="2"/>
      <c r="AA31" s="3"/>
      <c r="AB31" s="3"/>
      <c r="AC31" s="2"/>
      <c r="AD31" s="3"/>
      <c r="AE31" s="3"/>
      <c r="AF31" s="2"/>
      <c r="AG31" s="3"/>
      <c r="AH31" s="3"/>
      <c r="AI31" s="2"/>
      <c r="AJ31" s="3"/>
      <c r="AK31" s="3"/>
      <c r="AL31" s="2"/>
      <c r="AM31" s="3"/>
      <c r="AN31" s="3"/>
      <c r="AO31" s="2"/>
      <c r="AP31" s="3"/>
      <c r="AQ31" s="3"/>
      <c r="AR31" s="2"/>
      <c r="AS31" s="3"/>
      <c r="AT31" s="3"/>
      <c r="AU31" s="2"/>
      <c r="AV31" s="3"/>
      <c r="AW31" s="3"/>
      <c r="AX31" s="2"/>
      <c r="AY31" s="3"/>
      <c r="AZ31" s="3"/>
      <c r="BA31" s="2"/>
      <c r="BB31" s="3"/>
      <c r="BC31" s="3"/>
      <c r="BD31" s="2"/>
      <c r="BE31" s="3"/>
      <c r="BF31" s="3"/>
      <c r="BG31" s="2"/>
      <c r="BH31" s="3"/>
      <c r="BI31" s="3"/>
      <c r="BJ31" s="2"/>
    </row>
    <row r="32" spans="3:62" x14ac:dyDescent="0.2">
      <c r="C32" s="3">
        <v>545.76</v>
      </c>
      <c r="D32" s="3">
        <v>19.71</v>
      </c>
      <c r="E32" s="2">
        <f t="shared" si="0"/>
        <v>0.13251192650999999</v>
      </c>
      <c r="F32" s="3"/>
      <c r="G32" s="3"/>
      <c r="H32" s="2"/>
      <c r="I32" s="3">
        <v>321.48</v>
      </c>
      <c r="J32" s="3">
        <v>17.11</v>
      </c>
      <c r="K32" s="2">
        <f t="shared" si="2"/>
        <v>5.8821215692499991E-2</v>
      </c>
      <c r="L32" s="3"/>
      <c r="M32" s="3"/>
      <c r="N32" s="2"/>
      <c r="O32" s="3">
        <v>387.17</v>
      </c>
      <c r="P32" s="3">
        <v>15.85</v>
      </c>
      <c r="Q32" s="2">
        <f t="shared" si="4"/>
        <v>6.0791134578125003E-2</v>
      </c>
      <c r="R32" s="3">
        <v>313.89999999999998</v>
      </c>
      <c r="S32" s="3">
        <v>19.98</v>
      </c>
      <c r="T32" s="2">
        <f t="shared" si="5"/>
        <v>7.8318128474999998E-2</v>
      </c>
      <c r="U32" s="3"/>
      <c r="V32" s="3"/>
      <c r="W32" s="2"/>
      <c r="X32" s="3"/>
      <c r="Y32" s="3"/>
      <c r="Z32" s="2"/>
      <c r="AA32" s="3"/>
      <c r="AB32" s="3"/>
      <c r="AC32" s="2"/>
      <c r="AD32" s="3"/>
      <c r="AE32" s="3"/>
      <c r="AF32" s="2"/>
      <c r="AG32" s="3"/>
      <c r="AH32" s="3"/>
      <c r="AI32" s="2"/>
      <c r="AJ32" s="3"/>
      <c r="AK32" s="3"/>
      <c r="AL32" s="2"/>
      <c r="AM32" s="3"/>
      <c r="AN32" s="3"/>
      <c r="AO32" s="2"/>
      <c r="AP32" s="3"/>
      <c r="AQ32" s="3"/>
      <c r="AR32" s="2"/>
      <c r="AS32" s="3"/>
      <c r="AT32" s="3"/>
      <c r="AU32" s="2"/>
      <c r="AV32" s="3"/>
      <c r="AW32" s="3"/>
      <c r="AX32" s="2"/>
      <c r="AY32" s="3"/>
      <c r="AZ32" s="3"/>
      <c r="BA32" s="2"/>
      <c r="BB32" s="3"/>
      <c r="BC32" s="3"/>
      <c r="BD32" s="2"/>
      <c r="BE32" s="3"/>
      <c r="BF32" s="3"/>
      <c r="BG32" s="2"/>
      <c r="BH32" s="3"/>
      <c r="BI32" s="3"/>
      <c r="BJ32" s="2"/>
    </row>
    <row r="33" spans="3:62" x14ac:dyDescent="0.2">
      <c r="C33" s="3">
        <v>549.12</v>
      </c>
      <c r="D33" s="3">
        <v>19.309999999999999</v>
      </c>
      <c r="E33" s="2">
        <f t="shared" si="0"/>
        <v>0.12797107752</v>
      </c>
      <c r="F33" s="3"/>
      <c r="G33" s="3"/>
      <c r="H33" s="2"/>
      <c r="I33" s="3">
        <v>327.8</v>
      </c>
      <c r="J33" s="3">
        <v>16.14</v>
      </c>
      <c r="K33" s="2">
        <f t="shared" si="2"/>
        <v>5.3369855550000005E-2</v>
      </c>
      <c r="L33" s="3"/>
      <c r="M33" s="3"/>
      <c r="N33" s="2"/>
      <c r="O33" s="3">
        <v>257.47000000000003</v>
      </c>
      <c r="P33" s="3">
        <v>17.46</v>
      </c>
      <c r="Q33" s="2">
        <f t="shared" si="4"/>
        <v>4.9056338407500004E-2</v>
      </c>
      <c r="R33" s="3">
        <v>260.62</v>
      </c>
      <c r="S33" s="3">
        <v>13.46</v>
      </c>
      <c r="T33" s="2">
        <f t="shared" si="5"/>
        <v>2.9510588995000003E-2</v>
      </c>
      <c r="U33" s="3"/>
      <c r="V33" s="3"/>
      <c r="W33" s="2"/>
      <c r="X33" s="3"/>
      <c r="Y33" s="3"/>
      <c r="Z33" s="2"/>
      <c r="AA33" s="3"/>
      <c r="AB33" s="3"/>
      <c r="AC33" s="2"/>
      <c r="AD33" s="3"/>
      <c r="AE33" s="3"/>
      <c r="AF33" s="2"/>
      <c r="AG33" s="3"/>
      <c r="AH33" s="3"/>
      <c r="AI33" s="2"/>
      <c r="AJ33" s="3"/>
      <c r="AK33" s="3"/>
      <c r="AL33" s="2"/>
      <c r="AM33" s="3"/>
      <c r="AN33" s="3"/>
      <c r="AO33" s="2"/>
      <c r="AP33" s="3"/>
      <c r="AQ33" s="3"/>
      <c r="AR33" s="2"/>
      <c r="AS33" s="3"/>
      <c r="AT33" s="3"/>
      <c r="AU33" s="2"/>
      <c r="AV33" s="3"/>
      <c r="AW33" s="3"/>
      <c r="AX33" s="2"/>
      <c r="AY33" s="3"/>
      <c r="AZ33" s="3"/>
      <c r="BA33" s="2"/>
      <c r="BB33" s="3"/>
      <c r="BC33" s="3"/>
      <c r="BD33" s="2"/>
      <c r="BE33" s="3"/>
      <c r="BF33" s="3"/>
      <c r="BG33" s="2"/>
      <c r="BH33" s="3"/>
      <c r="BI33" s="3"/>
      <c r="BJ33" s="2"/>
    </row>
    <row r="34" spans="3:62" x14ac:dyDescent="0.2">
      <c r="C34" s="3">
        <v>397.01</v>
      </c>
      <c r="D34" s="3">
        <v>16.8</v>
      </c>
      <c r="E34" s="2">
        <f t="shared" si="0"/>
        <v>7.0032564000000005E-2</v>
      </c>
      <c r="F34" s="3"/>
      <c r="G34" s="3"/>
      <c r="H34" s="2"/>
      <c r="I34" s="3">
        <v>388.31</v>
      </c>
      <c r="J34" s="3">
        <v>20.73</v>
      </c>
      <c r="K34" s="2">
        <f t="shared" si="2"/>
        <v>0.104293488999375</v>
      </c>
      <c r="L34" s="3"/>
      <c r="M34" s="3"/>
      <c r="N34" s="2"/>
      <c r="O34" s="3">
        <v>380.63</v>
      </c>
      <c r="P34" s="3">
        <v>15.74</v>
      </c>
      <c r="Q34" s="2">
        <f t="shared" si="4"/>
        <v>5.89376056175E-2</v>
      </c>
      <c r="R34" s="3">
        <v>197.35</v>
      </c>
      <c r="S34" s="3">
        <v>13.35</v>
      </c>
      <c r="T34" s="2">
        <f t="shared" si="5"/>
        <v>2.1982631484374997E-2</v>
      </c>
      <c r="U34" s="3"/>
      <c r="V34" s="3"/>
      <c r="W34" s="2"/>
      <c r="X34" s="3"/>
      <c r="Y34" s="3"/>
      <c r="Z34" s="2"/>
      <c r="AA34" s="3"/>
      <c r="AB34" s="3"/>
      <c r="AC34" s="2"/>
      <c r="AD34" s="3"/>
      <c r="AE34" s="3"/>
      <c r="AF34" s="2"/>
      <c r="AG34" s="3"/>
      <c r="AH34" s="3"/>
      <c r="AI34" s="2"/>
      <c r="AJ34" s="3"/>
      <c r="AK34" s="3"/>
      <c r="AL34" s="2"/>
      <c r="AM34" s="3"/>
      <c r="AN34" s="3"/>
      <c r="AO34" s="2"/>
      <c r="AP34" s="3"/>
      <c r="AQ34" s="3"/>
      <c r="AR34" s="2"/>
      <c r="AS34" s="3"/>
      <c r="AT34" s="3"/>
      <c r="AU34" s="2"/>
      <c r="AV34" s="3"/>
      <c r="AW34" s="3"/>
      <c r="AX34" s="2"/>
      <c r="AY34" s="3"/>
      <c r="AZ34" s="3"/>
      <c r="BA34" s="2"/>
      <c r="BB34" s="3"/>
      <c r="BC34" s="3"/>
      <c r="BD34" s="2"/>
      <c r="BE34" s="3"/>
      <c r="BF34" s="3"/>
      <c r="BG34" s="2"/>
      <c r="BH34" s="3"/>
      <c r="BI34" s="3"/>
      <c r="BJ34" s="2"/>
    </row>
    <row r="35" spans="3:62" x14ac:dyDescent="0.2">
      <c r="C35" s="3">
        <v>858.49</v>
      </c>
      <c r="D35" s="3">
        <v>30.51</v>
      </c>
      <c r="E35" s="2">
        <f t="shared" si="0"/>
        <v>0.49945880453062508</v>
      </c>
      <c r="F35" s="3"/>
      <c r="G35" s="3"/>
      <c r="H35" s="2"/>
      <c r="I35" s="3">
        <v>421.48</v>
      </c>
      <c r="J35" s="3">
        <v>16.239999999999998</v>
      </c>
      <c r="K35" s="2">
        <f t="shared" si="2"/>
        <v>6.9475077279999992E-2</v>
      </c>
      <c r="L35" s="3"/>
      <c r="M35" s="3"/>
      <c r="N35" s="2"/>
      <c r="O35" s="3">
        <v>372.49</v>
      </c>
      <c r="P35" s="3">
        <v>15.47</v>
      </c>
      <c r="Q35" s="2">
        <f t="shared" si="4"/>
        <v>5.5715401275625007E-2</v>
      </c>
      <c r="R35" s="3">
        <v>240.71</v>
      </c>
      <c r="S35" s="3">
        <v>15.71</v>
      </c>
      <c r="T35" s="2">
        <f t="shared" si="5"/>
        <v>3.7130134319375008E-2</v>
      </c>
      <c r="U35" s="3"/>
      <c r="V35" s="3"/>
      <c r="W35" s="2"/>
      <c r="X35" s="3"/>
      <c r="Y35" s="3"/>
      <c r="Z35" s="2"/>
      <c r="AA35" s="3"/>
      <c r="AB35" s="3"/>
      <c r="AC35" s="2"/>
      <c r="AD35" s="3"/>
      <c r="AE35" s="3"/>
      <c r="AF35" s="2"/>
      <c r="AG35" s="3"/>
      <c r="AH35" s="3"/>
      <c r="AI35" s="2"/>
      <c r="AJ35" s="3"/>
      <c r="AK35" s="3"/>
      <c r="AL35" s="2"/>
      <c r="AM35" s="3"/>
      <c r="AN35" s="3"/>
      <c r="AO35" s="2"/>
      <c r="AP35" s="3"/>
      <c r="AQ35" s="3"/>
      <c r="AR35" s="2"/>
      <c r="AS35" s="3"/>
      <c r="AT35" s="3"/>
      <c r="AU35" s="2"/>
      <c r="AV35" s="3"/>
      <c r="AW35" s="3"/>
      <c r="AX35" s="2"/>
      <c r="AY35" s="3"/>
      <c r="AZ35" s="3"/>
      <c r="BA35" s="2"/>
      <c r="BB35" s="3"/>
      <c r="BC35" s="3"/>
      <c r="BD35" s="2"/>
      <c r="BE35" s="3"/>
      <c r="BF35" s="3"/>
      <c r="BG35" s="2"/>
      <c r="BH35" s="3"/>
      <c r="BI35" s="3"/>
      <c r="BJ35" s="2"/>
    </row>
    <row r="36" spans="3:62" x14ac:dyDescent="0.2">
      <c r="C36" s="3"/>
      <c r="D36" s="3"/>
      <c r="E36" s="2"/>
      <c r="F36" s="3"/>
      <c r="G36" s="3"/>
      <c r="H36" s="2"/>
      <c r="I36" s="3">
        <v>352.3</v>
      </c>
      <c r="J36" s="3">
        <v>16.7</v>
      </c>
      <c r="K36" s="2">
        <f t="shared" si="2"/>
        <v>6.1408091875000001E-2</v>
      </c>
      <c r="L36" s="3"/>
      <c r="M36" s="3"/>
      <c r="N36" s="2"/>
      <c r="O36" s="3">
        <v>322.39999999999998</v>
      </c>
      <c r="P36" s="3">
        <v>12.03</v>
      </c>
      <c r="Q36" s="2">
        <f t="shared" si="4"/>
        <v>2.9161261349999995E-2</v>
      </c>
      <c r="R36" s="3">
        <v>279.44</v>
      </c>
      <c r="S36" s="3">
        <v>15.76</v>
      </c>
      <c r="T36" s="2">
        <f t="shared" si="5"/>
        <v>4.3379147839999993E-2</v>
      </c>
      <c r="U36" s="3"/>
      <c r="V36" s="3"/>
      <c r="W36" s="2"/>
      <c r="X36" s="3"/>
      <c r="Y36" s="3"/>
      <c r="Z36" s="2"/>
      <c r="AA36" s="3"/>
      <c r="AB36" s="3"/>
      <c r="AC36" s="2"/>
      <c r="AD36" s="3"/>
      <c r="AE36" s="3"/>
      <c r="AF36" s="2"/>
      <c r="AG36" s="3"/>
      <c r="AH36" s="3"/>
      <c r="AI36" s="2"/>
      <c r="AJ36" s="3"/>
      <c r="AK36" s="3"/>
      <c r="AL36" s="2"/>
      <c r="AM36" s="3"/>
      <c r="AN36" s="3"/>
      <c r="AO36" s="2"/>
      <c r="AP36" s="3"/>
      <c r="AQ36" s="3"/>
      <c r="AR36" s="2"/>
      <c r="AS36" s="3"/>
      <c r="AT36" s="3"/>
      <c r="AU36" s="2"/>
      <c r="AV36" s="3"/>
      <c r="AW36" s="3"/>
      <c r="AX36" s="2"/>
      <c r="AY36" s="3"/>
      <c r="AZ36" s="3"/>
      <c r="BA36" s="2"/>
      <c r="BB36" s="3"/>
      <c r="BC36" s="3"/>
      <c r="BD36" s="2"/>
      <c r="BE36" s="3"/>
      <c r="BF36" s="3"/>
      <c r="BG36" s="2"/>
      <c r="BH36" s="3"/>
      <c r="BI36" s="3"/>
      <c r="BJ36" s="2"/>
    </row>
    <row r="37" spans="3:62" x14ac:dyDescent="0.2">
      <c r="C37" s="3"/>
      <c r="D37" s="3"/>
      <c r="E37" s="2"/>
      <c r="F37" s="3"/>
      <c r="G37" s="3"/>
      <c r="H37" s="2"/>
      <c r="I37" s="3">
        <v>399.84</v>
      </c>
      <c r="J37" s="3">
        <v>20.9</v>
      </c>
      <c r="K37" s="2">
        <f t="shared" si="2"/>
        <v>0.10915881899999999</v>
      </c>
      <c r="L37" s="3"/>
      <c r="M37" s="3"/>
      <c r="N37" s="2"/>
      <c r="O37" s="3">
        <v>370.9</v>
      </c>
      <c r="P37" s="3">
        <v>19.940000000000001</v>
      </c>
      <c r="Q37" s="2">
        <f t="shared" si="4"/>
        <v>9.2169484525000012E-2</v>
      </c>
      <c r="R37" s="3">
        <v>382.05</v>
      </c>
      <c r="S37" s="3">
        <v>25.04</v>
      </c>
      <c r="T37" s="2">
        <f t="shared" ref="T37" si="20">(R37*S37*S37)/1600000</f>
        <v>0.14971622579999996</v>
      </c>
      <c r="U37" s="3"/>
      <c r="V37" s="3"/>
      <c r="W37" s="2"/>
      <c r="X37" s="3"/>
      <c r="Y37" s="3"/>
      <c r="Z37" s="2"/>
      <c r="AA37" s="3"/>
      <c r="AB37" s="3"/>
      <c r="AC37" s="2"/>
      <c r="AD37" s="3"/>
      <c r="AE37" s="3"/>
      <c r="AF37" s="2"/>
      <c r="AG37" s="3"/>
      <c r="AH37" s="3"/>
      <c r="AI37" s="2"/>
      <c r="AJ37" s="3"/>
      <c r="AK37" s="3"/>
      <c r="AL37" s="2"/>
      <c r="AM37" s="3"/>
      <c r="AN37" s="3"/>
      <c r="AO37" s="2"/>
      <c r="AP37" s="3"/>
      <c r="AQ37" s="3"/>
      <c r="AR37" s="2"/>
      <c r="AS37" s="3"/>
      <c r="AT37" s="3"/>
      <c r="AU37" s="2"/>
      <c r="AV37" s="3"/>
      <c r="AW37" s="3"/>
      <c r="AX37" s="2"/>
      <c r="AY37" s="3"/>
      <c r="AZ37" s="3"/>
      <c r="BA37" s="2"/>
      <c r="BB37" s="3"/>
      <c r="BC37" s="3"/>
      <c r="BD37" s="2"/>
      <c r="BE37" s="3"/>
      <c r="BF37" s="3"/>
      <c r="BG37" s="2"/>
      <c r="BH37" s="3"/>
      <c r="BI37" s="3"/>
      <c r="BJ37" s="2"/>
    </row>
    <row r="38" spans="3:62" x14ac:dyDescent="0.2">
      <c r="C38" s="3"/>
      <c r="D38" s="3"/>
      <c r="E38" s="2"/>
      <c r="F38" s="3"/>
      <c r="G38" s="3"/>
      <c r="H38" s="2"/>
      <c r="I38" s="3">
        <v>363.31</v>
      </c>
      <c r="J38" s="3">
        <v>16.27</v>
      </c>
      <c r="K38" s="2">
        <f t="shared" ref="K38:K69" si="21">(I38*J38*J38)/1600000</f>
        <v>6.0108027311874992E-2</v>
      </c>
      <c r="L38" s="3"/>
      <c r="M38" s="3"/>
      <c r="N38" s="2"/>
      <c r="O38" s="3">
        <v>311.74</v>
      </c>
      <c r="P38" s="3">
        <v>19.87</v>
      </c>
      <c r="Q38" s="2">
        <f t="shared" ref="Q38:Q69" si="22">(O38*P38*P38)/1600000</f>
        <v>7.6925137753750011E-2</v>
      </c>
      <c r="R38" s="3"/>
      <c r="S38" s="3"/>
      <c r="T38" s="2"/>
      <c r="U38" s="3"/>
      <c r="V38" s="3"/>
      <c r="W38" s="2"/>
      <c r="X38" s="3"/>
      <c r="Y38" s="3"/>
      <c r="Z38" s="2"/>
      <c r="AA38" s="3"/>
      <c r="AB38" s="3"/>
      <c r="AC38" s="2"/>
      <c r="AD38" s="3"/>
      <c r="AE38" s="3"/>
      <c r="AF38" s="2"/>
      <c r="AG38" s="3"/>
      <c r="AH38" s="3"/>
      <c r="AI38" s="2"/>
      <c r="AJ38" s="3"/>
      <c r="AK38" s="3"/>
      <c r="AL38" s="2"/>
      <c r="AM38" s="3"/>
      <c r="AN38" s="3"/>
      <c r="AO38" s="2"/>
      <c r="AP38" s="3"/>
      <c r="AQ38" s="3"/>
      <c r="AR38" s="2"/>
      <c r="AS38" s="3"/>
      <c r="AT38" s="3"/>
      <c r="AU38" s="2"/>
      <c r="AV38" s="3"/>
      <c r="AW38" s="3"/>
      <c r="AX38" s="2"/>
      <c r="AY38" s="3"/>
      <c r="AZ38" s="3"/>
      <c r="BA38" s="2"/>
      <c r="BB38" s="3"/>
      <c r="BC38" s="3"/>
      <c r="BD38" s="2"/>
      <c r="BE38" s="3"/>
      <c r="BF38" s="3"/>
      <c r="BG38" s="2"/>
      <c r="BH38" s="3"/>
      <c r="BI38" s="3"/>
      <c r="BJ38" s="2"/>
    </row>
    <row r="39" spans="3:62" x14ac:dyDescent="0.2">
      <c r="C39" s="3"/>
      <c r="D39" s="3"/>
      <c r="E39" s="2"/>
      <c r="F39" s="3"/>
      <c r="G39" s="3"/>
      <c r="H39" s="2"/>
      <c r="I39" s="3">
        <v>393.22</v>
      </c>
      <c r="J39" s="3">
        <v>15.02</v>
      </c>
      <c r="K39" s="2">
        <f t="shared" si="21"/>
        <v>5.5444118305000005E-2</v>
      </c>
      <c r="L39" s="3"/>
      <c r="M39" s="3"/>
      <c r="N39" s="2"/>
      <c r="O39" s="3">
        <v>421.33</v>
      </c>
      <c r="P39" s="3">
        <v>16.190000000000001</v>
      </c>
      <c r="Q39" s="2">
        <f t="shared" si="22"/>
        <v>6.9023360258124999E-2</v>
      </c>
      <c r="R39" s="3"/>
      <c r="S39" s="3"/>
      <c r="T39" s="2"/>
      <c r="U39" s="3"/>
      <c r="V39" s="3"/>
      <c r="W39" s="2"/>
      <c r="X39" s="3"/>
      <c r="Y39" s="3"/>
      <c r="Z39" s="2"/>
      <c r="AA39" s="3"/>
      <c r="AB39" s="3"/>
      <c r="AC39" s="2"/>
      <c r="AD39" s="3"/>
      <c r="AE39" s="3"/>
      <c r="AF39" s="2"/>
      <c r="AG39" s="3"/>
      <c r="AH39" s="3"/>
      <c r="AI39" s="2"/>
      <c r="AJ39" s="3"/>
      <c r="AK39" s="3"/>
      <c r="AL39" s="2"/>
      <c r="AM39" s="3"/>
      <c r="AN39" s="3"/>
      <c r="AO39" s="2"/>
      <c r="AP39" s="3"/>
      <c r="AQ39" s="3"/>
      <c r="AR39" s="2"/>
      <c r="AS39" s="3"/>
      <c r="AT39" s="3"/>
      <c r="AU39" s="2"/>
      <c r="AV39" s="3"/>
      <c r="AW39" s="3"/>
      <c r="AX39" s="2"/>
      <c r="AY39" s="3"/>
      <c r="AZ39" s="3"/>
      <c r="BA39" s="2"/>
      <c r="BB39" s="3"/>
      <c r="BC39" s="3"/>
      <c r="BD39" s="2"/>
      <c r="BE39" s="3"/>
      <c r="BF39" s="3"/>
      <c r="BG39" s="2"/>
      <c r="BH39" s="3"/>
      <c r="BI39" s="3"/>
      <c r="BJ39" s="2"/>
    </row>
    <row r="40" spans="3:62" x14ac:dyDescent="0.2">
      <c r="C40" s="3"/>
      <c r="D40" s="3"/>
      <c r="E40" s="2"/>
      <c r="F40" s="3"/>
      <c r="G40" s="3"/>
      <c r="H40" s="2"/>
      <c r="I40" s="3">
        <v>390.67</v>
      </c>
      <c r="J40" s="3">
        <v>13.77</v>
      </c>
      <c r="K40" s="2">
        <f t="shared" si="21"/>
        <v>4.6297544776874991E-2</v>
      </c>
      <c r="L40" s="3"/>
      <c r="M40" s="3"/>
      <c r="N40" s="2"/>
      <c r="O40" s="3">
        <v>366.9</v>
      </c>
      <c r="P40" s="3">
        <v>15.08</v>
      </c>
      <c r="Q40" s="2">
        <f t="shared" si="22"/>
        <v>5.2147130099999994E-2</v>
      </c>
      <c r="R40" s="3"/>
      <c r="S40" s="3"/>
      <c r="T40" s="2"/>
      <c r="U40" s="3"/>
      <c r="V40" s="3"/>
      <c r="W40" s="2"/>
      <c r="X40" s="3"/>
      <c r="Y40" s="3"/>
      <c r="Z40" s="2"/>
      <c r="AA40" s="3"/>
      <c r="AB40" s="3"/>
      <c r="AC40" s="2"/>
      <c r="AD40" s="3"/>
      <c r="AE40" s="3"/>
      <c r="AF40" s="2"/>
      <c r="AG40" s="3"/>
      <c r="AH40" s="3"/>
      <c r="AI40" s="2"/>
      <c r="AJ40" s="3"/>
      <c r="AK40" s="3"/>
      <c r="AL40" s="2"/>
      <c r="AM40" s="3"/>
      <c r="AN40" s="3"/>
      <c r="AO40" s="2"/>
      <c r="AP40" s="3"/>
      <c r="AQ40" s="3"/>
      <c r="AR40" s="2"/>
      <c r="AS40" s="3"/>
      <c r="AT40" s="3"/>
      <c r="AU40" s="2"/>
      <c r="AV40" s="3"/>
      <c r="AW40" s="3"/>
      <c r="AX40" s="2"/>
      <c r="AY40" s="3"/>
      <c r="AZ40" s="3"/>
      <c r="BA40" s="2"/>
      <c r="BB40" s="3"/>
      <c r="BC40" s="3"/>
      <c r="BD40" s="2"/>
      <c r="BE40" s="3"/>
      <c r="BF40" s="3"/>
      <c r="BG40" s="2"/>
      <c r="BH40" s="3"/>
      <c r="BI40" s="3"/>
      <c r="BJ40" s="2"/>
    </row>
    <row r="41" spans="3:62" x14ac:dyDescent="0.2">
      <c r="C41" s="3"/>
      <c r="D41" s="3"/>
      <c r="E41" s="2"/>
      <c r="F41" s="3"/>
      <c r="G41" s="3"/>
      <c r="H41" s="2"/>
      <c r="I41" s="3">
        <v>397.87</v>
      </c>
      <c r="J41" s="3">
        <v>17.61</v>
      </c>
      <c r="K41" s="2">
        <f t="shared" si="21"/>
        <v>7.7115188266874996E-2</v>
      </c>
      <c r="L41" s="3"/>
      <c r="M41" s="3"/>
      <c r="N41" s="2"/>
      <c r="O41" s="3">
        <v>386.94</v>
      </c>
      <c r="P41" s="3">
        <v>16.53</v>
      </c>
      <c r="Q41" s="2">
        <f t="shared" si="22"/>
        <v>6.6079896153750012E-2</v>
      </c>
      <c r="R41" s="3"/>
      <c r="S41" s="3"/>
      <c r="T41" s="2"/>
      <c r="U41" s="3"/>
      <c r="V41" s="3"/>
      <c r="W41" s="2"/>
      <c r="X41" s="3"/>
      <c r="Y41" s="3"/>
      <c r="Z41" s="2"/>
      <c r="AA41" s="3"/>
      <c r="AB41" s="3"/>
      <c r="AC41" s="2"/>
      <c r="AD41" s="3"/>
      <c r="AE41" s="3"/>
      <c r="AF41" s="2"/>
      <c r="AG41" s="3"/>
      <c r="AH41" s="3"/>
      <c r="AI41" s="2"/>
      <c r="AJ41" s="3"/>
      <c r="AK41" s="3"/>
      <c r="AL41" s="2"/>
      <c r="AM41" s="3"/>
      <c r="AN41" s="3"/>
      <c r="AO41" s="2"/>
      <c r="AP41" s="3"/>
      <c r="AQ41" s="3"/>
      <c r="AR41" s="2"/>
      <c r="AS41" s="3"/>
      <c r="AT41" s="3"/>
      <c r="AU41" s="2"/>
      <c r="AV41" s="3"/>
      <c r="AW41" s="3"/>
      <c r="AX41" s="2"/>
      <c r="AY41" s="3"/>
      <c r="AZ41" s="3"/>
      <c r="BA41" s="2"/>
      <c r="BB41" s="3"/>
      <c r="BC41" s="3"/>
      <c r="BD41" s="2"/>
      <c r="BE41" s="3"/>
      <c r="BF41" s="3"/>
      <c r="BG41" s="2"/>
      <c r="BH41" s="3"/>
      <c r="BI41" s="3"/>
      <c r="BJ41" s="2"/>
    </row>
    <row r="42" spans="3:62" x14ac:dyDescent="0.2">
      <c r="C42" s="3"/>
      <c r="D42" s="3"/>
      <c r="E42" s="2"/>
      <c r="F42" s="3"/>
      <c r="G42" s="3"/>
      <c r="H42" s="2"/>
      <c r="I42" s="3">
        <v>409.58</v>
      </c>
      <c r="J42" s="3">
        <v>15.57</v>
      </c>
      <c r="K42" s="2">
        <f t="shared" si="21"/>
        <v>6.2057744088750005E-2</v>
      </c>
      <c r="L42" s="3"/>
      <c r="M42" s="3"/>
      <c r="N42" s="2"/>
      <c r="O42" s="3">
        <v>346.45</v>
      </c>
      <c r="P42" s="3">
        <v>15.82</v>
      </c>
      <c r="Q42" s="2">
        <f t="shared" si="22"/>
        <v>5.4191795612500003E-2</v>
      </c>
      <c r="R42" s="3"/>
      <c r="S42" s="3"/>
      <c r="T42" s="2"/>
      <c r="U42" s="3"/>
      <c r="V42" s="3"/>
      <c r="W42" s="2"/>
      <c r="X42" s="3"/>
      <c r="Y42" s="3"/>
      <c r="Z42" s="2"/>
      <c r="AA42" s="3"/>
      <c r="AB42" s="3"/>
      <c r="AC42" s="2"/>
      <c r="AD42" s="3"/>
      <c r="AE42" s="3"/>
      <c r="AF42" s="2"/>
      <c r="AG42" s="3"/>
      <c r="AH42" s="3"/>
      <c r="AI42" s="2"/>
      <c r="AJ42" s="3"/>
      <c r="AK42" s="3"/>
      <c r="AL42" s="2"/>
      <c r="AM42" s="3"/>
      <c r="AN42" s="3"/>
      <c r="AO42" s="2"/>
      <c r="AP42" s="3"/>
      <c r="AQ42" s="3"/>
      <c r="AR42" s="2"/>
      <c r="AS42" s="3"/>
      <c r="AT42" s="3"/>
      <c r="AU42" s="2"/>
      <c r="AV42" s="3"/>
      <c r="AW42" s="3"/>
      <c r="AX42" s="2"/>
      <c r="AY42" s="3"/>
      <c r="AZ42" s="3"/>
      <c r="BA42" s="2"/>
      <c r="BB42" s="3"/>
      <c r="BC42" s="3"/>
      <c r="BD42" s="2"/>
      <c r="BE42" s="3"/>
      <c r="BF42" s="3"/>
      <c r="BG42" s="2"/>
      <c r="BH42" s="3"/>
      <c r="BI42" s="3"/>
      <c r="BJ42" s="2"/>
    </row>
    <row r="43" spans="3:62" x14ac:dyDescent="0.2">
      <c r="C43" s="3"/>
      <c r="D43" s="3"/>
      <c r="E43" s="2"/>
      <c r="F43" s="3"/>
      <c r="G43" s="3"/>
      <c r="H43" s="2"/>
      <c r="I43" s="3">
        <v>352.3</v>
      </c>
      <c r="J43" s="3">
        <v>15.09</v>
      </c>
      <c r="K43" s="2">
        <f t="shared" si="21"/>
        <v>5.0138477268750002E-2</v>
      </c>
      <c r="L43" s="3"/>
      <c r="M43" s="3"/>
      <c r="N43" s="2"/>
      <c r="O43" s="3">
        <v>400.77</v>
      </c>
      <c r="P43" s="3">
        <v>19.27</v>
      </c>
      <c r="Q43" s="2">
        <f t="shared" si="22"/>
        <v>9.301192895812499E-2</v>
      </c>
      <c r="R43" s="3"/>
      <c r="S43" s="3"/>
      <c r="T43" s="2"/>
      <c r="U43" s="3"/>
      <c r="V43" s="3"/>
      <c r="W43" s="2"/>
      <c r="X43" s="3"/>
      <c r="Y43" s="3"/>
      <c r="Z43" s="2"/>
      <c r="AA43" s="3"/>
      <c r="AB43" s="3"/>
      <c r="AC43" s="2"/>
      <c r="AD43" s="3"/>
      <c r="AE43" s="3"/>
      <c r="AF43" s="2"/>
      <c r="AG43" s="3"/>
      <c r="AH43" s="3"/>
      <c r="AI43" s="2"/>
      <c r="AJ43" s="3"/>
      <c r="AK43" s="3"/>
      <c r="AL43" s="2"/>
      <c r="AM43" s="3"/>
      <c r="AN43" s="3"/>
      <c r="AO43" s="2"/>
      <c r="AP43" s="3"/>
      <c r="AQ43" s="3"/>
      <c r="AR43" s="2"/>
      <c r="AS43" s="3"/>
      <c r="AT43" s="3"/>
      <c r="AU43" s="2"/>
      <c r="AV43" s="3"/>
      <c r="AW43" s="3"/>
      <c r="AX43" s="2"/>
      <c r="AY43" s="3"/>
      <c r="AZ43" s="3"/>
      <c r="BA43" s="2"/>
      <c r="BB43" s="3"/>
      <c r="BC43" s="3"/>
      <c r="BD43" s="2"/>
      <c r="BE43" s="3"/>
      <c r="BF43" s="3"/>
      <c r="BG43" s="2"/>
      <c r="BH43" s="3"/>
      <c r="BI43" s="3"/>
      <c r="BJ43" s="2"/>
    </row>
    <row r="44" spans="3:62" x14ac:dyDescent="0.2">
      <c r="C44" s="3"/>
      <c r="D44" s="3"/>
      <c r="E44" s="2"/>
      <c r="F44" s="3"/>
      <c r="G44" s="3"/>
      <c r="H44" s="2"/>
      <c r="I44" s="3">
        <v>399.84</v>
      </c>
      <c r="J44" s="3">
        <v>20.9</v>
      </c>
      <c r="K44" s="2">
        <f t="shared" si="21"/>
        <v>0.10915881899999999</v>
      </c>
      <c r="L44" s="3"/>
      <c r="M44" s="3"/>
      <c r="N44" s="2"/>
      <c r="O44" s="3">
        <v>461.91</v>
      </c>
      <c r="P44" s="3">
        <v>16.89</v>
      </c>
      <c r="Q44" s="2">
        <f t="shared" si="22"/>
        <v>8.2356272319375007E-2</v>
      </c>
      <c r="R44" s="3"/>
      <c r="S44" s="3"/>
      <c r="T44" s="2"/>
      <c r="U44" s="3"/>
      <c r="V44" s="3"/>
      <c r="W44" s="2"/>
      <c r="X44" s="3"/>
      <c r="Y44" s="3"/>
      <c r="Z44" s="2"/>
      <c r="AA44" s="3"/>
      <c r="AB44" s="3"/>
      <c r="AC44" s="2"/>
      <c r="AD44" s="3"/>
      <c r="AE44" s="3"/>
      <c r="AF44" s="2"/>
      <c r="AG44" s="3"/>
      <c r="AH44" s="3"/>
      <c r="AI44" s="2"/>
      <c r="AJ44" s="3"/>
      <c r="AK44" s="3"/>
      <c r="AL44" s="2"/>
      <c r="AM44" s="3"/>
      <c r="AN44" s="3"/>
      <c r="AO44" s="2"/>
      <c r="AP44" s="3"/>
      <c r="AQ44" s="3"/>
      <c r="AR44" s="2"/>
      <c r="AS44" s="3"/>
      <c r="AT44" s="3"/>
      <c r="AU44" s="2"/>
      <c r="AV44" s="3"/>
      <c r="AW44" s="3"/>
      <c r="AX44" s="2"/>
      <c r="AY44" s="3"/>
      <c r="AZ44" s="3"/>
      <c r="BA44" s="2"/>
      <c r="BB44" s="3"/>
      <c r="BC44" s="3"/>
      <c r="BD44" s="2"/>
      <c r="BE44" s="3"/>
      <c r="BF44" s="3"/>
      <c r="BG44" s="2"/>
      <c r="BH44" s="3"/>
      <c r="BI44" s="3"/>
      <c r="BJ44" s="2"/>
    </row>
    <row r="45" spans="3:62" x14ac:dyDescent="0.2">
      <c r="C45" s="3"/>
      <c r="D45" s="3"/>
      <c r="E45" s="2"/>
      <c r="F45" s="3"/>
      <c r="G45" s="3"/>
      <c r="H45" s="2"/>
      <c r="I45" s="3">
        <v>363.31</v>
      </c>
      <c r="J45" s="3">
        <v>16.27</v>
      </c>
      <c r="K45" s="2">
        <f t="shared" si="21"/>
        <v>6.0108027311874992E-2</v>
      </c>
      <c r="L45" s="3"/>
      <c r="M45" s="3"/>
      <c r="N45" s="2"/>
      <c r="O45" s="3">
        <v>406.55</v>
      </c>
      <c r="P45" s="3">
        <v>15.43</v>
      </c>
      <c r="Q45" s="2">
        <f t="shared" si="22"/>
        <v>6.0495885059374997E-2</v>
      </c>
      <c r="R45" s="3"/>
      <c r="S45" s="3"/>
      <c r="T45" s="2"/>
      <c r="U45" s="3"/>
      <c r="V45" s="3"/>
      <c r="W45" s="2"/>
      <c r="X45" s="3"/>
      <c r="Y45" s="3"/>
      <c r="Z45" s="2"/>
      <c r="AA45" s="3"/>
      <c r="AB45" s="3"/>
      <c r="AC45" s="2"/>
      <c r="AD45" s="3"/>
      <c r="AE45" s="3"/>
      <c r="AF45" s="2"/>
      <c r="AG45" s="3"/>
      <c r="AH45" s="3"/>
      <c r="AI45" s="2"/>
      <c r="AJ45" s="3"/>
      <c r="AK45" s="3"/>
      <c r="AL45" s="2"/>
      <c r="AM45" s="3"/>
      <c r="AN45" s="3"/>
      <c r="AO45" s="2"/>
      <c r="AP45" s="3"/>
      <c r="AQ45" s="3"/>
      <c r="AR45" s="2"/>
      <c r="AS45" s="3"/>
      <c r="AT45" s="3"/>
      <c r="AU45" s="2"/>
      <c r="AV45" s="3"/>
      <c r="AW45" s="3"/>
      <c r="AX45" s="2"/>
      <c r="AY45" s="3"/>
      <c r="AZ45" s="3"/>
      <c r="BA45" s="2"/>
      <c r="BB45" s="3"/>
      <c r="BC45" s="3"/>
      <c r="BD45" s="2"/>
      <c r="BE45" s="3"/>
      <c r="BF45" s="3"/>
      <c r="BG45" s="2"/>
      <c r="BH45" s="3"/>
      <c r="BI45" s="3"/>
      <c r="BJ45" s="2"/>
    </row>
    <row r="46" spans="3:62" x14ac:dyDescent="0.2">
      <c r="C46" s="3"/>
      <c r="D46" s="3"/>
      <c r="E46" s="2"/>
      <c r="F46" s="3"/>
      <c r="G46" s="3"/>
      <c r="H46" s="2"/>
      <c r="I46" s="3">
        <v>393.22</v>
      </c>
      <c r="J46" s="3">
        <v>15.02</v>
      </c>
      <c r="K46" s="2">
        <f t="shared" si="21"/>
        <v>5.5444118305000005E-2</v>
      </c>
      <c r="L46" s="3"/>
      <c r="M46" s="3"/>
      <c r="N46" s="2"/>
      <c r="O46" s="3">
        <v>368.86</v>
      </c>
      <c r="P46" s="3">
        <v>11.45</v>
      </c>
      <c r="Q46" s="2">
        <f t="shared" si="22"/>
        <v>3.022404259375E-2</v>
      </c>
      <c r="R46" s="3"/>
      <c r="S46" s="3"/>
      <c r="T46" s="2"/>
      <c r="U46" s="3"/>
      <c r="V46" s="3"/>
      <c r="W46" s="2"/>
      <c r="X46" s="3"/>
      <c r="Y46" s="3"/>
      <c r="Z46" s="2"/>
      <c r="AA46" s="3"/>
      <c r="AB46" s="3"/>
      <c r="AC46" s="2"/>
      <c r="AD46" s="3"/>
      <c r="AE46" s="3"/>
      <c r="AF46" s="2"/>
      <c r="AG46" s="3"/>
      <c r="AH46" s="3"/>
      <c r="AI46" s="2"/>
      <c r="AJ46" s="3"/>
      <c r="AK46" s="3"/>
      <c r="AL46" s="2"/>
      <c r="AM46" s="3"/>
      <c r="AN46" s="3"/>
      <c r="AO46" s="2"/>
      <c r="AP46" s="3"/>
      <c r="AQ46" s="3"/>
      <c r="AR46" s="2"/>
      <c r="AS46" s="3"/>
      <c r="AT46" s="3"/>
      <c r="AU46" s="2"/>
      <c r="AV46" s="3"/>
      <c r="AW46" s="3"/>
      <c r="AX46" s="2"/>
      <c r="AY46" s="3"/>
      <c r="AZ46" s="3"/>
      <c r="BA46" s="2"/>
      <c r="BB46" s="3"/>
      <c r="BC46" s="3"/>
      <c r="BD46" s="2"/>
      <c r="BE46" s="3"/>
      <c r="BF46" s="3"/>
      <c r="BG46" s="2"/>
      <c r="BH46" s="3"/>
      <c r="BI46" s="3"/>
      <c r="BJ46" s="2"/>
    </row>
    <row r="47" spans="3:62" x14ac:dyDescent="0.2">
      <c r="C47" s="3"/>
      <c r="D47" s="3"/>
      <c r="E47" s="2"/>
      <c r="F47" s="3"/>
      <c r="G47" s="3"/>
      <c r="H47" s="2"/>
      <c r="I47" s="3">
        <v>390.67</v>
      </c>
      <c r="J47" s="3">
        <v>13.77</v>
      </c>
      <c r="K47" s="2">
        <f t="shared" si="21"/>
        <v>4.6297544776874991E-2</v>
      </c>
      <c r="L47" s="3"/>
      <c r="M47" s="3"/>
      <c r="N47" s="2"/>
      <c r="O47" s="3">
        <v>414.51</v>
      </c>
      <c r="P47" s="3">
        <v>19.89</v>
      </c>
      <c r="Q47" s="2">
        <f t="shared" si="22"/>
        <v>0.10249073223187501</v>
      </c>
      <c r="R47" s="3"/>
      <c r="S47" s="3"/>
      <c r="T47" s="2"/>
      <c r="U47" s="3"/>
      <c r="V47" s="3"/>
      <c r="W47" s="2"/>
      <c r="X47" s="3"/>
      <c r="Y47" s="3"/>
      <c r="Z47" s="2"/>
      <c r="AA47" s="3"/>
      <c r="AB47" s="3"/>
      <c r="AC47" s="2"/>
      <c r="AD47" s="3"/>
      <c r="AE47" s="3"/>
      <c r="AF47" s="2"/>
      <c r="AG47" s="3"/>
      <c r="AH47" s="3"/>
      <c r="AI47" s="2"/>
      <c r="AJ47" s="3"/>
      <c r="AK47" s="3"/>
      <c r="AL47" s="2"/>
      <c r="AM47" s="3"/>
      <c r="AN47" s="3"/>
      <c r="AO47" s="2"/>
      <c r="AP47" s="3"/>
      <c r="AQ47" s="3"/>
      <c r="AR47" s="2"/>
      <c r="AS47" s="3"/>
      <c r="AT47" s="3"/>
      <c r="AU47" s="2"/>
      <c r="AV47" s="3"/>
      <c r="AW47" s="3"/>
      <c r="AX47" s="2"/>
      <c r="AY47" s="3"/>
      <c r="AZ47" s="3"/>
      <c r="BA47" s="2"/>
      <c r="BB47" s="3"/>
      <c r="BC47" s="3"/>
      <c r="BD47" s="2"/>
      <c r="BE47" s="3"/>
      <c r="BF47" s="3"/>
      <c r="BG47" s="2"/>
      <c r="BH47" s="3"/>
      <c r="BI47" s="3"/>
      <c r="BJ47" s="2"/>
    </row>
    <row r="48" spans="3:62" x14ac:dyDescent="0.2">
      <c r="C48" s="3"/>
      <c r="D48" s="3"/>
      <c r="E48" s="2"/>
      <c r="F48" s="3"/>
      <c r="G48" s="3"/>
      <c r="H48" s="2"/>
      <c r="I48" s="3">
        <v>397.87</v>
      </c>
      <c r="J48" s="3">
        <v>17.61</v>
      </c>
      <c r="K48" s="2">
        <f t="shared" si="21"/>
        <v>7.7115188266874996E-2</v>
      </c>
      <c r="L48" s="3"/>
      <c r="M48" s="3"/>
      <c r="N48" s="2"/>
      <c r="O48" s="3">
        <v>399.99</v>
      </c>
      <c r="P48" s="3">
        <v>15.59</v>
      </c>
      <c r="Q48" s="2">
        <f t="shared" si="22"/>
        <v>6.0760505949375002E-2</v>
      </c>
      <c r="R48" s="3"/>
      <c r="S48" s="3"/>
      <c r="T48" s="2"/>
      <c r="U48" s="3"/>
      <c r="V48" s="3"/>
      <c r="W48" s="2"/>
      <c r="X48" s="3"/>
      <c r="Y48" s="3"/>
      <c r="Z48" s="2"/>
      <c r="AA48" s="3"/>
      <c r="AB48" s="3"/>
      <c r="AC48" s="2"/>
      <c r="AD48" s="3"/>
      <c r="AE48" s="3"/>
      <c r="AF48" s="2"/>
      <c r="AG48" s="3"/>
      <c r="AH48" s="3"/>
      <c r="AI48" s="2"/>
      <c r="AJ48" s="3"/>
      <c r="AK48" s="3"/>
      <c r="AL48" s="2"/>
      <c r="AM48" s="3"/>
      <c r="AN48" s="3"/>
      <c r="AO48" s="2"/>
      <c r="AP48" s="3"/>
      <c r="AQ48" s="3"/>
      <c r="AR48" s="2"/>
      <c r="AS48" s="3"/>
      <c r="AT48" s="3"/>
      <c r="AU48" s="2"/>
      <c r="AV48" s="3"/>
      <c r="AW48" s="3"/>
      <c r="AX48" s="2"/>
      <c r="AY48" s="3"/>
      <c r="AZ48" s="3"/>
      <c r="BA48" s="2"/>
      <c r="BB48" s="3"/>
      <c r="BC48" s="3"/>
      <c r="BD48" s="2"/>
      <c r="BE48" s="3"/>
      <c r="BF48" s="3"/>
      <c r="BG48" s="2"/>
      <c r="BH48" s="3"/>
      <c r="BI48" s="3"/>
      <c r="BJ48" s="2"/>
    </row>
    <row r="49" spans="3:62" x14ac:dyDescent="0.2">
      <c r="C49" s="3"/>
      <c r="D49" s="3"/>
      <c r="E49" s="2"/>
      <c r="F49" s="3"/>
      <c r="G49" s="3"/>
      <c r="H49" s="2"/>
      <c r="I49" s="3">
        <v>409.58</v>
      </c>
      <c r="J49" s="3">
        <v>15.57</v>
      </c>
      <c r="K49" s="2">
        <f t="shared" si="21"/>
        <v>6.2057744088750005E-2</v>
      </c>
      <c r="L49" s="3"/>
      <c r="M49" s="3"/>
      <c r="N49" s="2"/>
      <c r="O49" s="3">
        <v>390.85</v>
      </c>
      <c r="P49" s="3">
        <v>18.04</v>
      </c>
      <c r="Q49" s="2">
        <f t="shared" si="22"/>
        <v>7.9499280849999993E-2</v>
      </c>
      <c r="R49" s="3"/>
      <c r="S49" s="3"/>
      <c r="T49" s="2"/>
      <c r="U49" s="3"/>
      <c r="V49" s="3"/>
      <c r="W49" s="2"/>
      <c r="X49" s="3"/>
      <c r="Y49" s="3"/>
      <c r="Z49" s="2"/>
      <c r="AA49" s="3"/>
      <c r="AB49" s="3"/>
      <c r="AC49" s="2"/>
      <c r="AD49" s="3"/>
      <c r="AE49" s="3"/>
      <c r="AF49" s="2"/>
      <c r="AG49" s="3"/>
      <c r="AH49" s="3"/>
      <c r="AI49" s="2"/>
      <c r="AJ49" s="3"/>
      <c r="AK49" s="3"/>
      <c r="AL49" s="2"/>
      <c r="AM49" s="3"/>
      <c r="AN49" s="3"/>
      <c r="AO49" s="2"/>
      <c r="AP49" s="3"/>
      <c r="AQ49" s="3"/>
      <c r="AR49" s="2"/>
      <c r="AS49" s="3"/>
      <c r="AT49" s="3"/>
      <c r="AU49" s="2"/>
      <c r="AV49" s="3"/>
      <c r="AW49" s="3"/>
      <c r="AX49" s="2"/>
      <c r="AY49" s="3"/>
      <c r="AZ49" s="3"/>
      <c r="BA49" s="2"/>
      <c r="BB49" s="3"/>
      <c r="BC49" s="3"/>
      <c r="BD49" s="2"/>
      <c r="BE49" s="3"/>
      <c r="BF49" s="3"/>
      <c r="BG49" s="2"/>
      <c r="BH49" s="3"/>
      <c r="BI49" s="3"/>
      <c r="BJ49" s="2"/>
    </row>
    <row r="50" spans="3:62" x14ac:dyDescent="0.2">
      <c r="C50" s="3"/>
      <c r="D50" s="3"/>
      <c r="E50" s="2"/>
      <c r="F50" s="3"/>
      <c r="G50" s="3"/>
      <c r="H50" s="2"/>
      <c r="I50" s="3">
        <v>401.04</v>
      </c>
      <c r="J50" s="3">
        <v>15.09</v>
      </c>
      <c r="K50" s="2">
        <f t="shared" si="21"/>
        <v>5.7075035265000004E-2</v>
      </c>
      <c r="L50" s="3"/>
      <c r="M50" s="3"/>
      <c r="N50" s="2"/>
      <c r="O50" s="3">
        <v>386.86</v>
      </c>
      <c r="P50" s="3">
        <v>15.45</v>
      </c>
      <c r="Q50" s="2">
        <f t="shared" si="22"/>
        <v>5.7715280718749998E-2</v>
      </c>
      <c r="R50" s="3"/>
      <c r="S50" s="3"/>
      <c r="T50" s="2"/>
      <c r="U50" s="3"/>
      <c r="V50" s="3"/>
      <c r="W50" s="2"/>
      <c r="X50" s="3"/>
      <c r="Y50" s="3"/>
      <c r="Z50" s="2"/>
      <c r="AA50" s="3"/>
      <c r="AB50" s="3"/>
      <c r="AC50" s="2"/>
      <c r="AD50" s="3"/>
      <c r="AE50" s="3"/>
      <c r="AF50" s="2"/>
      <c r="AG50" s="3"/>
      <c r="AH50" s="3"/>
      <c r="AI50" s="2"/>
      <c r="AJ50" s="3"/>
      <c r="AK50" s="3"/>
      <c r="AL50" s="2"/>
      <c r="AM50" s="3"/>
      <c r="AN50" s="3"/>
      <c r="AO50" s="2"/>
      <c r="AP50" s="3"/>
      <c r="AQ50" s="3"/>
      <c r="AR50" s="2"/>
      <c r="AS50" s="3"/>
      <c r="AT50" s="3"/>
      <c r="AU50" s="2"/>
      <c r="AV50" s="3"/>
      <c r="AW50" s="3"/>
      <c r="AX50" s="2"/>
      <c r="AY50" s="3"/>
      <c r="AZ50" s="3"/>
      <c r="BA50" s="2"/>
      <c r="BB50" s="3"/>
      <c r="BC50" s="3"/>
      <c r="BD50" s="2"/>
      <c r="BE50" s="3"/>
      <c r="BF50" s="3"/>
      <c r="BG50" s="2"/>
      <c r="BH50" s="3"/>
      <c r="BI50" s="3"/>
      <c r="BJ50" s="2"/>
    </row>
    <row r="51" spans="3:62" x14ac:dyDescent="0.2">
      <c r="C51" s="3"/>
      <c r="D51" s="3"/>
      <c r="E51" s="2"/>
      <c r="F51" s="3"/>
      <c r="G51" s="3"/>
      <c r="H51" s="2"/>
      <c r="I51" s="3">
        <v>380.22</v>
      </c>
      <c r="J51" s="3">
        <v>17.28</v>
      </c>
      <c r="K51" s="2">
        <f t="shared" si="21"/>
        <v>7.095817728000002E-2</v>
      </c>
      <c r="L51" s="3"/>
      <c r="M51" s="3"/>
      <c r="N51" s="2"/>
      <c r="O51" s="3">
        <v>379.12</v>
      </c>
      <c r="P51" s="3">
        <v>15.27</v>
      </c>
      <c r="Q51" s="2">
        <f t="shared" si="22"/>
        <v>5.5250318654999998E-2</v>
      </c>
      <c r="R51" s="3"/>
      <c r="S51" s="3"/>
      <c r="T51" s="2"/>
      <c r="U51" s="3"/>
      <c r="V51" s="3"/>
      <c r="W51" s="2"/>
      <c r="X51" s="3"/>
      <c r="Y51" s="3"/>
      <c r="Z51" s="2"/>
      <c r="AA51" s="3"/>
      <c r="AB51" s="3"/>
      <c r="AC51" s="2"/>
      <c r="AD51" s="3"/>
      <c r="AE51" s="3"/>
      <c r="AF51" s="2"/>
      <c r="AG51" s="3"/>
      <c r="AH51" s="3"/>
      <c r="AI51" s="2"/>
      <c r="AJ51" s="3"/>
      <c r="AK51" s="3"/>
      <c r="AL51" s="2"/>
      <c r="AM51" s="3"/>
      <c r="AN51" s="3"/>
      <c r="AO51" s="2"/>
      <c r="AP51" s="3"/>
      <c r="AQ51" s="3"/>
      <c r="AR51" s="2"/>
      <c r="AS51" s="3"/>
      <c r="AT51" s="3"/>
      <c r="AU51" s="2"/>
      <c r="AV51" s="3"/>
      <c r="AW51" s="3"/>
      <c r="AX51" s="2"/>
      <c r="AY51" s="3"/>
      <c r="AZ51" s="3"/>
      <c r="BA51" s="2"/>
      <c r="BB51" s="3"/>
      <c r="BC51" s="3"/>
      <c r="BD51" s="2"/>
      <c r="BE51" s="3"/>
      <c r="BF51" s="3"/>
      <c r="BG51" s="2"/>
      <c r="BH51" s="3"/>
      <c r="BI51" s="3"/>
      <c r="BJ51" s="2"/>
    </row>
    <row r="52" spans="3:62" x14ac:dyDescent="0.2">
      <c r="C52" s="3"/>
      <c r="D52" s="3"/>
      <c r="E52" s="2"/>
      <c r="F52" s="3"/>
      <c r="G52" s="3"/>
      <c r="H52" s="2"/>
      <c r="I52" s="3">
        <v>394.44</v>
      </c>
      <c r="J52" s="3">
        <v>17.13</v>
      </c>
      <c r="K52" s="2">
        <f t="shared" si="21"/>
        <v>7.2339531772499993E-2</v>
      </c>
      <c r="L52" s="3"/>
      <c r="M52" s="3"/>
      <c r="N52" s="2"/>
      <c r="O52" s="3">
        <v>412.31</v>
      </c>
      <c r="P52" s="3">
        <v>14.85</v>
      </c>
      <c r="Q52" s="2">
        <f t="shared" si="22"/>
        <v>5.6827269984374998E-2</v>
      </c>
      <c r="R52" s="3"/>
      <c r="S52" s="3"/>
      <c r="T52" s="2"/>
      <c r="U52" s="3"/>
      <c r="V52" s="3"/>
      <c r="W52" s="2"/>
      <c r="X52" s="3"/>
      <c r="Y52" s="3"/>
      <c r="Z52" s="2"/>
      <c r="AA52" s="3"/>
      <c r="AB52" s="3"/>
      <c r="AC52" s="2"/>
      <c r="AD52" s="3"/>
      <c r="AE52" s="3"/>
      <c r="AF52" s="2"/>
      <c r="AG52" s="3"/>
      <c r="AH52" s="3"/>
      <c r="AI52" s="2"/>
      <c r="AJ52" s="3"/>
      <c r="AK52" s="3"/>
      <c r="AL52" s="2"/>
      <c r="AM52" s="3"/>
      <c r="AN52" s="3"/>
      <c r="AO52" s="2"/>
      <c r="AP52" s="3"/>
      <c r="AQ52" s="3"/>
      <c r="AR52" s="2"/>
      <c r="AS52" s="3"/>
      <c r="AT52" s="3"/>
      <c r="AU52" s="2"/>
      <c r="AV52" s="3"/>
      <c r="AW52" s="3"/>
      <c r="AX52" s="2"/>
      <c r="AY52" s="3"/>
      <c r="AZ52" s="3"/>
      <c r="BA52" s="2"/>
      <c r="BB52" s="3"/>
      <c r="BC52" s="3"/>
      <c r="BD52" s="2"/>
      <c r="BE52" s="3"/>
      <c r="BF52" s="3"/>
      <c r="BG52" s="2"/>
      <c r="BH52" s="3"/>
      <c r="BI52" s="3"/>
      <c r="BJ52" s="2"/>
    </row>
    <row r="53" spans="3:62" x14ac:dyDescent="0.2">
      <c r="C53" s="3"/>
      <c r="D53" s="3"/>
      <c r="E53" s="2"/>
      <c r="F53" s="3"/>
      <c r="G53" s="3"/>
      <c r="H53" s="2"/>
      <c r="I53" s="3">
        <v>273.51</v>
      </c>
      <c r="J53" s="3">
        <v>15.88</v>
      </c>
      <c r="K53" s="2">
        <f t="shared" si="21"/>
        <v>4.3107637590000004E-2</v>
      </c>
      <c r="L53" s="3"/>
      <c r="M53" s="3"/>
      <c r="N53" s="2"/>
      <c r="O53" s="3">
        <v>366.22</v>
      </c>
      <c r="P53" s="3">
        <v>15.11</v>
      </c>
      <c r="Q53" s="2">
        <f t="shared" si="22"/>
        <v>5.2257785788749997E-2</v>
      </c>
      <c r="R53" s="3"/>
      <c r="S53" s="3"/>
      <c r="T53" s="2"/>
      <c r="U53" s="3"/>
      <c r="V53" s="3"/>
      <c r="W53" s="2"/>
      <c r="X53" s="3"/>
      <c r="Y53" s="3"/>
      <c r="Z53" s="2"/>
      <c r="AA53" s="3"/>
      <c r="AB53" s="3"/>
      <c r="AC53" s="2"/>
      <c r="AD53" s="3"/>
      <c r="AE53" s="3"/>
      <c r="AF53" s="2"/>
      <c r="AG53" s="3"/>
      <c r="AH53" s="3"/>
      <c r="AI53" s="2"/>
      <c r="AJ53" s="3"/>
      <c r="AK53" s="3"/>
      <c r="AL53" s="2"/>
      <c r="AM53" s="3"/>
      <c r="AN53" s="3"/>
      <c r="AO53" s="2"/>
      <c r="AP53" s="3"/>
      <c r="AQ53" s="3"/>
      <c r="AR53" s="2"/>
      <c r="AS53" s="3"/>
      <c r="AT53" s="3"/>
      <c r="AU53" s="2"/>
      <c r="AV53" s="3"/>
      <c r="AW53" s="3"/>
      <c r="AX53" s="2"/>
      <c r="AY53" s="3"/>
      <c r="AZ53" s="3"/>
      <c r="BA53" s="2"/>
      <c r="BB53" s="3"/>
      <c r="BC53" s="3"/>
      <c r="BD53" s="2"/>
      <c r="BE53" s="3"/>
      <c r="BF53" s="3"/>
      <c r="BG53" s="2"/>
      <c r="BH53" s="3"/>
      <c r="BI53" s="3"/>
      <c r="BJ53" s="2"/>
    </row>
    <row r="54" spans="3:62" x14ac:dyDescent="0.2">
      <c r="C54" s="3"/>
      <c r="D54" s="3"/>
      <c r="E54" s="2"/>
      <c r="F54" s="3"/>
      <c r="G54" s="3"/>
      <c r="H54" s="2"/>
      <c r="I54" s="3">
        <v>373.06</v>
      </c>
      <c r="J54" s="3">
        <v>16.57</v>
      </c>
      <c r="K54" s="2">
        <f t="shared" si="21"/>
        <v>6.4018238496249991E-2</v>
      </c>
      <c r="L54" s="3"/>
      <c r="M54" s="3"/>
      <c r="N54" s="2"/>
      <c r="O54" s="3">
        <v>377.88</v>
      </c>
      <c r="P54" s="3">
        <v>17.18</v>
      </c>
      <c r="Q54" s="2">
        <f t="shared" si="22"/>
        <v>6.9707618070000005E-2</v>
      </c>
      <c r="R54" s="3"/>
      <c r="S54" s="3"/>
      <c r="T54" s="2"/>
      <c r="U54" s="3"/>
      <c r="V54" s="3"/>
      <c r="W54" s="2"/>
      <c r="X54" s="3"/>
      <c r="Y54" s="3"/>
      <c r="Z54" s="2"/>
      <c r="AA54" s="3"/>
      <c r="AB54" s="3"/>
      <c r="AC54" s="2"/>
      <c r="AD54" s="3"/>
      <c r="AE54" s="3"/>
      <c r="AF54" s="2"/>
      <c r="AG54" s="3"/>
      <c r="AH54" s="3"/>
      <c r="AI54" s="2"/>
      <c r="AJ54" s="3"/>
      <c r="AK54" s="3"/>
      <c r="AL54" s="2"/>
      <c r="AM54" s="3"/>
      <c r="AN54" s="3"/>
      <c r="AO54" s="2"/>
      <c r="AP54" s="3"/>
      <c r="AQ54" s="3"/>
      <c r="AR54" s="2"/>
      <c r="AS54" s="3"/>
      <c r="AT54" s="3"/>
      <c r="AU54" s="2"/>
      <c r="AV54" s="3"/>
      <c r="AW54" s="3"/>
      <c r="AX54" s="2"/>
      <c r="AY54" s="3"/>
      <c r="AZ54" s="3"/>
      <c r="BA54" s="2"/>
      <c r="BB54" s="3"/>
      <c r="BC54" s="3"/>
      <c r="BD54" s="2"/>
      <c r="BE54" s="3"/>
      <c r="BF54" s="3"/>
      <c r="BG54" s="2"/>
      <c r="BH54" s="3"/>
      <c r="BI54" s="3"/>
      <c r="BJ54" s="2"/>
    </row>
    <row r="55" spans="3:62" x14ac:dyDescent="0.2">
      <c r="C55" s="3"/>
      <c r="D55" s="3"/>
      <c r="E55" s="2"/>
      <c r="F55" s="3"/>
      <c r="G55" s="3"/>
      <c r="H55" s="2"/>
      <c r="I55" s="3">
        <v>386.3</v>
      </c>
      <c r="J55" s="3">
        <v>17.46</v>
      </c>
      <c r="K55" s="2">
        <f t="shared" si="21"/>
        <v>7.3602608175000014E-2</v>
      </c>
      <c r="L55" s="3"/>
      <c r="M55" s="3"/>
      <c r="N55" s="2"/>
      <c r="O55" s="3">
        <v>402.13</v>
      </c>
      <c r="P55" s="3">
        <v>15.23</v>
      </c>
      <c r="Q55" s="2">
        <f t="shared" si="22"/>
        <v>5.8297012298124999E-2</v>
      </c>
      <c r="R55" s="3"/>
      <c r="S55" s="3"/>
      <c r="T55" s="2"/>
      <c r="U55" s="3"/>
      <c r="V55" s="3"/>
      <c r="W55" s="2"/>
      <c r="X55" s="3"/>
      <c r="Y55" s="3"/>
      <c r="Z55" s="2"/>
      <c r="AA55" s="3"/>
      <c r="AB55" s="3"/>
      <c r="AC55" s="2"/>
      <c r="AD55" s="3"/>
      <c r="AE55" s="3"/>
      <c r="AF55" s="2"/>
      <c r="AG55" s="3"/>
      <c r="AH55" s="3"/>
      <c r="AI55" s="2"/>
      <c r="AJ55" s="3"/>
      <c r="AK55" s="3"/>
      <c r="AL55" s="2"/>
      <c r="AM55" s="3"/>
      <c r="AN55" s="3"/>
      <c r="AO55" s="2"/>
      <c r="AP55" s="3"/>
      <c r="AQ55" s="3"/>
      <c r="AR55" s="2"/>
      <c r="AS55" s="3"/>
      <c r="AT55" s="3"/>
      <c r="AU55" s="2"/>
      <c r="AV55" s="3"/>
      <c r="AW55" s="3"/>
      <c r="AX55" s="2"/>
      <c r="AY55" s="3"/>
      <c r="AZ55" s="3"/>
      <c r="BA55" s="2"/>
      <c r="BB55" s="3"/>
      <c r="BC55" s="3"/>
      <c r="BD55" s="2"/>
      <c r="BE55" s="3"/>
      <c r="BF55" s="3"/>
      <c r="BG55" s="2"/>
      <c r="BH55" s="3"/>
      <c r="BI55" s="3"/>
      <c r="BJ55" s="2"/>
    </row>
    <row r="56" spans="3:62" x14ac:dyDescent="0.2">
      <c r="C56" s="3"/>
      <c r="D56" s="3"/>
      <c r="E56" s="2"/>
      <c r="F56" s="3"/>
      <c r="G56" s="3"/>
      <c r="H56" s="2"/>
      <c r="I56" s="3">
        <v>404.48</v>
      </c>
      <c r="J56" s="3">
        <v>19.37</v>
      </c>
      <c r="K56" s="2">
        <f t="shared" si="21"/>
        <v>9.4849776319999995E-2</v>
      </c>
      <c r="L56" s="3"/>
      <c r="M56" s="3"/>
      <c r="N56" s="2"/>
      <c r="O56" s="3">
        <v>374.81</v>
      </c>
      <c r="P56" s="3">
        <v>16.649999999999999</v>
      </c>
      <c r="Q56" s="2">
        <f t="shared" si="22"/>
        <v>6.4941103265624994E-2</v>
      </c>
      <c r="R56" s="3"/>
      <c r="S56" s="3"/>
      <c r="T56" s="2"/>
      <c r="U56" s="3"/>
      <c r="V56" s="3"/>
      <c r="W56" s="2"/>
      <c r="X56" s="3"/>
      <c r="Y56" s="3"/>
      <c r="Z56" s="2"/>
      <c r="AA56" s="3"/>
      <c r="AB56" s="3"/>
      <c r="AC56" s="2"/>
      <c r="AD56" s="3"/>
      <c r="AE56" s="3"/>
      <c r="AF56" s="2"/>
      <c r="AG56" s="3"/>
      <c r="AH56" s="3"/>
      <c r="AI56" s="2"/>
      <c r="AJ56" s="3"/>
      <c r="AK56" s="3"/>
      <c r="AL56" s="2"/>
      <c r="AM56" s="3"/>
      <c r="AN56" s="3"/>
      <c r="AO56" s="2"/>
      <c r="AP56" s="3"/>
      <c r="AQ56" s="3"/>
      <c r="AR56" s="2"/>
      <c r="AS56" s="3"/>
      <c r="AT56" s="3"/>
      <c r="AU56" s="2"/>
      <c r="AV56" s="3"/>
      <c r="AW56" s="3"/>
      <c r="AX56" s="2"/>
      <c r="AY56" s="3"/>
      <c r="AZ56" s="3"/>
      <c r="BA56" s="2"/>
      <c r="BB56" s="3"/>
      <c r="BC56" s="3"/>
      <c r="BD56" s="2"/>
      <c r="BE56" s="3"/>
      <c r="BF56" s="3"/>
      <c r="BG56" s="2"/>
      <c r="BH56" s="3"/>
      <c r="BI56" s="3"/>
      <c r="BJ56" s="2"/>
    </row>
    <row r="57" spans="3:62" x14ac:dyDescent="0.2">
      <c r="C57" s="3"/>
      <c r="D57" s="3"/>
      <c r="E57" s="2"/>
      <c r="F57" s="3"/>
      <c r="G57" s="3"/>
      <c r="H57" s="2"/>
      <c r="I57" s="3">
        <v>399.55</v>
      </c>
      <c r="J57" s="3">
        <v>18.63</v>
      </c>
      <c r="K57" s="2">
        <f t="shared" si="21"/>
        <v>8.6671609621874993E-2</v>
      </c>
      <c r="L57" s="3"/>
      <c r="M57" s="3"/>
      <c r="N57" s="2"/>
      <c r="O57" s="3">
        <v>274.20999999999998</v>
      </c>
      <c r="P57" s="3">
        <v>17.28</v>
      </c>
      <c r="Q57" s="2">
        <f t="shared" si="22"/>
        <v>5.1174167040000003E-2</v>
      </c>
      <c r="R57" s="3"/>
      <c r="S57" s="3"/>
      <c r="T57" s="2"/>
      <c r="U57" s="3"/>
      <c r="V57" s="3"/>
      <c r="W57" s="2"/>
      <c r="X57" s="3"/>
      <c r="Y57" s="3"/>
      <c r="Z57" s="2"/>
      <c r="AA57" s="3"/>
      <c r="AB57" s="3"/>
      <c r="AC57" s="2"/>
      <c r="AD57" s="3"/>
      <c r="AE57" s="3"/>
      <c r="AF57" s="2"/>
      <c r="AG57" s="3"/>
      <c r="AH57" s="3"/>
      <c r="AI57" s="2"/>
      <c r="AJ57" s="3"/>
      <c r="AK57" s="3"/>
      <c r="AL57" s="2"/>
      <c r="AM57" s="3"/>
      <c r="AN57" s="3"/>
      <c r="AO57" s="2"/>
      <c r="AP57" s="3"/>
      <c r="AQ57" s="3"/>
      <c r="AR57" s="2"/>
      <c r="AS57" s="3"/>
      <c r="AT57" s="3"/>
      <c r="AU57" s="2"/>
      <c r="AV57" s="3"/>
      <c r="AW57" s="3"/>
      <c r="AX57" s="2"/>
      <c r="AY57" s="3"/>
      <c r="AZ57" s="3"/>
      <c r="BA57" s="2"/>
      <c r="BB57" s="3"/>
      <c r="BC57" s="3"/>
      <c r="BD57" s="2"/>
      <c r="BE57" s="3"/>
      <c r="BF57" s="3"/>
      <c r="BG57" s="2"/>
      <c r="BH57" s="3"/>
      <c r="BI57" s="3"/>
      <c r="BJ57" s="2"/>
    </row>
    <row r="58" spans="3:62" x14ac:dyDescent="0.2">
      <c r="C58" s="3"/>
      <c r="D58" s="3"/>
      <c r="E58" s="2"/>
      <c r="F58" s="3"/>
      <c r="G58" s="3"/>
      <c r="H58" s="2"/>
      <c r="I58" s="3">
        <v>337.82</v>
      </c>
      <c r="J58" s="3">
        <v>15.15</v>
      </c>
      <c r="K58" s="2">
        <f t="shared" si="21"/>
        <v>4.8460806843749996E-2</v>
      </c>
      <c r="L58" s="3"/>
      <c r="M58" s="3"/>
      <c r="N58" s="2"/>
      <c r="O58" s="3">
        <v>253.65</v>
      </c>
      <c r="P58" s="3">
        <v>17.95</v>
      </c>
      <c r="Q58" s="2">
        <f t="shared" si="22"/>
        <v>5.1079165078124995E-2</v>
      </c>
      <c r="R58" s="3"/>
      <c r="S58" s="3"/>
      <c r="T58" s="2"/>
      <c r="U58" s="3"/>
      <c r="V58" s="3"/>
      <c r="W58" s="2"/>
      <c r="X58" s="3"/>
      <c r="Y58" s="3"/>
      <c r="Z58" s="2"/>
      <c r="AA58" s="3"/>
      <c r="AB58" s="3"/>
      <c r="AC58" s="2"/>
      <c r="AD58" s="3"/>
      <c r="AE58" s="3"/>
      <c r="AF58" s="2"/>
      <c r="AG58" s="3"/>
      <c r="AH58" s="3"/>
      <c r="AI58" s="2"/>
      <c r="AJ58" s="3"/>
      <c r="AK58" s="3"/>
      <c r="AL58" s="2"/>
      <c r="AM58" s="3"/>
      <c r="AN58" s="3"/>
      <c r="AO58" s="2"/>
      <c r="AP58" s="3"/>
      <c r="AQ58" s="3"/>
      <c r="AR58" s="2"/>
      <c r="AS58" s="3"/>
      <c r="AT58" s="3"/>
      <c r="AU58" s="2"/>
      <c r="AV58" s="3"/>
      <c r="AW58" s="3"/>
      <c r="AX58" s="2"/>
      <c r="AY58" s="3"/>
      <c r="AZ58" s="3"/>
      <c r="BA58" s="2"/>
      <c r="BB58" s="3"/>
      <c r="BC58" s="3"/>
      <c r="BD58" s="2"/>
      <c r="BE58" s="3"/>
      <c r="BF58" s="3"/>
      <c r="BG58" s="2"/>
      <c r="BH58" s="3"/>
      <c r="BI58" s="3"/>
      <c r="BJ58" s="2"/>
    </row>
    <row r="59" spans="3:62" x14ac:dyDescent="0.2">
      <c r="C59" s="3"/>
      <c r="D59" s="3"/>
      <c r="E59" s="2"/>
      <c r="F59" s="3"/>
      <c r="G59" s="3"/>
      <c r="H59" s="2"/>
      <c r="I59" s="3">
        <v>382.97</v>
      </c>
      <c r="J59" s="3">
        <v>16.71</v>
      </c>
      <c r="K59" s="2">
        <f t="shared" si="21"/>
        <v>6.6834033485625E-2</v>
      </c>
      <c r="L59" s="3"/>
      <c r="M59" s="3"/>
      <c r="N59" s="2"/>
      <c r="O59" s="3">
        <v>373.46</v>
      </c>
      <c r="P59" s="3">
        <v>15.66</v>
      </c>
      <c r="Q59" s="2">
        <f t="shared" si="22"/>
        <v>5.7241054485000005E-2</v>
      </c>
      <c r="R59" s="3"/>
      <c r="S59" s="3"/>
      <c r="T59" s="2"/>
      <c r="U59" s="3"/>
      <c r="V59" s="3"/>
      <c r="W59" s="2"/>
      <c r="X59" s="3"/>
      <c r="Y59" s="3"/>
      <c r="Z59" s="2"/>
      <c r="AA59" s="3"/>
      <c r="AB59" s="3"/>
      <c r="AC59" s="2"/>
      <c r="AD59" s="3"/>
      <c r="AE59" s="3"/>
      <c r="AF59" s="2"/>
      <c r="AG59" s="3"/>
      <c r="AH59" s="3"/>
      <c r="AI59" s="2"/>
      <c r="AJ59" s="3"/>
      <c r="AK59" s="3"/>
      <c r="AL59" s="2"/>
      <c r="AM59" s="3"/>
      <c r="AN59" s="3"/>
      <c r="AO59" s="2"/>
      <c r="AP59" s="3"/>
      <c r="AQ59" s="3"/>
      <c r="AR59" s="2"/>
      <c r="AS59" s="3"/>
      <c r="AT59" s="3"/>
      <c r="AU59" s="2"/>
      <c r="AV59" s="3"/>
      <c r="AW59" s="3"/>
      <c r="AX59" s="2"/>
      <c r="AY59" s="3"/>
      <c r="AZ59" s="3"/>
      <c r="BA59" s="2"/>
      <c r="BB59" s="3"/>
      <c r="BC59" s="3"/>
      <c r="BD59" s="2"/>
      <c r="BE59" s="3"/>
      <c r="BF59" s="3"/>
      <c r="BG59" s="2"/>
      <c r="BH59" s="3"/>
      <c r="BI59" s="3"/>
      <c r="BJ59" s="2"/>
    </row>
    <row r="60" spans="3:62" x14ac:dyDescent="0.2">
      <c r="C60" s="3"/>
      <c r="D60" s="3"/>
      <c r="E60" s="2"/>
      <c r="F60" s="3"/>
      <c r="G60" s="3"/>
      <c r="H60" s="2"/>
      <c r="I60" s="3">
        <v>383.83</v>
      </c>
      <c r="J60" s="3">
        <v>13.46</v>
      </c>
      <c r="K60" s="2">
        <f t="shared" si="21"/>
        <v>4.3461934517500002E-2</v>
      </c>
      <c r="L60" s="3"/>
      <c r="M60" s="3"/>
      <c r="N60" s="2"/>
      <c r="O60" s="3">
        <v>362.39</v>
      </c>
      <c r="P60" s="3">
        <v>14.34</v>
      </c>
      <c r="Q60" s="2">
        <f t="shared" si="22"/>
        <v>4.6575178177500003E-2</v>
      </c>
      <c r="R60" s="3"/>
      <c r="S60" s="3"/>
      <c r="T60" s="2"/>
      <c r="U60" s="3"/>
      <c r="V60" s="3"/>
      <c r="W60" s="2"/>
      <c r="X60" s="3"/>
      <c r="Y60" s="3"/>
      <c r="Z60" s="2"/>
      <c r="AA60" s="3"/>
      <c r="AB60" s="3"/>
      <c r="AC60" s="2"/>
      <c r="AD60" s="3"/>
      <c r="AE60" s="3"/>
      <c r="AF60" s="2"/>
      <c r="AG60" s="3"/>
      <c r="AH60" s="3"/>
      <c r="AI60" s="2"/>
      <c r="AJ60" s="3"/>
      <c r="AK60" s="3"/>
      <c r="AL60" s="2"/>
      <c r="AM60" s="3"/>
      <c r="AN60" s="3"/>
      <c r="AO60" s="2"/>
      <c r="AP60" s="3"/>
      <c r="AQ60" s="3"/>
      <c r="AR60" s="2"/>
      <c r="AS60" s="3"/>
      <c r="AT60" s="3"/>
      <c r="AU60" s="2"/>
      <c r="AV60" s="3"/>
      <c r="AW60" s="3"/>
      <c r="AX60" s="2"/>
      <c r="AY60" s="3"/>
      <c r="AZ60" s="3"/>
      <c r="BA60" s="2"/>
      <c r="BB60" s="3"/>
      <c r="BC60" s="3"/>
      <c r="BD60" s="2"/>
      <c r="BE60" s="3"/>
      <c r="BF60" s="3"/>
      <c r="BG60" s="2"/>
      <c r="BH60" s="3"/>
      <c r="BI60" s="3"/>
      <c r="BJ60" s="2"/>
    </row>
    <row r="61" spans="3:62" x14ac:dyDescent="0.2">
      <c r="C61" s="3"/>
      <c r="D61" s="3"/>
      <c r="E61" s="2"/>
      <c r="F61" s="3"/>
      <c r="G61" s="3"/>
      <c r="H61" s="2"/>
      <c r="I61" s="3">
        <v>404.48</v>
      </c>
      <c r="J61" s="3">
        <v>19.37</v>
      </c>
      <c r="K61" s="2">
        <f t="shared" si="21"/>
        <v>9.4849776319999995E-2</v>
      </c>
      <c r="L61" s="3"/>
      <c r="M61" s="3"/>
      <c r="N61" s="2"/>
      <c r="O61" s="3">
        <v>367.65</v>
      </c>
      <c r="P61" s="3">
        <v>19.690000000000001</v>
      </c>
      <c r="Q61" s="2">
        <f t="shared" si="22"/>
        <v>8.9085294478125021E-2</v>
      </c>
      <c r="R61" s="3"/>
      <c r="S61" s="3"/>
      <c r="T61" s="2"/>
      <c r="U61" s="3"/>
      <c r="V61" s="3"/>
      <c r="W61" s="2"/>
      <c r="X61" s="3"/>
      <c r="Y61" s="3"/>
      <c r="Z61" s="2"/>
      <c r="AA61" s="3"/>
      <c r="AB61" s="3"/>
      <c r="AC61" s="2"/>
      <c r="AD61" s="3"/>
      <c r="AE61" s="3"/>
      <c r="AF61" s="2"/>
      <c r="AG61" s="3"/>
      <c r="AH61" s="3"/>
      <c r="AI61" s="2"/>
      <c r="AJ61" s="3"/>
      <c r="AK61" s="3"/>
      <c r="AL61" s="2"/>
      <c r="AM61" s="3"/>
      <c r="AN61" s="3"/>
      <c r="AO61" s="2"/>
      <c r="AP61" s="3"/>
      <c r="AQ61" s="3"/>
      <c r="AR61" s="2"/>
      <c r="AS61" s="3"/>
      <c r="AT61" s="3"/>
      <c r="AU61" s="2"/>
      <c r="AV61" s="3"/>
      <c r="AW61" s="3"/>
      <c r="AX61" s="2"/>
      <c r="AY61" s="3"/>
      <c r="AZ61" s="3"/>
      <c r="BA61" s="2"/>
      <c r="BB61" s="3"/>
      <c r="BC61" s="3"/>
      <c r="BD61" s="2"/>
      <c r="BE61" s="3"/>
      <c r="BF61" s="3"/>
      <c r="BG61" s="2"/>
      <c r="BH61" s="3"/>
      <c r="BI61" s="3"/>
      <c r="BJ61" s="2"/>
    </row>
    <row r="62" spans="3:62" x14ac:dyDescent="0.2">
      <c r="C62" s="3"/>
      <c r="D62" s="3"/>
      <c r="E62" s="2"/>
      <c r="F62" s="3"/>
      <c r="G62" s="3"/>
      <c r="H62" s="2"/>
      <c r="I62" s="3">
        <v>399.55</v>
      </c>
      <c r="J62" s="3">
        <v>18.63</v>
      </c>
      <c r="K62" s="2">
        <f t="shared" si="21"/>
        <v>8.6671609621874993E-2</v>
      </c>
      <c r="L62" s="3"/>
      <c r="M62" s="3"/>
      <c r="N62" s="2"/>
      <c r="O62" s="3">
        <v>407.54</v>
      </c>
      <c r="P62" s="3">
        <v>16.239999999999998</v>
      </c>
      <c r="Q62" s="2">
        <f t="shared" si="22"/>
        <v>6.7177263439999996E-2</v>
      </c>
      <c r="R62" s="3"/>
      <c r="S62" s="3"/>
      <c r="T62" s="2"/>
      <c r="U62" s="3"/>
      <c r="V62" s="3"/>
      <c r="W62" s="2"/>
      <c r="X62" s="3"/>
      <c r="Y62" s="3"/>
      <c r="Z62" s="2"/>
      <c r="AA62" s="3"/>
      <c r="AB62" s="3"/>
      <c r="AC62" s="2"/>
      <c r="AD62" s="3"/>
      <c r="AE62" s="3"/>
      <c r="AF62" s="2"/>
      <c r="AG62" s="3"/>
      <c r="AH62" s="3"/>
      <c r="AI62" s="2"/>
      <c r="AJ62" s="3"/>
      <c r="AK62" s="3"/>
      <c r="AL62" s="2"/>
      <c r="AM62" s="3"/>
      <c r="AN62" s="3"/>
      <c r="AO62" s="2"/>
      <c r="AP62" s="3"/>
      <c r="AQ62" s="3"/>
      <c r="AR62" s="2"/>
      <c r="AS62" s="3"/>
      <c r="AT62" s="3"/>
      <c r="AU62" s="2"/>
      <c r="AV62" s="3"/>
      <c r="AW62" s="3"/>
      <c r="AX62" s="2"/>
      <c r="AY62" s="3"/>
      <c r="AZ62" s="3"/>
      <c r="BA62" s="2"/>
      <c r="BB62" s="3"/>
      <c r="BC62" s="3"/>
      <c r="BD62" s="2"/>
      <c r="BE62" s="3"/>
      <c r="BF62" s="3"/>
      <c r="BG62" s="2"/>
      <c r="BH62" s="3"/>
      <c r="BI62" s="3"/>
      <c r="BJ62" s="2"/>
    </row>
    <row r="63" spans="3:62" x14ac:dyDescent="0.2">
      <c r="C63" s="3"/>
      <c r="D63" s="3"/>
      <c r="E63" s="2"/>
      <c r="F63" s="3"/>
      <c r="G63" s="3"/>
      <c r="H63" s="2"/>
      <c r="I63" s="3">
        <v>337.82</v>
      </c>
      <c r="J63" s="3">
        <v>15.15</v>
      </c>
      <c r="K63" s="2">
        <f t="shared" si="21"/>
        <v>4.8460806843749996E-2</v>
      </c>
      <c r="L63" s="3"/>
      <c r="M63" s="3"/>
      <c r="N63" s="2"/>
      <c r="O63" s="3">
        <v>379.89</v>
      </c>
      <c r="P63" s="3">
        <v>15.98</v>
      </c>
      <c r="Q63" s="2">
        <f t="shared" si="22"/>
        <v>6.0630538972500009E-2</v>
      </c>
      <c r="R63" s="3"/>
      <c r="S63" s="3"/>
      <c r="T63" s="2"/>
      <c r="U63" s="3"/>
      <c r="V63" s="3"/>
      <c r="W63" s="2"/>
      <c r="X63" s="3"/>
      <c r="Y63" s="3"/>
      <c r="Z63" s="2"/>
      <c r="AA63" s="3"/>
      <c r="AB63" s="3"/>
      <c r="AC63" s="2"/>
      <c r="AD63" s="3"/>
      <c r="AE63" s="3"/>
      <c r="AF63" s="2"/>
      <c r="AG63" s="3"/>
      <c r="AH63" s="3"/>
      <c r="AI63" s="2"/>
      <c r="AJ63" s="3"/>
      <c r="AK63" s="3"/>
      <c r="AL63" s="2"/>
      <c r="AM63" s="3"/>
      <c r="AN63" s="3"/>
      <c r="AO63" s="2"/>
      <c r="AP63" s="3"/>
      <c r="AQ63" s="3"/>
      <c r="AR63" s="2"/>
      <c r="AS63" s="3"/>
      <c r="AT63" s="3"/>
      <c r="AU63" s="2"/>
      <c r="AV63" s="3"/>
      <c r="AW63" s="3"/>
      <c r="AX63" s="2"/>
      <c r="AY63" s="3"/>
      <c r="AZ63" s="3"/>
      <c r="BA63" s="2"/>
      <c r="BB63" s="3"/>
      <c r="BC63" s="3"/>
      <c r="BD63" s="2"/>
      <c r="BE63" s="3"/>
      <c r="BF63" s="3"/>
      <c r="BG63" s="2"/>
      <c r="BH63" s="3"/>
      <c r="BI63" s="3"/>
      <c r="BJ63" s="2"/>
    </row>
    <row r="64" spans="3:62" x14ac:dyDescent="0.2">
      <c r="C64" s="3"/>
      <c r="D64" s="3"/>
      <c r="E64" s="2"/>
      <c r="F64" s="3"/>
      <c r="G64" s="3"/>
      <c r="H64" s="2"/>
      <c r="I64" s="3">
        <v>382.97</v>
      </c>
      <c r="J64" s="3">
        <v>16.71</v>
      </c>
      <c r="K64" s="2">
        <f t="shared" si="21"/>
        <v>6.6834033485625E-2</v>
      </c>
      <c r="L64" s="3"/>
      <c r="M64" s="3"/>
      <c r="N64" s="2"/>
      <c r="O64" s="3">
        <v>328.49</v>
      </c>
      <c r="P64" s="3">
        <v>15.1</v>
      </c>
      <c r="Q64" s="2">
        <f t="shared" si="22"/>
        <v>4.6811878062499993E-2</v>
      </c>
      <c r="R64" s="3"/>
      <c r="S64" s="3"/>
      <c r="T64" s="2"/>
      <c r="U64" s="3"/>
      <c r="V64" s="3"/>
      <c r="W64" s="2"/>
      <c r="X64" s="3"/>
      <c r="Y64" s="3"/>
      <c r="Z64" s="2"/>
      <c r="AA64" s="3"/>
      <c r="AB64" s="3"/>
      <c r="AC64" s="2"/>
      <c r="AD64" s="3"/>
      <c r="AE64" s="3"/>
      <c r="AF64" s="2"/>
      <c r="AG64" s="3"/>
      <c r="AH64" s="3"/>
      <c r="AI64" s="2"/>
      <c r="AJ64" s="3"/>
      <c r="AK64" s="3"/>
      <c r="AL64" s="2"/>
      <c r="AM64" s="3"/>
      <c r="AN64" s="3"/>
      <c r="AO64" s="2"/>
      <c r="AP64" s="3"/>
      <c r="AQ64" s="3"/>
      <c r="AR64" s="2"/>
      <c r="AS64" s="3"/>
      <c r="AT64" s="3"/>
      <c r="AU64" s="2"/>
      <c r="AV64" s="3"/>
      <c r="AW64" s="3"/>
      <c r="AX64" s="2"/>
      <c r="AY64" s="3"/>
      <c r="AZ64" s="3"/>
      <c r="BA64" s="2"/>
      <c r="BB64" s="3"/>
      <c r="BC64" s="3"/>
      <c r="BD64" s="2"/>
      <c r="BE64" s="3"/>
      <c r="BF64" s="3"/>
      <c r="BG64" s="2"/>
      <c r="BH64" s="3"/>
      <c r="BI64" s="3"/>
      <c r="BJ64" s="2"/>
    </row>
    <row r="65" spans="3:62" x14ac:dyDescent="0.2">
      <c r="C65" s="3"/>
      <c r="D65" s="3"/>
      <c r="E65" s="2"/>
      <c r="F65" s="3"/>
      <c r="G65" s="3"/>
      <c r="H65" s="2"/>
      <c r="I65" s="3">
        <v>383.83</v>
      </c>
      <c r="J65" s="3">
        <v>13.46</v>
      </c>
      <c r="K65" s="2">
        <f t="shared" si="21"/>
        <v>4.3461934517500002E-2</v>
      </c>
      <c r="L65" s="3"/>
      <c r="M65" s="3"/>
      <c r="N65" s="2"/>
      <c r="O65" s="3">
        <v>403.8</v>
      </c>
      <c r="P65" s="3">
        <v>16.920000000000002</v>
      </c>
      <c r="Q65" s="2">
        <f t="shared" si="22"/>
        <v>7.2251530200000011E-2</v>
      </c>
      <c r="R65" s="3"/>
      <c r="S65" s="3"/>
      <c r="T65" s="2"/>
      <c r="U65" s="3"/>
      <c r="V65" s="3"/>
      <c r="W65" s="2"/>
      <c r="X65" s="3"/>
      <c r="Y65" s="3"/>
      <c r="Z65" s="2"/>
      <c r="AA65" s="3"/>
      <c r="AB65" s="3"/>
      <c r="AC65" s="2"/>
      <c r="AD65" s="3"/>
      <c r="AE65" s="3"/>
      <c r="AF65" s="2"/>
      <c r="AG65" s="3"/>
      <c r="AH65" s="3"/>
      <c r="AI65" s="2"/>
      <c r="AJ65" s="3"/>
      <c r="AK65" s="3"/>
      <c r="AL65" s="2"/>
      <c r="AM65" s="3"/>
      <c r="AN65" s="3"/>
      <c r="AO65" s="2"/>
      <c r="AP65" s="3"/>
      <c r="AQ65" s="3"/>
      <c r="AR65" s="2"/>
      <c r="AS65" s="3"/>
      <c r="AT65" s="3"/>
      <c r="AU65" s="2"/>
      <c r="AV65" s="3"/>
      <c r="AW65" s="3"/>
      <c r="AX65" s="2"/>
      <c r="AY65" s="3"/>
      <c r="AZ65" s="3"/>
      <c r="BA65" s="2"/>
      <c r="BB65" s="3"/>
      <c r="BC65" s="3"/>
      <c r="BD65" s="2"/>
      <c r="BE65" s="3"/>
      <c r="BF65" s="3"/>
      <c r="BG65" s="2"/>
      <c r="BH65" s="3"/>
      <c r="BI65" s="3"/>
      <c r="BJ65" s="2"/>
    </row>
    <row r="66" spans="3:62" x14ac:dyDescent="0.2">
      <c r="C66" s="3"/>
      <c r="D66" s="3"/>
      <c r="E66" s="2"/>
      <c r="F66" s="3"/>
      <c r="G66" s="3"/>
      <c r="H66" s="2"/>
      <c r="I66" s="3">
        <v>309.5</v>
      </c>
      <c r="J66" s="3">
        <v>13.15</v>
      </c>
      <c r="K66" s="2">
        <f t="shared" si="21"/>
        <v>3.3449696093750002E-2</v>
      </c>
      <c r="L66" s="3"/>
      <c r="M66" s="3"/>
      <c r="N66" s="2"/>
      <c r="O66" s="3">
        <v>388.27</v>
      </c>
      <c r="P66" s="3">
        <v>15</v>
      </c>
      <c r="Q66" s="2">
        <f t="shared" si="22"/>
        <v>5.4600468749999992E-2</v>
      </c>
      <c r="R66" s="3"/>
      <c r="S66" s="3"/>
      <c r="T66" s="2"/>
      <c r="U66" s="3"/>
      <c r="V66" s="3"/>
      <c r="W66" s="2"/>
      <c r="X66" s="3"/>
      <c r="Y66" s="3"/>
      <c r="Z66" s="2"/>
      <c r="AA66" s="3"/>
      <c r="AB66" s="3"/>
      <c r="AC66" s="2"/>
      <c r="AD66" s="3"/>
      <c r="AE66" s="3"/>
      <c r="AF66" s="2"/>
      <c r="AG66" s="3"/>
      <c r="AH66" s="3"/>
      <c r="AI66" s="2"/>
      <c r="AJ66" s="3"/>
      <c r="AK66" s="3"/>
      <c r="AL66" s="2"/>
      <c r="AM66" s="3"/>
      <c r="AN66" s="3"/>
      <c r="AO66" s="2"/>
      <c r="AP66" s="3"/>
      <c r="AQ66" s="3"/>
      <c r="AR66" s="2"/>
      <c r="AS66" s="3"/>
      <c r="AT66" s="3"/>
      <c r="AU66" s="2"/>
      <c r="AV66" s="3"/>
      <c r="AW66" s="3"/>
      <c r="AX66" s="2"/>
      <c r="AY66" s="3"/>
      <c r="AZ66" s="3"/>
      <c r="BA66" s="2"/>
      <c r="BB66" s="3"/>
      <c r="BC66" s="3"/>
      <c r="BD66" s="2"/>
      <c r="BE66" s="3"/>
      <c r="BF66" s="3"/>
      <c r="BG66" s="2"/>
      <c r="BH66" s="3"/>
      <c r="BI66" s="3"/>
      <c r="BJ66" s="2"/>
    </row>
    <row r="67" spans="3:62" x14ac:dyDescent="0.2">
      <c r="C67" s="3"/>
      <c r="D67" s="3"/>
      <c r="E67" s="2"/>
      <c r="F67" s="3"/>
      <c r="G67" s="3"/>
      <c r="H67" s="2"/>
      <c r="I67" s="3">
        <v>366.21</v>
      </c>
      <c r="J67" s="3">
        <v>15.17</v>
      </c>
      <c r="K67" s="2">
        <f t="shared" si="21"/>
        <v>5.2672190293124997E-2</v>
      </c>
      <c r="L67" s="3"/>
      <c r="M67" s="3"/>
      <c r="N67" s="2"/>
      <c r="O67" s="3">
        <v>384.97</v>
      </c>
      <c r="P67" s="3">
        <v>15.01</v>
      </c>
      <c r="Q67" s="2">
        <f t="shared" si="22"/>
        <v>5.4208612185624998E-2</v>
      </c>
      <c r="R67" s="3"/>
      <c r="S67" s="3"/>
      <c r="T67" s="2"/>
      <c r="U67" s="3"/>
      <c r="V67" s="3"/>
      <c r="W67" s="2"/>
      <c r="X67" s="3"/>
      <c r="Y67" s="3"/>
      <c r="Z67" s="2"/>
      <c r="AA67" s="3"/>
      <c r="AB67" s="3"/>
      <c r="AC67" s="2"/>
      <c r="AD67" s="3"/>
      <c r="AE67" s="3"/>
      <c r="AF67" s="2"/>
      <c r="AG67" s="3"/>
      <c r="AH67" s="3"/>
      <c r="AI67" s="2"/>
      <c r="AJ67" s="3"/>
      <c r="AK67" s="3"/>
      <c r="AL67" s="2"/>
      <c r="AM67" s="3"/>
      <c r="AN67" s="3"/>
      <c r="AO67" s="2"/>
      <c r="AP67" s="3"/>
      <c r="AQ67" s="3"/>
      <c r="AR67" s="2"/>
      <c r="AS67" s="3"/>
      <c r="AT67" s="3"/>
      <c r="AU67" s="2"/>
      <c r="AV67" s="3"/>
      <c r="AW67" s="3"/>
      <c r="AX67" s="2"/>
      <c r="AY67" s="3"/>
      <c r="AZ67" s="3"/>
      <c r="BA67" s="2"/>
      <c r="BB67" s="3"/>
      <c r="BC67" s="3"/>
      <c r="BD67" s="2"/>
      <c r="BE67" s="3"/>
      <c r="BF67" s="3"/>
      <c r="BG67" s="2"/>
      <c r="BH67" s="3"/>
      <c r="BI67" s="3"/>
      <c r="BJ67" s="2"/>
    </row>
    <row r="68" spans="3:62" x14ac:dyDescent="0.2">
      <c r="C68" s="3"/>
      <c r="D68" s="3"/>
      <c r="E68" s="2"/>
      <c r="F68" s="3"/>
      <c r="G68" s="3"/>
      <c r="H68" s="2"/>
      <c r="I68" s="3">
        <v>391.71</v>
      </c>
      <c r="J68" s="3">
        <v>14.9</v>
      </c>
      <c r="K68" s="2">
        <f t="shared" si="21"/>
        <v>5.4352210687499999E-2</v>
      </c>
      <c r="L68" s="3"/>
      <c r="M68" s="3"/>
      <c r="N68" s="2"/>
      <c r="O68" s="3">
        <v>334.85</v>
      </c>
      <c r="P68" s="3">
        <v>15.16</v>
      </c>
      <c r="Q68" s="2">
        <f t="shared" si="22"/>
        <v>4.8098188849999994E-2</v>
      </c>
      <c r="R68" s="3"/>
      <c r="S68" s="3"/>
      <c r="T68" s="2"/>
      <c r="U68" s="3"/>
      <c r="V68" s="3"/>
      <c r="W68" s="2"/>
      <c r="X68" s="3"/>
      <c r="Y68" s="3"/>
      <c r="Z68" s="2"/>
      <c r="AA68" s="3"/>
      <c r="AB68" s="3"/>
      <c r="AC68" s="2"/>
      <c r="AD68" s="3"/>
      <c r="AE68" s="3"/>
      <c r="AF68" s="2"/>
      <c r="AG68" s="3"/>
      <c r="AH68" s="3"/>
      <c r="AI68" s="2"/>
      <c r="AJ68" s="3"/>
      <c r="AK68" s="3"/>
      <c r="AL68" s="2"/>
      <c r="AM68" s="3"/>
      <c r="AN68" s="3"/>
      <c r="AO68" s="2"/>
      <c r="AP68" s="3"/>
      <c r="AQ68" s="3"/>
      <c r="AR68" s="2"/>
      <c r="AS68" s="3"/>
      <c r="AT68" s="3"/>
      <c r="AU68" s="2"/>
      <c r="AV68" s="3"/>
      <c r="AW68" s="3"/>
      <c r="AX68" s="2"/>
      <c r="AY68" s="3"/>
      <c r="AZ68" s="3"/>
      <c r="BA68" s="2"/>
      <c r="BB68" s="3"/>
      <c r="BC68" s="3"/>
      <c r="BD68" s="2"/>
      <c r="BE68" s="3"/>
      <c r="BF68" s="3"/>
      <c r="BG68" s="2"/>
      <c r="BH68" s="3"/>
      <c r="BI68" s="3"/>
      <c r="BJ68" s="2"/>
    </row>
    <row r="69" spans="3:62" x14ac:dyDescent="0.2">
      <c r="C69" s="3"/>
      <c r="D69" s="3"/>
      <c r="E69" s="2"/>
      <c r="F69" s="3"/>
      <c r="G69" s="3"/>
      <c r="H69" s="2"/>
      <c r="I69" s="3">
        <v>294.81</v>
      </c>
      <c r="J69" s="3">
        <v>19.78</v>
      </c>
      <c r="K69" s="2">
        <f t="shared" si="21"/>
        <v>7.2089963002500007E-2</v>
      </c>
      <c r="L69" s="3"/>
      <c r="M69" s="3"/>
      <c r="N69" s="2"/>
      <c r="O69" s="3">
        <v>397.5</v>
      </c>
      <c r="P69" s="3">
        <v>14.75</v>
      </c>
      <c r="Q69" s="2">
        <f t="shared" si="22"/>
        <v>5.4050683593750003E-2</v>
      </c>
      <c r="R69" s="3"/>
      <c r="S69" s="3"/>
      <c r="T69" s="2"/>
      <c r="U69" s="3"/>
      <c r="V69" s="3"/>
      <c r="W69" s="2"/>
      <c r="X69" s="3"/>
      <c r="Y69" s="3"/>
      <c r="Z69" s="2"/>
      <c r="AA69" s="3"/>
      <c r="AB69" s="3"/>
      <c r="AC69" s="2"/>
      <c r="AD69" s="3"/>
      <c r="AE69" s="3"/>
      <c r="AF69" s="2"/>
      <c r="AG69" s="3"/>
      <c r="AH69" s="3"/>
      <c r="AI69" s="2"/>
      <c r="AJ69" s="3"/>
      <c r="AK69" s="3"/>
      <c r="AL69" s="2"/>
      <c r="AM69" s="3"/>
      <c r="AN69" s="3"/>
      <c r="AO69" s="2"/>
      <c r="AP69" s="3"/>
      <c r="AQ69" s="3"/>
      <c r="AR69" s="2"/>
      <c r="AS69" s="3"/>
      <c r="AT69" s="3"/>
      <c r="AU69" s="2"/>
      <c r="AV69" s="3"/>
      <c r="AW69" s="3"/>
      <c r="AX69" s="2"/>
      <c r="AY69" s="3"/>
      <c r="AZ69" s="3"/>
      <c r="BA69" s="2"/>
      <c r="BB69" s="3"/>
      <c r="BC69" s="3"/>
      <c r="BD69" s="2"/>
      <c r="BE69" s="3"/>
      <c r="BF69" s="3"/>
      <c r="BG69" s="2"/>
      <c r="BH69" s="3"/>
      <c r="BI69" s="3"/>
      <c r="BJ69" s="2"/>
    </row>
    <row r="70" spans="3:62" x14ac:dyDescent="0.2">
      <c r="C70" s="3"/>
      <c r="D70" s="3"/>
      <c r="E70" s="2"/>
      <c r="F70" s="3"/>
      <c r="G70" s="3"/>
      <c r="H70" s="2"/>
      <c r="I70" s="3"/>
      <c r="J70" s="3"/>
      <c r="K70" s="2"/>
      <c r="L70" s="3"/>
      <c r="M70" s="3"/>
      <c r="N70" s="2"/>
      <c r="O70" s="3">
        <v>372.19</v>
      </c>
      <c r="P70" s="3">
        <v>15.58</v>
      </c>
      <c r="Q70" s="2">
        <f t="shared" ref="Q70" si="23">(O70*P70*P70)/1600000</f>
        <v>5.6465037947499998E-2</v>
      </c>
      <c r="R70" s="3"/>
      <c r="S70" s="3"/>
      <c r="T70" s="2"/>
      <c r="U70" s="3"/>
      <c r="V70" s="3"/>
      <c r="W70" s="2"/>
      <c r="X70" s="3"/>
      <c r="Y70" s="3"/>
      <c r="Z70" s="2"/>
      <c r="AA70" s="3"/>
      <c r="AB70" s="3"/>
      <c r="AC70" s="2"/>
      <c r="AD70" s="3"/>
      <c r="AE70" s="3"/>
      <c r="AF70" s="2"/>
      <c r="AG70" s="3"/>
      <c r="AH70" s="3"/>
      <c r="AI70" s="2"/>
      <c r="AJ70" s="3"/>
      <c r="AK70" s="3"/>
      <c r="AL70" s="2"/>
      <c r="AM70" s="3"/>
      <c r="AN70" s="3"/>
      <c r="AO70" s="2"/>
      <c r="AP70" s="3"/>
      <c r="AQ70" s="3"/>
      <c r="AR70" s="2"/>
      <c r="AS70" s="3"/>
      <c r="AT70" s="3"/>
      <c r="AU70" s="2"/>
      <c r="AV70" s="3"/>
      <c r="AW70" s="3"/>
      <c r="AX70" s="2"/>
      <c r="AY70" s="3"/>
      <c r="AZ70" s="3"/>
      <c r="BA70" s="2"/>
      <c r="BB70" s="3"/>
      <c r="BC70" s="3"/>
      <c r="BD70" s="2"/>
      <c r="BE70" s="3"/>
      <c r="BF70" s="3"/>
      <c r="BG70" s="2"/>
      <c r="BH70" s="3"/>
      <c r="BI70" s="3"/>
      <c r="BJ70" s="2"/>
    </row>
    <row r="71" spans="3:62" x14ac:dyDescent="0.2">
      <c r="C71" s="3"/>
      <c r="D71" s="3"/>
      <c r="E71" s="2"/>
      <c r="F71" s="3"/>
      <c r="G71" s="3"/>
      <c r="H71" s="2"/>
      <c r="I71" s="3"/>
      <c r="J71" s="3"/>
      <c r="K71" s="2"/>
      <c r="L71" s="3"/>
      <c r="M71" s="3"/>
      <c r="N71" s="2"/>
      <c r="O71" s="3"/>
      <c r="P71" s="3"/>
      <c r="Q71" s="2"/>
      <c r="R71" s="3"/>
      <c r="S71" s="3"/>
      <c r="T71" s="2"/>
      <c r="U71" s="3"/>
      <c r="V71" s="3"/>
      <c r="W71" s="2"/>
      <c r="X71" s="3"/>
      <c r="Y71" s="3"/>
      <c r="Z71" s="2"/>
      <c r="AA71" s="3"/>
      <c r="AB71" s="3"/>
      <c r="AC71" s="2"/>
      <c r="AD71" s="3"/>
      <c r="AE71" s="3"/>
      <c r="AF71" s="2"/>
      <c r="AG71" s="3"/>
      <c r="AH71" s="3"/>
      <c r="AI71" s="2"/>
      <c r="AJ71" s="3"/>
      <c r="AK71" s="3"/>
      <c r="AL71" s="2"/>
      <c r="AM71" s="3"/>
      <c r="AN71" s="3"/>
      <c r="AO71" s="2"/>
      <c r="AP71" s="3"/>
      <c r="AQ71" s="3"/>
      <c r="AR71" s="2"/>
      <c r="AS71" s="3"/>
      <c r="AT71" s="3"/>
      <c r="AU71" s="2"/>
      <c r="AV71" s="3"/>
      <c r="AW71" s="3"/>
      <c r="AX71" s="2"/>
      <c r="AY71" s="3"/>
      <c r="AZ71" s="3"/>
      <c r="BA71" s="2"/>
      <c r="BB71" s="3"/>
      <c r="BC71" s="3"/>
      <c r="BD71" s="2"/>
      <c r="BE71" s="3"/>
      <c r="BF71" s="3"/>
      <c r="BG71" s="2"/>
      <c r="BH71" s="3"/>
      <c r="BI71" s="3"/>
      <c r="BJ71" s="2"/>
    </row>
    <row r="72" spans="3:62" x14ac:dyDescent="0.2">
      <c r="C72" s="3"/>
      <c r="D72" s="3"/>
      <c r="E72" s="2"/>
      <c r="F72" s="3"/>
      <c r="G72" s="3"/>
      <c r="H72" s="2"/>
      <c r="I72" s="3"/>
      <c r="J72" s="3"/>
      <c r="K72" s="2"/>
      <c r="L72" s="3"/>
      <c r="M72" s="3"/>
      <c r="N72" s="2"/>
      <c r="O72" s="3"/>
      <c r="P72" s="3"/>
      <c r="Q72" s="2"/>
      <c r="R72" s="3"/>
      <c r="S72" s="3"/>
      <c r="T72" s="2"/>
      <c r="U72" s="3"/>
      <c r="V72" s="3"/>
      <c r="W72" s="2"/>
      <c r="X72" s="3"/>
      <c r="Y72" s="3"/>
      <c r="Z72" s="2"/>
      <c r="AA72" s="3"/>
      <c r="AB72" s="3"/>
      <c r="AC72" s="2"/>
      <c r="AD72" s="3"/>
      <c r="AE72" s="3"/>
      <c r="AF72" s="2"/>
      <c r="AG72" s="3"/>
      <c r="AH72" s="3"/>
      <c r="AI72" s="2"/>
      <c r="AJ72" s="3"/>
      <c r="AK72" s="3"/>
      <c r="AL72" s="2"/>
      <c r="AM72" s="3"/>
      <c r="AN72" s="3"/>
      <c r="AO72" s="2"/>
      <c r="AP72" s="3"/>
      <c r="AQ72" s="3"/>
      <c r="AR72" s="2"/>
      <c r="AS72" s="3"/>
      <c r="AT72" s="3"/>
      <c r="AU72" s="2"/>
      <c r="AV72" s="3"/>
      <c r="AW72" s="3"/>
      <c r="AX72" s="2"/>
      <c r="AY72" s="3"/>
      <c r="AZ72" s="3"/>
      <c r="BA72" s="2"/>
      <c r="BB72" s="3"/>
      <c r="BC72" s="3"/>
      <c r="BD72" s="2"/>
      <c r="BE72" s="3"/>
      <c r="BF72" s="3"/>
      <c r="BG72" s="2"/>
      <c r="BH72" s="3"/>
      <c r="BI72" s="3"/>
      <c r="BJ72" s="2"/>
    </row>
    <row r="73" spans="3:62" x14ac:dyDescent="0.2">
      <c r="C73" s="3"/>
      <c r="D73" s="3"/>
      <c r="E73" s="2"/>
      <c r="F73" s="3"/>
      <c r="G73" s="3"/>
      <c r="H73" s="2"/>
      <c r="I73" s="3"/>
      <c r="J73" s="3"/>
      <c r="K73" s="2"/>
      <c r="L73" s="3"/>
      <c r="M73" s="3"/>
      <c r="N73" s="2"/>
      <c r="O73" s="3"/>
      <c r="P73" s="3"/>
      <c r="Q73" s="2"/>
      <c r="R73" s="3"/>
      <c r="S73" s="3"/>
      <c r="T73" s="2"/>
      <c r="U73" s="3"/>
      <c r="V73" s="3"/>
      <c r="W73" s="2"/>
      <c r="X73" s="3"/>
      <c r="Y73" s="3"/>
      <c r="Z73" s="2"/>
      <c r="AA73" s="3"/>
      <c r="AB73" s="3"/>
      <c r="AC73" s="2"/>
      <c r="AD73" s="3"/>
      <c r="AE73" s="3"/>
      <c r="AF73" s="2"/>
      <c r="AG73" s="3"/>
      <c r="AH73" s="3"/>
      <c r="AI73" s="2"/>
      <c r="AJ73" s="3"/>
      <c r="AK73" s="3"/>
      <c r="AL73" s="2"/>
      <c r="AM73" s="3"/>
      <c r="AN73" s="3"/>
      <c r="AO73" s="2"/>
      <c r="AP73" s="3"/>
      <c r="AQ73" s="3"/>
      <c r="AR73" s="2"/>
      <c r="AS73" s="3"/>
      <c r="AT73" s="3"/>
      <c r="AU73" s="2"/>
      <c r="AV73" s="3"/>
      <c r="AW73" s="3"/>
      <c r="AX73" s="2"/>
      <c r="AY73" s="3"/>
      <c r="AZ73" s="3"/>
      <c r="BA73" s="2"/>
      <c r="BB73" s="3"/>
      <c r="BC73" s="3"/>
      <c r="BD73" s="2"/>
      <c r="BE73" s="3"/>
      <c r="BF73" s="3"/>
      <c r="BG73" s="2"/>
      <c r="BH73" s="3"/>
      <c r="BI73" s="3"/>
      <c r="BJ73" s="2"/>
    </row>
    <row r="74" spans="3:62" x14ac:dyDescent="0.2">
      <c r="C74" s="3"/>
      <c r="D74" s="3"/>
      <c r="E74" s="2"/>
      <c r="F74" s="3"/>
      <c r="G74" s="3"/>
      <c r="H74" s="2"/>
      <c r="I74" s="3"/>
      <c r="J74" s="3"/>
      <c r="K74" s="2"/>
      <c r="L74" s="3"/>
      <c r="M74" s="3"/>
      <c r="N74" s="2"/>
      <c r="O74" s="3"/>
      <c r="P74" s="3"/>
      <c r="Q74" s="2"/>
      <c r="R74" s="3"/>
      <c r="S74" s="3"/>
      <c r="T74" s="2"/>
      <c r="U74" s="3"/>
      <c r="V74" s="3"/>
      <c r="W74" s="2"/>
      <c r="X74" s="3"/>
      <c r="Y74" s="3"/>
      <c r="Z74" s="2"/>
      <c r="AA74" s="3"/>
      <c r="AB74" s="3"/>
      <c r="AC74" s="2"/>
      <c r="AD74" s="3"/>
      <c r="AE74" s="3"/>
      <c r="AF74" s="2"/>
      <c r="AG74" s="3"/>
      <c r="AH74" s="3"/>
      <c r="AI74" s="2"/>
      <c r="AJ74" s="3"/>
      <c r="AK74" s="3"/>
      <c r="AL74" s="2"/>
      <c r="AM74" s="3"/>
      <c r="AN74" s="3"/>
      <c r="AO74" s="2"/>
      <c r="AP74" s="3"/>
      <c r="AQ74" s="3"/>
      <c r="AR74" s="2"/>
      <c r="AS74" s="3"/>
      <c r="AT74" s="3"/>
      <c r="AU74" s="2"/>
      <c r="AV74" s="3"/>
      <c r="AW74" s="3"/>
      <c r="AX74" s="2"/>
      <c r="AY74" s="3"/>
      <c r="AZ74" s="3"/>
      <c r="BA74" s="2"/>
      <c r="BB74" s="3"/>
      <c r="BC74" s="3"/>
      <c r="BD74" s="2"/>
      <c r="BE74" s="3"/>
      <c r="BF74" s="3"/>
      <c r="BG74" s="2"/>
      <c r="BH74" s="3"/>
      <c r="BI74" s="3"/>
      <c r="BJ74" s="2"/>
    </row>
    <row r="75" spans="3:62" x14ac:dyDescent="0.2">
      <c r="C75" s="3"/>
      <c r="D75" s="3"/>
      <c r="E75" s="2"/>
      <c r="F75" s="3"/>
      <c r="G75" s="3"/>
      <c r="H75" s="2"/>
      <c r="I75" s="3"/>
      <c r="J75" s="3"/>
      <c r="K75" s="2"/>
      <c r="L75" s="3"/>
      <c r="M75" s="3"/>
      <c r="N75" s="2"/>
      <c r="O75" s="3"/>
      <c r="P75" s="3"/>
      <c r="Q75" s="2"/>
      <c r="T75" s="2"/>
      <c r="U75" s="3"/>
      <c r="V75" s="3"/>
      <c r="W75" s="2"/>
      <c r="X75" s="3"/>
      <c r="Y75" s="3"/>
      <c r="Z75" s="2"/>
      <c r="AA75" s="3"/>
      <c r="AB75" s="3"/>
      <c r="AC75" s="2"/>
      <c r="AD75" s="3"/>
      <c r="AE75" s="3"/>
      <c r="AF75" s="2"/>
      <c r="AG75" s="3"/>
      <c r="AH75" s="3"/>
      <c r="AI75" s="2"/>
      <c r="AJ75" s="3"/>
      <c r="AK75" s="3"/>
      <c r="AL75" s="2"/>
      <c r="AM75" s="3"/>
      <c r="AN75" s="3"/>
      <c r="AO75" s="2"/>
      <c r="AP75" s="3"/>
      <c r="AQ75" s="3"/>
      <c r="AR75" s="2"/>
      <c r="AS75" s="3"/>
      <c r="AT75" s="3"/>
      <c r="AU75" s="2"/>
      <c r="AV75" s="3"/>
      <c r="AW75" s="3"/>
      <c r="AX75" s="2"/>
      <c r="AY75" s="3"/>
      <c r="AZ75" s="3"/>
      <c r="BA75" s="2"/>
      <c r="BB75" s="3"/>
      <c r="BC75" s="3"/>
      <c r="BD75" s="2"/>
      <c r="BE75" s="3"/>
      <c r="BF75" s="3"/>
      <c r="BG75" s="2"/>
      <c r="BH75" s="3"/>
      <c r="BI75" s="3"/>
      <c r="BJ75" s="2"/>
    </row>
    <row r="76" spans="3:62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</row>
    <row r="77" spans="3:62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</row>
    <row r="78" spans="3:62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</row>
    <row r="79" spans="3:62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</row>
    <row r="80" spans="3:62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</row>
    <row r="81" spans="5:62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</row>
    <row r="82" spans="5:62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</row>
    <row r="83" spans="5:62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</row>
    <row r="84" spans="5:62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</row>
    <row r="85" spans="5:62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</row>
    <row r="86" spans="5:62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</row>
    <row r="87" spans="5:62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</row>
    <row r="88" spans="5:62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</row>
    <row r="89" spans="5:62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</row>
    <row r="90" spans="5:62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</row>
    <row r="91" spans="5:62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</row>
    <row r="92" spans="5:62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</row>
    <row r="93" spans="5:62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</row>
    <row r="94" spans="5:62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</row>
    <row r="95" spans="5:62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</row>
    <row r="96" spans="5:62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</row>
    <row r="97" spans="5:62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</row>
    <row r="98" spans="5:62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</row>
    <row r="99" spans="5:62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</row>
    <row r="100" spans="5:62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</row>
    <row r="101" spans="5:62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</row>
    <row r="102" spans="5:62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</row>
    <row r="103" spans="5:62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</row>
    <row r="104" spans="5:62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</row>
    <row r="105" spans="5:62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</row>
    <row r="106" spans="5:62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</row>
    <row r="107" spans="5:62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</row>
    <row r="108" spans="5:62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</row>
    <row r="109" spans="5:62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</row>
    <row r="110" spans="5:62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</row>
    <row r="111" spans="5:62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</row>
    <row r="112" spans="5:62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</row>
    <row r="113" spans="5:62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</row>
    <row r="114" spans="5:62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</row>
    <row r="115" spans="5:62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</row>
    <row r="116" spans="5:62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</row>
    <row r="117" spans="5:62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</row>
    <row r="118" spans="5:62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</row>
    <row r="119" spans="5:62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</row>
    <row r="120" spans="5:62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</row>
    <row r="121" spans="5:62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</row>
    <row r="122" spans="5:62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</row>
    <row r="123" spans="5:62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</row>
    <row r="124" spans="5:62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</row>
    <row r="125" spans="5:62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</row>
    <row r="126" spans="5:62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</row>
    <row r="127" spans="5:62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</row>
    <row r="128" spans="5:62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</row>
    <row r="129" spans="5:62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</row>
    <row r="130" spans="5:62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</row>
    <row r="131" spans="5:62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</row>
    <row r="132" spans="5:62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</row>
    <row r="133" spans="5:62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</row>
    <row r="134" spans="5:62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</row>
    <row r="135" spans="5:62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</row>
    <row r="136" spans="5:62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</row>
    <row r="137" spans="5:62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</row>
    <row r="138" spans="5:62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</row>
    <row r="139" spans="5:62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</row>
    <row r="140" spans="5:62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</row>
    <row r="141" spans="5:62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</row>
    <row r="142" spans="5:62" x14ac:dyDescent="0.2">
      <c r="E142" s="2"/>
      <c r="H142" s="2"/>
      <c r="K142" s="2"/>
      <c r="N142" s="2"/>
      <c r="Q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</row>
  </sheetData>
  <mergeCells count="81">
    <mergeCell ref="AV4:AW4"/>
    <mergeCell ref="AY4:AZ4"/>
    <mergeCell ref="BB4:BC4"/>
    <mergeCell ref="BE2:BF2"/>
    <mergeCell ref="BH2:BI2"/>
    <mergeCell ref="BE3:BF3"/>
    <mergeCell ref="BH3:BI3"/>
    <mergeCell ref="BE4:BF4"/>
    <mergeCell ref="BH4:BI4"/>
    <mergeCell ref="BB3:BC3"/>
    <mergeCell ref="AV3:AW3"/>
    <mergeCell ref="AY3:AZ3"/>
    <mergeCell ref="BB2:BC2"/>
    <mergeCell ref="C4:D4"/>
    <mergeCell ref="F4:G4"/>
    <mergeCell ref="I4:J4"/>
    <mergeCell ref="L4:M4"/>
    <mergeCell ref="O4:P4"/>
    <mergeCell ref="AM4:AN4"/>
    <mergeCell ref="AP4:AQ4"/>
    <mergeCell ref="AS4:AT4"/>
    <mergeCell ref="AM3:AN3"/>
    <mergeCell ref="AP3:AQ3"/>
    <mergeCell ref="AS3:AT3"/>
    <mergeCell ref="R2:S2"/>
    <mergeCell ref="U2:V2"/>
    <mergeCell ref="AD4:AE4"/>
    <mergeCell ref="AG4:AH4"/>
    <mergeCell ref="AJ4:AK4"/>
    <mergeCell ref="R4:S4"/>
    <mergeCell ref="U4:V4"/>
    <mergeCell ref="X4:Y4"/>
    <mergeCell ref="AA4:AB4"/>
    <mergeCell ref="AD2:AE2"/>
    <mergeCell ref="AG2:AH2"/>
    <mergeCell ref="AJ2:AK2"/>
    <mergeCell ref="R3:S3"/>
    <mergeCell ref="U3:V3"/>
    <mergeCell ref="X3:Y3"/>
    <mergeCell ref="AA3:AB3"/>
    <mergeCell ref="AM2:AN2"/>
    <mergeCell ref="AP2:AQ2"/>
    <mergeCell ref="AS2:AT2"/>
    <mergeCell ref="AV2:AW2"/>
    <mergeCell ref="AY2:AZ2"/>
    <mergeCell ref="C3:D3"/>
    <mergeCell ref="F3:G3"/>
    <mergeCell ref="I3:J3"/>
    <mergeCell ref="L3:M3"/>
    <mergeCell ref="O3:P3"/>
    <mergeCell ref="AD3:AE3"/>
    <mergeCell ref="AG3:AH3"/>
    <mergeCell ref="AJ3:AK3"/>
    <mergeCell ref="X2:Y2"/>
    <mergeCell ref="AA2:AB2"/>
    <mergeCell ref="O2:P2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BE1:BG1"/>
    <mergeCell ref="BH1:BJ1"/>
    <mergeCell ref="AG1:AI1"/>
    <mergeCell ref="AJ1:AL1"/>
    <mergeCell ref="AM1:AO1"/>
    <mergeCell ref="AP1:AR1"/>
    <mergeCell ref="AS1:AU1"/>
    <mergeCell ref="AD1:AF1"/>
    <mergeCell ref="O1:Q1"/>
    <mergeCell ref="AV1:AX1"/>
    <mergeCell ref="AY1:BA1"/>
    <mergeCell ref="BB1:BD1"/>
    <mergeCell ref="R1:T1"/>
    <mergeCell ref="U1:W1"/>
    <mergeCell ref="X1:Z1"/>
    <mergeCell ref="AA1:AC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097E-E84B-40FF-876C-3A98F8BC24B8}">
  <dimension ref="A1:BA151"/>
  <sheetViews>
    <sheetView topLeftCell="AP1" zoomScale="160" zoomScaleNormal="160" workbookViewId="0">
      <selection activeCell="AZ10" sqref="AZ10"/>
    </sheetView>
  </sheetViews>
  <sheetFormatPr defaultColWidth="9" defaultRowHeight="14.25" x14ac:dyDescent="0.2"/>
  <cols>
    <col min="1" max="1" width="14.875" style="10" customWidth="1"/>
    <col min="2" max="2" width="9" style="10"/>
    <col min="3" max="3" width="9.5" style="10" customWidth="1"/>
    <col min="4" max="4" width="9" style="10" customWidth="1"/>
    <col min="5" max="5" width="9" style="12"/>
    <col min="6" max="7" width="9" style="10" customWidth="1"/>
    <col min="8" max="8" width="9" style="12"/>
    <col min="9" max="9" width="9.5" style="10" customWidth="1"/>
    <col min="10" max="10" width="9" style="10" customWidth="1"/>
    <col min="11" max="11" width="9" style="12"/>
    <col min="12" max="13" width="9" style="10" customWidth="1"/>
    <col min="14" max="14" width="9" style="12"/>
    <col min="15" max="16" width="9" style="10" customWidth="1"/>
    <col min="17" max="17" width="9" style="12"/>
    <col min="18" max="19" width="9" style="10" customWidth="1"/>
    <col min="20" max="20" width="9" style="12"/>
    <col min="21" max="22" width="9" style="10" customWidth="1"/>
    <col min="23" max="23" width="9" style="12"/>
    <col min="24" max="24" width="9.5" style="10" customWidth="1"/>
    <col min="25" max="25" width="9" style="10" customWidth="1"/>
    <col min="26" max="26" width="9" style="12"/>
    <col min="27" max="28" width="9" style="10" customWidth="1"/>
    <col min="29" max="29" width="9" style="12"/>
    <col min="30" max="31" width="9" style="10" customWidth="1"/>
    <col min="32" max="32" width="9" style="12"/>
    <col min="33" max="34" width="9" style="10" customWidth="1"/>
    <col min="35" max="35" width="9" style="12"/>
    <col min="36" max="37" width="9" style="10" customWidth="1"/>
    <col min="38" max="38" width="9" style="12"/>
    <col min="39" max="39" width="9.5" style="10" customWidth="1"/>
    <col min="40" max="40" width="9" style="10" customWidth="1"/>
    <col min="41" max="41" width="9" style="12"/>
    <col min="42" max="43" width="9" style="10" customWidth="1"/>
    <col min="44" max="44" width="9" style="12"/>
    <col min="45" max="46" width="9" style="10" customWidth="1"/>
    <col min="47" max="47" width="9" style="12"/>
    <col min="48" max="49" width="9" style="10" customWidth="1"/>
    <col min="50" max="50" width="9" style="12"/>
    <col min="51" max="52" width="9" style="10" customWidth="1"/>
    <col min="53" max="53" width="9" style="12"/>
    <col min="54" max="16384" width="9" style="10"/>
  </cols>
  <sheetData>
    <row r="1" spans="1:53" s="16" customFormat="1" x14ac:dyDescent="0.2">
      <c r="A1" s="22" t="s">
        <v>57</v>
      </c>
      <c r="B1" s="22"/>
      <c r="C1" s="21" t="s">
        <v>20</v>
      </c>
      <c r="D1" s="21"/>
      <c r="E1" s="21"/>
      <c r="F1" s="21" t="s">
        <v>12</v>
      </c>
      <c r="G1" s="21"/>
      <c r="H1" s="21"/>
      <c r="I1" s="21" t="s">
        <v>9</v>
      </c>
      <c r="J1" s="21"/>
      <c r="K1" s="21"/>
      <c r="L1" s="21" t="s">
        <v>16</v>
      </c>
      <c r="M1" s="21"/>
      <c r="N1" s="21"/>
      <c r="O1" s="21" t="s">
        <v>21</v>
      </c>
      <c r="P1" s="21"/>
      <c r="Q1" s="21"/>
      <c r="R1" s="21" t="s">
        <v>23</v>
      </c>
      <c r="S1" s="21"/>
      <c r="T1" s="21"/>
      <c r="U1" s="21" t="s">
        <v>10</v>
      </c>
      <c r="V1" s="21"/>
      <c r="W1" s="21"/>
      <c r="X1" s="21" t="s">
        <v>13</v>
      </c>
      <c r="Y1" s="21"/>
      <c r="Z1" s="21"/>
      <c r="AA1" s="21" t="s">
        <v>34</v>
      </c>
      <c r="AB1" s="21"/>
      <c r="AC1" s="21"/>
      <c r="AD1" s="21" t="s">
        <v>25</v>
      </c>
      <c r="AE1" s="21"/>
      <c r="AF1" s="21"/>
      <c r="AG1" s="21" t="s">
        <v>29</v>
      </c>
      <c r="AH1" s="21"/>
      <c r="AI1" s="21"/>
      <c r="AJ1" s="21" t="s">
        <v>8</v>
      </c>
      <c r="AK1" s="21"/>
      <c r="AL1" s="21"/>
      <c r="AM1" s="21" t="s">
        <v>40</v>
      </c>
      <c r="AN1" s="21"/>
      <c r="AO1" s="21"/>
      <c r="AP1" s="21" t="s">
        <v>27</v>
      </c>
      <c r="AQ1" s="21"/>
      <c r="AR1" s="21"/>
      <c r="AS1" s="21" t="s">
        <v>17</v>
      </c>
      <c r="AT1" s="21"/>
      <c r="AU1" s="21"/>
      <c r="AV1" s="21" t="s">
        <v>46</v>
      </c>
      <c r="AW1" s="21"/>
      <c r="AX1" s="21"/>
      <c r="AY1" s="21" t="s">
        <v>44</v>
      </c>
      <c r="AZ1" s="21"/>
      <c r="BA1" s="21"/>
    </row>
    <row r="2" spans="1:53" x14ac:dyDescent="0.2">
      <c r="A2" s="10" t="s">
        <v>5</v>
      </c>
      <c r="B2" s="10">
        <f>SUM(C2:WK2)</f>
        <v>181</v>
      </c>
      <c r="C2" s="23" t="s">
        <v>5</v>
      </c>
      <c r="D2" s="23"/>
      <c r="E2" s="15">
        <f>COUNT(E6:E300)</f>
        <v>47</v>
      </c>
      <c r="F2" s="23" t="s">
        <v>5</v>
      </c>
      <c r="G2" s="23"/>
      <c r="H2" s="15">
        <f>COUNT(H6:H300)</f>
        <v>29</v>
      </c>
      <c r="I2" s="23" t="s">
        <v>5</v>
      </c>
      <c r="J2" s="23"/>
      <c r="K2" s="15">
        <f>COUNT(K6:K300)</f>
        <v>28</v>
      </c>
      <c r="L2" s="23" t="s">
        <v>5</v>
      </c>
      <c r="M2" s="23"/>
      <c r="N2" s="15">
        <f>COUNT(N6:N300)</f>
        <v>3</v>
      </c>
      <c r="O2" s="23" t="s">
        <v>5</v>
      </c>
      <c r="P2" s="23"/>
      <c r="Q2" s="15">
        <f>COUNT(Q6:Q300)</f>
        <v>23</v>
      </c>
      <c r="R2" s="23" t="s">
        <v>5</v>
      </c>
      <c r="S2" s="23"/>
      <c r="T2" s="15">
        <f>COUNT(T6:T300)</f>
        <v>4</v>
      </c>
      <c r="U2" s="23" t="s">
        <v>5</v>
      </c>
      <c r="V2" s="23"/>
      <c r="W2" s="15">
        <f>COUNT(W6:W300)</f>
        <v>3</v>
      </c>
      <c r="X2" s="23" t="s">
        <v>5</v>
      </c>
      <c r="Y2" s="23"/>
      <c r="Z2" s="15">
        <f>COUNT(Z6:Z300)</f>
        <v>5</v>
      </c>
      <c r="AA2" s="23" t="s">
        <v>5</v>
      </c>
      <c r="AB2" s="23"/>
      <c r="AC2" s="15">
        <f>COUNT(AC6:AC300)</f>
        <v>11</v>
      </c>
      <c r="AD2" s="23" t="s">
        <v>5</v>
      </c>
      <c r="AE2" s="23"/>
      <c r="AF2" s="15">
        <f>COUNT(AF6:AF300)</f>
        <v>10</v>
      </c>
      <c r="AG2" s="23" t="s">
        <v>5</v>
      </c>
      <c r="AH2" s="23"/>
      <c r="AI2" s="15">
        <f>COUNT(AI6:AI300)</f>
        <v>5</v>
      </c>
      <c r="AJ2" s="23" t="s">
        <v>5</v>
      </c>
      <c r="AK2" s="23"/>
      <c r="AL2" s="15">
        <f>COUNT(AL6:AL300)</f>
        <v>3</v>
      </c>
      <c r="AM2" s="23" t="s">
        <v>5</v>
      </c>
      <c r="AN2" s="23"/>
      <c r="AO2" s="15">
        <f>COUNT(AO6:AO300)</f>
        <v>1</v>
      </c>
      <c r="AP2" s="23" t="s">
        <v>5</v>
      </c>
      <c r="AQ2" s="23"/>
      <c r="AR2" s="15">
        <f>COUNT(AR6:AR300)</f>
        <v>1</v>
      </c>
      <c r="AS2" s="23" t="s">
        <v>5</v>
      </c>
      <c r="AT2" s="23"/>
      <c r="AU2" s="15">
        <f>COUNT(AU6:AU300)</f>
        <v>3</v>
      </c>
      <c r="AV2" s="23" t="s">
        <v>5</v>
      </c>
      <c r="AW2" s="23"/>
      <c r="AX2" s="15">
        <f>COUNT(AX6:AX300)</f>
        <v>4</v>
      </c>
      <c r="AY2" s="23" t="s">
        <v>5</v>
      </c>
      <c r="AZ2" s="23"/>
      <c r="BA2" s="15">
        <f>COUNT(BA6:BA300)</f>
        <v>1</v>
      </c>
    </row>
    <row r="3" spans="1:53" x14ac:dyDescent="0.2">
      <c r="A3" s="10" t="s">
        <v>4</v>
      </c>
      <c r="B3" s="10">
        <f>SUM(C3:WK3)</f>
        <v>52.837274297105068</v>
      </c>
      <c r="C3" s="23" t="s">
        <v>4</v>
      </c>
      <c r="D3" s="23"/>
      <c r="E3" s="15">
        <f>SUM(E6:E300)</f>
        <v>18.796722379727875</v>
      </c>
      <c r="F3" s="23" t="s">
        <v>4</v>
      </c>
      <c r="G3" s="23"/>
      <c r="H3" s="15">
        <f>SUM(H6:H300)</f>
        <v>1.8918447127053124</v>
      </c>
      <c r="I3" s="23" t="s">
        <v>4</v>
      </c>
      <c r="J3" s="23"/>
      <c r="K3" s="15">
        <f>SUM(K6:K300)</f>
        <v>13.693013448478125</v>
      </c>
      <c r="L3" s="23" t="s">
        <v>4</v>
      </c>
      <c r="M3" s="23"/>
      <c r="N3" s="15">
        <f>SUM(N6:N300)</f>
        <v>0.60425215148062494</v>
      </c>
      <c r="O3" s="23" t="s">
        <v>4</v>
      </c>
      <c r="P3" s="23"/>
      <c r="Q3" s="15">
        <f>SUM(Q6:Q300)</f>
        <v>1.3194609570043749</v>
      </c>
      <c r="R3" s="23" t="s">
        <v>4</v>
      </c>
      <c r="S3" s="23"/>
      <c r="T3" s="15">
        <f>SUM(T6:T300)</f>
        <v>0.12557341230124999</v>
      </c>
      <c r="U3" s="23" t="s">
        <v>4</v>
      </c>
      <c r="V3" s="23"/>
      <c r="W3" s="15">
        <f>SUM(W6:W300)</f>
        <v>0.21104546921874998</v>
      </c>
      <c r="X3" s="23" t="s">
        <v>4</v>
      </c>
      <c r="Y3" s="23"/>
      <c r="Z3" s="15">
        <f>SUM(Z6:Z300)</f>
        <v>11.682186631593749</v>
      </c>
      <c r="AA3" s="23" t="s">
        <v>4</v>
      </c>
      <c r="AB3" s="23"/>
      <c r="AC3" s="15">
        <f>SUM(AC6:AC300)</f>
        <v>1.2814070117206251</v>
      </c>
      <c r="AD3" s="23" t="s">
        <v>4</v>
      </c>
      <c r="AE3" s="23"/>
      <c r="AF3" s="15">
        <f>SUM(AF6:AF300)</f>
        <v>0.61543243727812513</v>
      </c>
      <c r="AG3" s="23" t="s">
        <v>4</v>
      </c>
      <c r="AH3" s="23"/>
      <c r="AI3" s="15">
        <f>SUM(AI6:AI300)</f>
        <v>0.45231255201437504</v>
      </c>
      <c r="AJ3" s="23" t="s">
        <v>4</v>
      </c>
      <c r="AK3" s="23"/>
      <c r="AL3" s="15">
        <f>SUM(AL6:AL300)</f>
        <v>8.5279628894375001E-2</v>
      </c>
      <c r="AM3" s="23" t="s">
        <v>4</v>
      </c>
      <c r="AN3" s="23"/>
      <c r="AO3" s="15">
        <f>SUM(AO6:AO300)</f>
        <v>1.1659879439999998</v>
      </c>
      <c r="AP3" s="23" t="s">
        <v>4</v>
      </c>
      <c r="AQ3" s="23"/>
      <c r="AR3" s="15">
        <f>SUM(AR6:AR300)</f>
        <v>0.35627719650749995</v>
      </c>
      <c r="AS3" s="23" t="s">
        <v>4</v>
      </c>
      <c r="AT3" s="23"/>
      <c r="AU3" s="15">
        <f>SUM(AU6:AU300)</f>
        <v>0.18726171600124999</v>
      </c>
      <c r="AV3" s="23" t="s">
        <v>4</v>
      </c>
      <c r="AW3" s="23"/>
      <c r="AX3" s="15">
        <f>SUM(AX6:AX300)</f>
        <v>0.30337839428875002</v>
      </c>
      <c r="AY3" s="23" t="s">
        <v>4</v>
      </c>
      <c r="AZ3" s="23"/>
      <c r="BA3" s="15">
        <f>SUM(BA6:BA300)</f>
        <v>6.5838253890000004E-2</v>
      </c>
    </row>
    <row r="4" spans="1:53" x14ac:dyDescent="0.2">
      <c r="C4" s="23" t="s">
        <v>3</v>
      </c>
      <c r="D4" s="23"/>
      <c r="E4" s="15">
        <f>AVERAGE(E6:E300)</f>
        <v>0.39993026339846544</v>
      </c>
      <c r="F4" s="23" t="s">
        <v>3</v>
      </c>
      <c r="G4" s="23"/>
      <c r="H4" s="15">
        <f>AVERAGE(H6:H300)</f>
        <v>6.5236024576045257E-2</v>
      </c>
      <c r="I4" s="23" t="s">
        <v>3</v>
      </c>
      <c r="J4" s="23"/>
      <c r="K4" s="15">
        <f>AVERAGE(K6:K300)</f>
        <v>0.48903619458850445</v>
      </c>
      <c r="L4" s="23" t="s">
        <v>3</v>
      </c>
      <c r="M4" s="23"/>
      <c r="N4" s="15">
        <f>AVERAGE(N6:N300)</f>
        <v>0.20141738382687499</v>
      </c>
      <c r="O4" s="23" t="s">
        <v>3</v>
      </c>
      <c r="P4" s="23"/>
      <c r="Q4" s="15">
        <f>AVERAGE(Q6:Q300)</f>
        <v>5.7367867695842387E-2</v>
      </c>
      <c r="R4" s="23" t="s">
        <v>3</v>
      </c>
      <c r="S4" s="23"/>
      <c r="T4" s="15">
        <f>AVERAGE(T6:T300)</f>
        <v>3.1393353075312498E-2</v>
      </c>
      <c r="U4" s="23" t="s">
        <v>3</v>
      </c>
      <c r="V4" s="23"/>
      <c r="W4" s="15">
        <f>AVERAGE(W6:W300)</f>
        <v>7.0348489739583325E-2</v>
      </c>
      <c r="X4" s="23" t="s">
        <v>3</v>
      </c>
      <c r="Y4" s="23"/>
      <c r="Z4" s="15">
        <f>AVERAGE(Z6:Z300)</f>
        <v>2.3364373263187499</v>
      </c>
      <c r="AA4" s="23" t="s">
        <v>3</v>
      </c>
      <c r="AB4" s="23"/>
      <c r="AC4" s="15">
        <f>AVERAGE(AC6:AC300)</f>
        <v>0.11649154652005683</v>
      </c>
      <c r="AD4" s="23" t="s">
        <v>3</v>
      </c>
      <c r="AE4" s="23"/>
      <c r="AF4" s="15">
        <f>AVERAGE(AF6:AF300)</f>
        <v>6.1543243727812516E-2</v>
      </c>
      <c r="AG4" s="23" t="s">
        <v>3</v>
      </c>
      <c r="AH4" s="23"/>
      <c r="AI4" s="15">
        <f>AVERAGE(AI6:AI300)</f>
        <v>9.0462510402875007E-2</v>
      </c>
      <c r="AJ4" s="23" t="s">
        <v>3</v>
      </c>
      <c r="AK4" s="23"/>
      <c r="AL4" s="15">
        <f>AVERAGE(AL6:AL300)</f>
        <v>2.8426542964791666E-2</v>
      </c>
      <c r="AM4" s="23" t="s">
        <v>3</v>
      </c>
      <c r="AN4" s="23"/>
      <c r="AO4" s="15">
        <f>AVERAGE(AO6:AO300)</f>
        <v>1.1659879439999998</v>
      </c>
      <c r="AP4" s="23" t="s">
        <v>3</v>
      </c>
      <c r="AQ4" s="23"/>
      <c r="AR4" s="15">
        <f>AVERAGE(AR6:AR300)</f>
        <v>0.35627719650749995</v>
      </c>
      <c r="AS4" s="23" t="s">
        <v>3</v>
      </c>
      <c r="AT4" s="23"/>
      <c r="AU4" s="15">
        <f>AVERAGE(AU6:AU300)</f>
        <v>6.2420572000416667E-2</v>
      </c>
      <c r="AV4" s="23" t="s">
        <v>3</v>
      </c>
      <c r="AW4" s="23"/>
      <c r="AX4" s="15">
        <f>AVERAGE(AX6:AX300)</f>
        <v>7.5844598572187505E-2</v>
      </c>
      <c r="AY4" s="23" t="s">
        <v>3</v>
      </c>
      <c r="AZ4" s="23"/>
      <c r="BA4" s="15">
        <f>AVERAGE(BA6:BA300)</f>
        <v>6.5838253890000004E-2</v>
      </c>
    </row>
    <row r="5" spans="1:53" x14ac:dyDescent="0.2">
      <c r="C5" s="15" t="s">
        <v>2</v>
      </c>
      <c r="D5" s="15" t="s">
        <v>1</v>
      </c>
      <c r="E5" s="15" t="s">
        <v>0</v>
      </c>
      <c r="F5" s="15" t="s">
        <v>2</v>
      </c>
      <c r="G5" s="15" t="s">
        <v>1</v>
      </c>
      <c r="H5" s="15" t="s">
        <v>0</v>
      </c>
      <c r="I5" s="15" t="s">
        <v>2</v>
      </c>
      <c r="J5" s="15" t="s">
        <v>1</v>
      </c>
      <c r="K5" s="15" t="s">
        <v>0</v>
      </c>
      <c r="L5" s="15" t="s">
        <v>2</v>
      </c>
      <c r="M5" s="15" t="s">
        <v>1</v>
      </c>
      <c r="N5" s="15" t="s">
        <v>0</v>
      </c>
      <c r="O5" s="15" t="s">
        <v>2</v>
      </c>
      <c r="P5" s="15" t="s">
        <v>1</v>
      </c>
      <c r="Q5" s="15" t="s">
        <v>0</v>
      </c>
      <c r="R5" s="15" t="s">
        <v>2</v>
      </c>
      <c r="S5" s="15" t="s">
        <v>1</v>
      </c>
      <c r="T5" s="15" t="s">
        <v>0</v>
      </c>
      <c r="U5" s="15" t="s">
        <v>2</v>
      </c>
      <c r="V5" s="15" t="s">
        <v>1</v>
      </c>
      <c r="W5" s="15" t="s">
        <v>0</v>
      </c>
      <c r="X5" s="15" t="s">
        <v>2</v>
      </c>
      <c r="Y5" s="15" t="s">
        <v>1</v>
      </c>
      <c r="Z5" s="15" t="s">
        <v>0</v>
      </c>
      <c r="AA5" s="15" t="s">
        <v>2</v>
      </c>
      <c r="AB5" s="15" t="s">
        <v>1</v>
      </c>
      <c r="AC5" s="15" t="s">
        <v>0</v>
      </c>
      <c r="AD5" s="15" t="s">
        <v>2</v>
      </c>
      <c r="AE5" s="15" t="s">
        <v>1</v>
      </c>
      <c r="AF5" s="15" t="s">
        <v>0</v>
      </c>
      <c r="AG5" s="15" t="s">
        <v>2</v>
      </c>
      <c r="AH5" s="15" t="s">
        <v>1</v>
      </c>
      <c r="AI5" s="15" t="s">
        <v>0</v>
      </c>
      <c r="AJ5" s="15" t="s">
        <v>2</v>
      </c>
      <c r="AK5" s="15" t="s">
        <v>1</v>
      </c>
      <c r="AL5" s="15" t="s">
        <v>0</v>
      </c>
      <c r="AM5" s="15" t="s">
        <v>2</v>
      </c>
      <c r="AN5" s="15" t="s">
        <v>1</v>
      </c>
      <c r="AO5" s="15" t="s">
        <v>0</v>
      </c>
      <c r="AP5" s="15" t="s">
        <v>2</v>
      </c>
      <c r="AQ5" s="15" t="s">
        <v>1</v>
      </c>
      <c r="AR5" s="15" t="s">
        <v>0</v>
      </c>
      <c r="AS5" s="15" t="s">
        <v>2</v>
      </c>
      <c r="AT5" s="15" t="s">
        <v>1</v>
      </c>
      <c r="AU5" s="15" t="s">
        <v>0</v>
      </c>
      <c r="AV5" s="15" t="s">
        <v>2</v>
      </c>
      <c r="AW5" s="15" t="s">
        <v>1</v>
      </c>
      <c r="AX5" s="15" t="s">
        <v>0</v>
      </c>
      <c r="AY5" s="15" t="s">
        <v>2</v>
      </c>
      <c r="AZ5" s="15" t="s">
        <v>1</v>
      </c>
      <c r="BA5" s="15" t="s">
        <v>0</v>
      </c>
    </row>
    <row r="6" spans="1:53" x14ac:dyDescent="0.2">
      <c r="C6" s="11">
        <v>1104.27</v>
      </c>
      <c r="D6" s="11">
        <v>12.64</v>
      </c>
      <c r="E6" s="15">
        <f t="shared" ref="E6:E37" si="0">(C6*D6*D6)/1600000</f>
        <v>0.11026798511999999</v>
      </c>
      <c r="F6" s="11">
        <v>290.45</v>
      </c>
      <c r="G6" s="11">
        <v>17.239999999999998</v>
      </c>
      <c r="H6" s="15">
        <f t="shared" ref="H6:H34" si="1">(F6*G6*G6)/1600000</f>
        <v>5.3954282449999995E-2</v>
      </c>
      <c r="I6" s="11">
        <v>982.8</v>
      </c>
      <c r="J6" s="11">
        <v>32.82</v>
      </c>
      <c r="K6" s="15">
        <f t="shared" ref="K6:K33" si="2">(I6*J6*J6)/1600000</f>
        <v>0.66164086169999992</v>
      </c>
      <c r="L6" s="11">
        <v>309.14999999999998</v>
      </c>
      <c r="M6" s="11">
        <v>17.34</v>
      </c>
      <c r="N6" s="15">
        <f t="shared" ref="N6:N8" si="3">(L6*M6*M6)/1600000</f>
        <v>5.8096163587499985E-2</v>
      </c>
      <c r="O6" s="11">
        <v>363.66</v>
      </c>
      <c r="P6" s="11">
        <v>12.96</v>
      </c>
      <c r="Q6" s="15">
        <f t="shared" ref="Q6:Q28" si="4">(O6*P6*P6)/1600000</f>
        <v>3.8175572160000004E-2</v>
      </c>
      <c r="R6" s="11">
        <v>407.83</v>
      </c>
      <c r="S6" s="11">
        <v>12.3</v>
      </c>
      <c r="T6" s="15">
        <f t="shared" ref="T6:T9" si="5">(R6*S6*S6)/1600000</f>
        <v>3.8562875437500005E-2</v>
      </c>
      <c r="U6" s="11">
        <v>418.91</v>
      </c>
      <c r="V6" s="11">
        <v>16.2</v>
      </c>
      <c r="W6" s="15">
        <f t="shared" ref="W6:W8" si="6">(U6*V6*V6)/1600000</f>
        <v>6.8711712750000001E-2</v>
      </c>
      <c r="X6" s="11">
        <v>2187.54</v>
      </c>
      <c r="Y6" s="11">
        <v>75.709999999999994</v>
      </c>
      <c r="Z6" s="15">
        <f t="shared" ref="Z6:Z10" si="7">(X6*Y6*Y6)/1600000</f>
        <v>7.8368676555712486</v>
      </c>
      <c r="AA6" s="11">
        <v>319.77</v>
      </c>
      <c r="AB6" s="11">
        <v>14.16</v>
      </c>
      <c r="AC6" s="15">
        <f t="shared" ref="AC6:AC16" si="8">(AA6*AB6*AB6)/1600000</f>
        <v>4.0072297319999998E-2</v>
      </c>
      <c r="AD6" s="11">
        <v>382.21</v>
      </c>
      <c r="AE6" s="11">
        <v>15.49</v>
      </c>
      <c r="AF6" s="15">
        <f t="shared" ref="AF6:AF15" si="9">(AD6*AE6*AE6)/1600000</f>
        <v>5.7317191013125005E-2</v>
      </c>
      <c r="AG6" s="11">
        <v>505.1</v>
      </c>
      <c r="AH6" s="11">
        <v>20.69</v>
      </c>
      <c r="AI6" s="15">
        <f t="shared" ref="AI6:AI10" si="10">(AG6*AH6*AH6)/1600000</f>
        <v>0.13513827381875002</v>
      </c>
      <c r="AJ6" s="11">
        <v>296.64</v>
      </c>
      <c r="AK6" s="11">
        <v>11.52</v>
      </c>
      <c r="AL6" s="15">
        <f t="shared" ref="AL6:AL8" si="11">(AJ6*AK6*AK6)/1600000</f>
        <v>2.4604508159999997E-2</v>
      </c>
      <c r="AM6" s="11">
        <v>1138.5</v>
      </c>
      <c r="AN6" s="11">
        <v>40.479999999999997</v>
      </c>
      <c r="AO6" s="15">
        <f t="shared" ref="AO6" si="12">(AM6*AN6*AN6)/1600000</f>
        <v>1.1659879439999998</v>
      </c>
      <c r="AP6" s="11">
        <v>771.63</v>
      </c>
      <c r="AQ6" s="11">
        <v>27.18</v>
      </c>
      <c r="AR6" s="15">
        <f t="shared" ref="AR6" si="13">(AP6*AQ6*AQ6)/1600000</f>
        <v>0.35627719650749995</v>
      </c>
      <c r="AS6" s="11">
        <v>433.73</v>
      </c>
      <c r="AT6" s="11">
        <v>17.45</v>
      </c>
      <c r="AU6" s="15">
        <f t="shared" ref="AU6:AU8" si="14">(AS6*AT6*AT6)/1600000</f>
        <v>8.254491832812498E-2</v>
      </c>
      <c r="AV6" s="11">
        <v>213.82</v>
      </c>
      <c r="AW6" s="11">
        <v>13.09</v>
      </c>
      <c r="AX6" s="15">
        <f t="shared" ref="AX6:AX9" si="15">(AV6*AW6*AW6)/1600000</f>
        <v>2.289853171375E-2</v>
      </c>
      <c r="AY6" s="11">
        <v>435.09</v>
      </c>
      <c r="AZ6" s="11">
        <v>15.56</v>
      </c>
      <c r="BA6" s="15">
        <f t="shared" ref="BA6" si="16">(AY6*AZ6*AZ6)/1600000</f>
        <v>6.5838253890000004E-2</v>
      </c>
    </row>
    <row r="7" spans="1:53" x14ac:dyDescent="0.2">
      <c r="C7" s="11">
        <v>998</v>
      </c>
      <c r="D7" s="11">
        <v>32.32</v>
      </c>
      <c r="E7" s="15">
        <f t="shared" si="0"/>
        <v>0.65155827200000005</v>
      </c>
      <c r="F7" s="11">
        <v>304.81</v>
      </c>
      <c r="G7" s="11">
        <v>16.190000000000001</v>
      </c>
      <c r="H7" s="15">
        <f t="shared" si="1"/>
        <v>4.9934755275625013E-2</v>
      </c>
      <c r="I7" s="11">
        <v>522.15</v>
      </c>
      <c r="J7" s="11">
        <v>27.61</v>
      </c>
      <c r="K7" s="15">
        <f t="shared" si="2"/>
        <v>0.24877578938437497</v>
      </c>
      <c r="L7" s="11">
        <v>574.73</v>
      </c>
      <c r="M7" s="11">
        <v>29.61</v>
      </c>
      <c r="N7" s="15">
        <f t="shared" si="3"/>
        <v>0.314934834020625</v>
      </c>
      <c r="O7" s="11">
        <v>123.72</v>
      </c>
      <c r="P7" s="11">
        <v>9.16</v>
      </c>
      <c r="Q7" s="15">
        <f t="shared" si="4"/>
        <v>6.4880005200000004E-3</v>
      </c>
      <c r="R7" s="11">
        <v>247.71</v>
      </c>
      <c r="S7" s="11">
        <v>12.07</v>
      </c>
      <c r="T7" s="15">
        <f t="shared" si="5"/>
        <v>2.2554754111874999E-2</v>
      </c>
      <c r="U7" s="11">
        <v>427.78</v>
      </c>
      <c r="V7" s="11">
        <v>16.059999999999999</v>
      </c>
      <c r="W7" s="15">
        <f t="shared" si="6"/>
        <v>6.8959098504999983E-2</v>
      </c>
      <c r="X7" s="11">
        <v>1155.05</v>
      </c>
      <c r="Y7" s="11">
        <v>47.42</v>
      </c>
      <c r="Z7" s="15">
        <f t="shared" si="7"/>
        <v>1.6233191092625001</v>
      </c>
      <c r="AA7" s="11">
        <v>553.64</v>
      </c>
      <c r="AB7" s="11">
        <v>19.170000000000002</v>
      </c>
      <c r="AC7" s="15">
        <f t="shared" si="8"/>
        <v>0.12716034662250003</v>
      </c>
      <c r="AD7" s="11">
        <v>399.7</v>
      </c>
      <c r="AE7" s="11">
        <v>13.2</v>
      </c>
      <c r="AF7" s="15">
        <f t="shared" si="9"/>
        <v>4.3527330000000003E-2</v>
      </c>
      <c r="AG7" s="11">
        <v>494</v>
      </c>
      <c r="AH7" s="11">
        <v>19.739999999999998</v>
      </c>
      <c r="AI7" s="15">
        <f t="shared" si="10"/>
        <v>0.12030987149999998</v>
      </c>
      <c r="AJ7" s="11">
        <v>274.79000000000002</v>
      </c>
      <c r="AK7" s="11">
        <v>11.75</v>
      </c>
      <c r="AL7" s="15">
        <f t="shared" si="11"/>
        <v>2.3711371484375004E-2</v>
      </c>
      <c r="AM7" s="11"/>
      <c r="AN7" s="11"/>
      <c r="AO7" s="15"/>
      <c r="AP7" s="11"/>
      <c r="AQ7" s="11"/>
      <c r="AR7" s="15"/>
      <c r="AS7" s="11">
        <v>275.42</v>
      </c>
      <c r="AT7" s="11">
        <v>19.87</v>
      </c>
      <c r="AU7" s="15">
        <f t="shared" si="14"/>
        <v>6.7962794123750003E-2</v>
      </c>
      <c r="AV7" s="11">
        <v>509.66</v>
      </c>
      <c r="AW7" s="11">
        <v>26.92</v>
      </c>
      <c r="AX7" s="15">
        <f t="shared" si="15"/>
        <v>0.23083979414000003</v>
      </c>
      <c r="AY7" s="11"/>
      <c r="AZ7" s="11"/>
      <c r="BA7" s="15"/>
    </row>
    <row r="8" spans="1:53" x14ac:dyDescent="0.2">
      <c r="C8" s="11">
        <v>921.7</v>
      </c>
      <c r="D8" s="11">
        <v>26.09</v>
      </c>
      <c r="E8" s="15">
        <f t="shared" si="0"/>
        <v>0.39211888860625005</v>
      </c>
      <c r="F8" s="11">
        <v>291.08999999999997</v>
      </c>
      <c r="G8" s="11">
        <v>16.62</v>
      </c>
      <c r="H8" s="15">
        <f t="shared" si="1"/>
        <v>5.0253850372499999E-2</v>
      </c>
      <c r="I8" s="11">
        <v>571.91999999999996</v>
      </c>
      <c r="J8" s="11">
        <v>23.82</v>
      </c>
      <c r="K8" s="15">
        <f t="shared" si="2"/>
        <v>0.20281441338</v>
      </c>
      <c r="L8" s="11">
        <v>524.04</v>
      </c>
      <c r="M8" s="11">
        <v>26.57</v>
      </c>
      <c r="N8" s="15">
        <f t="shared" si="3"/>
        <v>0.2312211538725</v>
      </c>
      <c r="O8" s="11">
        <v>349.54</v>
      </c>
      <c r="P8" s="11">
        <v>12.3</v>
      </c>
      <c r="Q8" s="15">
        <f t="shared" si="4"/>
        <v>3.3051191625000004E-2</v>
      </c>
      <c r="R8" s="11">
        <v>177.2</v>
      </c>
      <c r="S8" s="11">
        <v>9.08</v>
      </c>
      <c r="T8" s="15">
        <f t="shared" si="5"/>
        <v>9.1309387999999984E-3</v>
      </c>
      <c r="U8" s="11">
        <v>274.77999999999997</v>
      </c>
      <c r="V8" s="11">
        <v>20.67</v>
      </c>
      <c r="W8" s="15">
        <f t="shared" si="6"/>
        <v>7.3374657963750006E-2</v>
      </c>
      <c r="X8" s="11">
        <v>1083.97</v>
      </c>
      <c r="Y8" s="11">
        <v>38.19</v>
      </c>
      <c r="Z8" s="15">
        <f t="shared" si="7"/>
        <v>0.98809021132312502</v>
      </c>
      <c r="AA8" s="11">
        <v>511.84</v>
      </c>
      <c r="AB8" s="11">
        <v>20.88</v>
      </c>
      <c r="AC8" s="15">
        <f t="shared" si="8"/>
        <v>0.13946821056</v>
      </c>
      <c r="AD8" s="11">
        <v>621.87</v>
      </c>
      <c r="AE8" s="11">
        <v>22.19</v>
      </c>
      <c r="AF8" s="15">
        <f t="shared" si="9"/>
        <v>0.19137897669187504</v>
      </c>
      <c r="AG8" s="11">
        <v>476.11</v>
      </c>
      <c r="AH8" s="11">
        <v>16.350000000000001</v>
      </c>
      <c r="AI8" s="15">
        <f t="shared" si="10"/>
        <v>7.9546822171875017E-2</v>
      </c>
      <c r="AJ8" s="11">
        <v>297.48</v>
      </c>
      <c r="AK8" s="11">
        <v>14.1</v>
      </c>
      <c r="AL8" s="15">
        <f t="shared" si="11"/>
        <v>3.6963749249999997E-2</v>
      </c>
      <c r="AM8" s="11"/>
      <c r="AN8" s="11"/>
      <c r="AO8" s="15"/>
      <c r="AP8" s="11"/>
      <c r="AQ8" s="11"/>
      <c r="AR8" s="15"/>
      <c r="AS8" s="11">
        <v>283.99</v>
      </c>
      <c r="AT8" s="11">
        <v>14.39</v>
      </c>
      <c r="AU8" s="15">
        <f t="shared" si="14"/>
        <v>3.6754003549375004E-2</v>
      </c>
      <c r="AV8" s="11">
        <v>183.94</v>
      </c>
      <c r="AW8" s="11">
        <v>14.97</v>
      </c>
      <c r="AX8" s="15">
        <f t="shared" si="15"/>
        <v>2.5763199716250001E-2</v>
      </c>
      <c r="AY8" s="11"/>
      <c r="AZ8" s="11"/>
      <c r="BA8" s="15"/>
    </row>
    <row r="9" spans="1:53" x14ac:dyDescent="0.2">
      <c r="C9" s="11">
        <v>940.01</v>
      </c>
      <c r="D9" s="11">
        <v>31.36</v>
      </c>
      <c r="E9" s="15">
        <f t="shared" si="0"/>
        <v>0.57778278655999993</v>
      </c>
      <c r="F9" s="11">
        <v>260.18</v>
      </c>
      <c r="G9" s="11">
        <v>15.52</v>
      </c>
      <c r="H9" s="15">
        <f t="shared" si="1"/>
        <v>3.9168537919999996E-2</v>
      </c>
      <c r="I9" s="11">
        <v>928.88</v>
      </c>
      <c r="J9" s="11">
        <v>30.06</v>
      </c>
      <c r="K9" s="15">
        <f t="shared" si="2"/>
        <v>0.52458706997999993</v>
      </c>
      <c r="L9" s="11"/>
      <c r="M9" s="11"/>
      <c r="N9" s="15"/>
      <c r="O9" s="11">
        <v>462.59</v>
      </c>
      <c r="P9" s="11">
        <v>15.18</v>
      </c>
      <c r="Q9" s="15">
        <f t="shared" si="4"/>
        <v>6.662232744749999E-2</v>
      </c>
      <c r="R9" s="11">
        <v>431.07</v>
      </c>
      <c r="S9" s="11">
        <v>14.33</v>
      </c>
      <c r="T9" s="15">
        <f t="shared" si="5"/>
        <v>5.5324843951875001E-2</v>
      </c>
      <c r="U9" s="11"/>
      <c r="V9" s="11"/>
      <c r="W9" s="15"/>
      <c r="X9" s="11">
        <v>1015.8</v>
      </c>
      <c r="Y9" s="11">
        <v>34.99</v>
      </c>
      <c r="Z9" s="15">
        <f t="shared" si="7"/>
        <v>0.7772775259875</v>
      </c>
      <c r="AA9" s="11">
        <v>415.53</v>
      </c>
      <c r="AB9" s="11">
        <v>26.04</v>
      </c>
      <c r="AC9" s="15">
        <f t="shared" si="8"/>
        <v>0.17610202952999995</v>
      </c>
      <c r="AD9" s="11">
        <v>432.25</v>
      </c>
      <c r="AE9" s="11">
        <v>15.33</v>
      </c>
      <c r="AF9" s="15">
        <f t="shared" si="9"/>
        <v>6.3489123140624992E-2</v>
      </c>
      <c r="AG9" s="11">
        <v>383.42</v>
      </c>
      <c r="AH9" s="11">
        <v>13.55</v>
      </c>
      <c r="AI9" s="15">
        <f t="shared" si="10"/>
        <v>4.3998044093750001E-2</v>
      </c>
      <c r="AJ9" s="11"/>
      <c r="AK9" s="11"/>
      <c r="AL9" s="15"/>
      <c r="AM9" s="11"/>
      <c r="AN9" s="11"/>
      <c r="AO9" s="15"/>
      <c r="AP9" s="11"/>
      <c r="AQ9" s="11"/>
      <c r="AR9" s="15"/>
      <c r="AS9" s="11"/>
      <c r="AT9" s="11"/>
      <c r="AU9" s="15"/>
      <c r="AV9" s="11">
        <v>211.18</v>
      </c>
      <c r="AW9" s="11">
        <v>13.45</v>
      </c>
      <c r="AX9" s="15">
        <f t="shared" si="15"/>
        <v>2.3876868718750003E-2</v>
      </c>
      <c r="AY9" s="11"/>
      <c r="AZ9" s="11"/>
      <c r="BA9" s="15"/>
    </row>
    <row r="10" spans="1:53" x14ac:dyDescent="0.2">
      <c r="C10" s="11">
        <v>765.32</v>
      </c>
      <c r="D10" s="11">
        <v>28.05</v>
      </c>
      <c r="E10" s="15">
        <f t="shared" si="0"/>
        <v>0.37634730581250003</v>
      </c>
      <c r="F10" s="11">
        <v>206.54</v>
      </c>
      <c r="G10" s="11">
        <v>11.37</v>
      </c>
      <c r="H10" s="15">
        <f t="shared" si="1"/>
        <v>1.6688031828749998E-2</v>
      </c>
      <c r="I10" s="11">
        <v>986.68</v>
      </c>
      <c r="J10" s="11">
        <v>33.72</v>
      </c>
      <c r="K10" s="15">
        <f t="shared" si="2"/>
        <v>0.70118315531999975</v>
      </c>
      <c r="L10" s="11"/>
      <c r="M10" s="11"/>
      <c r="N10" s="15"/>
      <c r="O10" s="11">
        <v>369.68</v>
      </c>
      <c r="P10" s="11">
        <v>15.31</v>
      </c>
      <c r="Q10" s="15">
        <f t="shared" si="4"/>
        <v>5.4157218904999999E-2</v>
      </c>
      <c r="R10" s="11"/>
      <c r="S10" s="11"/>
      <c r="T10" s="15"/>
      <c r="U10" s="11"/>
      <c r="V10" s="11"/>
      <c r="W10" s="15"/>
      <c r="X10" s="11">
        <v>776.71</v>
      </c>
      <c r="Y10" s="11">
        <v>30.67</v>
      </c>
      <c r="Z10" s="15">
        <f t="shared" si="7"/>
        <v>0.45663212944937515</v>
      </c>
      <c r="AA10" s="11">
        <v>703.18</v>
      </c>
      <c r="AB10" s="11">
        <v>20.170000000000002</v>
      </c>
      <c r="AC10" s="15">
        <f t="shared" si="8"/>
        <v>0.17879621618875005</v>
      </c>
      <c r="AD10" s="11">
        <v>387.48</v>
      </c>
      <c r="AE10" s="11">
        <v>12.75</v>
      </c>
      <c r="AF10" s="15">
        <f t="shared" si="9"/>
        <v>3.9368573437499998E-2</v>
      </c>
      <c r="AG10" s="11">
        <v>417.63</v>
      </c>
      <c r="AH10" s="11">
        <v>16.760000000000002</v>
      </c>
      <c r="AI10" s="15">
        <f t="shared" si="10"/>
        <v>7.331954043000001E-2</v>
      </c>
      <c r="AJ10" s="11"/>
      <c r="AK10" s="11"/>
      <c r="AL10" s="15"/>
      <c r="AM10" s="11"/>
      <c r="AN10" s="11"/>
      <c r="AO10" s="15"/>
      <c r="AP10" s="11"/>
      <c r="AQ10" s="11"/>
      <c r="AR10" s="15"/>
      <c r="AS10" s="11"/>
      <c r="AT10" s="11"/>
      <c r="AU10" s="15"/>
      <c r="AV10" s="11"/>
      <c r="AW10" s="11"/>
      <c r="AX10" s="15"/>
      <c r="AY10" s="11"/>
      <c r="AZ10" s="11"/>
      <c r="BA10" s="15"/>
    </row>
    <row r="11" spans="1:53" x14ac:dyDescent="0.2">
      <c r="C11" s="11">
        <v>941.63</v>
      </c>
      <c r="D11" s="11">
        <v>26.08</v>
      </c>
      <c r="E11" s="15">
        <f t="shared" si="0"/>
        <v>0.40029067951999997</v>
      </c>
      <c r="F11" s="11">
        <v>205.02</v>
      </c>
      <c r="G11" s="11">
        <v>13.73</v>
      </c>
      <c r="H11" s="15">
        <f t="shared" si="1"/>
        <v>2.4155571723750005E-2</v>
      </c>
      <c r="I11" s="11">
        <v>973.62</v>
      </c>
      <c r="J11" s="11">
        <v>30.62</v>
      </c>
      <c r="K11" s="15">
        <f t="shared" si="2"/>
        <v>0.57053182720500006</v>
      </c>
      <c r="L11" s="11"/>
      <c r="M11" s="11"/>
      <c r="N11" s="15"/>
      <c r="O11" s="11">
        <v>353.21</v>
      </c>
      <c r="P11" s="11">
        <v>16.18</v>
      </c>
      <c r="Q11" s="15">
        <f t="shared" si="4"/>
        <v>5.7792308502500001E-2</v>
      </c>
      <c r="R11" s="11"/>
      <c r="S11" s="11"/>
      <c r="T11" s="15"/>
      <c r="U11" s="11"/>
      <c r="V11" s="11"/>
      <c r="W11" s="15"/>
      <c r="X11" s="11"/>
      <c r="Y11" s="11"/>
      <c r="Z11" s="15"/>
      <c r="AA11" s="11">
        <v>418.21</v>
      </c>
      <c r="AB11" s="11">
        <v>17.46</v>
      </c>
      <c r="AC11" s="15">
        <f t="shared" si="8"/>
        <v>7.9682492272500002E-2</v>
      </c>
      <c r="AD11" s="11">
        <v>326.27</v>
      </c>
      <c r="AE11" s="11">
        <v>10.9</v>
      </c>
      <c r="AF11" s="15">
        <f t="shared" si="9"/>
        <v>2.42275866875E-2</v>
      </c>
      <c r="AG11" s="11"/>
      <c r="AH11" s="11"/>
      <c r="AI11" s="15"/>
      <c r="AJ11" s="11"/>
      <c r="AK11" s="11"/>
      <c r="AL11" s="15"/>
      <c r="AM11" s="11"/>
      <c r="AN11" s="11"/>
      <c r="AO11" s="15"/>
      <c r="AP11" s="11"/>
      <c r="AQ11" s="11"/>
      <c r="AR11" s="15"/>
      <c r="AS11" s="11"/>
      <c r="AT11" s="11"/>
      <c r="AU11" s="15"/>
      <c r="AV11" s="11"/>
      <c r="AW11" s="11"/>
      <c r="AX11" s="15"/>
      <c r="AY11" s="11"/>
      <c r="AZ11" s="11"/>
      <c r="BA11" s="15"/>
    </row>
    <row r="12" spans="1:53" x14ac:dyDescent="0.2">
      <c r="C12" s="11">
        <v>532.74</v>
      </c>
      <c r="D12" s="11">
        <v>22.21</v>
      </c>
      <c r="E12" s="15">
        <f t="shared" si="0"/>
        <v>0.16424510714625001</v>
      </c>
      <c r="F12" s="11">
        <v>263.25</v>
      </c>
      <c r="G12" s="11">
        <v>25.56</v>
      </c>
      <c r="H12" s="15">
        <f t="shared" si="1"/>
        <v>0.10749050325000001</v>
      </c>
      <c r="I12" s="11">
        <v>1027.33</v>
      </c>
      <c r="J12" s="11">
        <v>37.1</v>
      </c>
      <c r="K12" s="15">
        <f t="shared" si="2"/>
        <v>0.88376705331250005</v>
      </c>
      <c r="L12" s="11"/>
      <c r="M12" s="11"/>
      <c r="N12" s="15"/>
      <c r="O12" s="11">
        <v>211.06</v>
      </c>
      <c r="P12" s="11">
        <v>10.46</v>
      </c>
      <c r="Q12" s="15">
        <f t="shared" si="4"/>
        <v>1.4432757685000002E-2</v>
      </c>
      <c r="R12" s="11"/>
      <c r="S12" s="11"/>
      <c r="T12" s="15"/>
      <c r="U12" s="11"/>
      <c r="V12" s="11"/>
      <c r="W12" s="15"/>
      <c r="X12" s="11"/>
      <c r="Y12" s="11"/>
      <c r="Z12" s="15"/>
      <c r="AA12" s="11">
        <v>434.02</v>
      </c>
      <c r="AB12" s="11">
        <v>14.99</v>
      </c>
      <c r="AC12" s="15">
        <f t="shared" si="8"/>
        <v>6.0952710876249996E-2</v>
      </c>
      <c r="AD12" s="11">
        <v>440.32</v>
      </c>
      <c r="AE12" s="11">
        <v>17.079999999999998</v>
      </c>
      <c r="AF12" s="15">
        <f t="shared" si="9"/>
        <v>8.0283105279999975E-2</v>
      </c>
      <c r="AG12" s="11"/>
      <c r="AH12" s="11"/>
      <c r="AI12" s="15"/>
      <c r="AJ12" s="11"/>
      <c r="AK12" s="11"/>
      <c r="AL12" s="15"/>
      <c r="AM12" s="11"/>
      <c r="AN12" s="11"/>
      <c r="AO12" s="15"/>
      <c r="AP12" s="11"/>
      <c r="AQ12" s="11"/>
      <c r="AR12" s="15"/>
      <c r="AS12" s="11"/>
      <c r="AT12" s="11"/>
      <c r="AU12" s="15"/>
      <c r="AV12" s="11"/>
      <c r="AW12" s="11"/>
      <c r="AX12" s="15"/>
      <c r="AY12" s="11"/>
      <c r="AZ12" s="11"/>
      <c r="BA12" s="15"/>
    </row>
    <row r="13" spans="1:53" x14ac:dyDescent="0.2">
      <c r="C13" s="11">
        <v>957.33</v>
      </c>
      <c r="D13" s="11">
        <v>38.07</v>
      </c>
      <c r="E13" s="15">
        <f t="shared" si="0"/>
        <v>0.86717637907312517</v>
      </c>
      <c r="F13" s="11">
        <v>291.02</v>
      </c>
      <c r="G13" s="11">
        <v>21.97</v>
      </c>
      <c r="H13" s="15">
        <f t="shared" si="1"/>
        <v>8.7793622198749977E-2</v>
      </c>
      <c r="I13" s="11">
        <v>933.52</v>
      </c>
      <c r="J13" s="11">
        <v>24.19</v>
      </c>
      <c r="K13" s="15">
        <f t="shared" si="2"/>
        <v>0.341409326545</v>
      </c>
      <c r="L13" s="11"/>
      <c r="M13" s="11"/>
      <c r="N13" s="15"/>
      <c r="O13" s="11">
        <v>381.86</v>
      </c>
      <c r="P13" s="11">
        <v>10.99</v>
      </c>
      <c r="Q13" s="15">
        <f t="shared" si="4"/>
        <v>2.8825680616250002E-2</v>
      </c>
      <c r="R13" s="11"/>
      <c r="S13" s="11"/>
      <c r="T13" s="15"/>
      <c r="U13" s="11"/>
      <c r="V13" s="11"/>
      <c r="W13" s="15"/>
      <c r="X13" s="11"/>
      <c r="Y13" s="11"/>
      <c r="Z13" s="15"/>
      <c r="AA13" s="11">
        <v>375.74</v>
      </c>
      <c r="AB13" s="11">
        <v>14.61</v>
      </c>
      <c r="AC13" s="15">
        <f t="shared" si="8"/>
        <v>5.0126557533749991E-2</v>
      </c>
      <c r="AD13" s="11">
        <v>352.92</v>
      </c>
      <c r="AE13" s="11">
        <v>13.18</v>
      </c>
      <c r="AF13" s="15">
        <f t="shared" si="9"/>
        <v>3.8316612629999997E-2</v>
      </c>
      <c r="AG13" s="11"/>
      <c r="AH13" s="11"/>
      <c r="AI13" s="15"/>
      <c r="AJ13" s="11"/>
      <c r="AK13" s="11"/>
      <c r="AL13" s="15"/>
      <c r="AM13" s="11"/>
      <c r="AN13" s="11"/>
      <c r="AO13" s="15"/>
      <c r="AP13" s="11"/>
      <c r="AQ13" s="11"/>
      <c r="AR13" s="15"/>
      <c r="AS13" s="11"/>
      <c r="AT13" s="11"/>
      <c r="AU13" s="15"/>
      <c r="AV13" s="11"/>
      <c r="AW13" s="11"/>
      <c r="AX13" s="15"/>
      <c r="AY13" s="11"/>
      <c r="AZ13" s="11"/>
      <c r="BA13" s="15"/>
    </row>
    <row r="14" spans="1:53" x14ac:dyDescent="0.2">
      <c r="C14" s="11">
        <v>909.5</v>
      </c>
      <c r="D14" s="11">
        <v>34.25</v>
      </c>
      <c r="E14" s="15">
        <f t="shared" si="0"/>
        <v>0.66681271484375004</v>
      </c>
      <c r="F14" s="11">
        <v>311.33999999999997</v>
      </c>
      <c r="G14" s="11">
        <v>13.11</v>
      </c>
      <c r="H14" s="15">
        <f t="shared" si="1"/>
        <v>3.3444162258749993E-2</v>
      </c>
      <c r="I14" s="11">
        <v>799.44</v>
      </c>
      <c r="J14" s="11">
        <v>30.11</v>
      </c>
      <c r="K14" s="15">
        <f t="shared" si="2"/>
        <v>0.45298873576500004</v>
      </c>
      <c r="L14" s="11"/>
      <c r="M14" s="11"/>
      <c r="N14" s="15"/>
      <c r="O14" s="11">
        <v>439.82</v>
      </c>
      <c r="P14" s="11">
        <v>12.78</v>
      </c>
      <c r="Q14" s="15">
        <f t="shared" si="4"/>
        <v>4.4896935555000003E-2</v>
      </c>
      <c r="R14" s="11"/>
      <c r="S14" s="11"/>
      <c r="T14" s="15"/>
      <c r="U14" s="11"/>
      <c r="V14" s="11"/>
      <c r="W14" s="15"/>
      <c r="X14" s="11"/>
      <c r="Y14" s="11"/>
      <c r="Z14" s="15"/>
      <c r="AA14" s="11">
        <v>705.18</v>
      </c>
      <c r="AB14" s="11">
        <v>24.79</v>
      </c>
      <c r="AC14" s="15">
        <f t="shared" si="8"/>
        <v>0.27085263027374995</v>
      </c>
      <c r="AD14" s="11">
        <v>226.19</v>
      </c>
      <c r="AE14" s="11">
        <v>11.41</v>
      </c>
      <c r="AF14" s="15">
        <f t="shared" si="9"/>
        <v>1.8404528961875E-2</v>
      </c>
      <c r="AG14" s="11"/>
      <c r="AH14" s="11"/>
      <c r="AI14" s="15"/>
      <c r="AJ14" s="11"/>
      <c r="AK14" s="11"/>
      <c r="AL14" s="15"/>
      <c r="AM14" s="11"/>
      <c r="AN14" s="11"/>
      <c r="AO14" s="15"/>
      <c r="AP14" s="11"/>
      <c r="AQ14" s="11"/>
      <c r="AR14" s="15"/>
      <c r="AS14" s="11"/>
      <c r="AT14" s="11"/>
      <c r="AU14" s="15"/>
      <c r="AV14" s="11"/>
      <c r="AW14" s="11"/>
      <c r="AX14" s="15"/>
      <c r="AY14" s="11"/>
      <c r="AZ14" s="11"/>
      <c r="BA14" s="15"/>
    </row>
    <row r="15" spans="1:53" x14ac:dyDescent="0.2">
      <c r="C15" s="11">
        <v>432.54</v>
      </c>
      <c r="D15" s="11">
        <v>14</v>
      </c>
      <c r="E15" s="15">
        <f t="shared" si="0"/>
        <v>5.298615000000001E-2</v>
      </c>
      <c r="F15" s="11">
        <v>317.36</v>
      </c>
      <c r="G15" s="11">
        <v>16.350000000000001</v>
      </c>
      <c r="H15" s="15">
        <f t="shared" si="1"/>
        <v>5.3023417875000006E-2</v>
      </c>
      <c r="I15" s="11">
        <v>941.42</v>
      </c>
      <c r="J15" s="11">
        <v>33.64</v>
      </c>
      <c r="K15" s="15">
        <f t="shared" si="2"/>
        <v>0.66584847902000011</v>
      </c>
      <c r="L15" s="11"/>
      <c r="M15" s="11"/>
      <c r="N15" s="15"/>
      <c r="O15" s="11">
        <v>506.15</v>
      </c>
      <c r="P15" s="11">
        <v>16.489999999999998</v>
      </c>
      <c r="Q15" s="15">
        <f t="shared" si="4"/>
        <v>8.602022413437499E-2</v>
      </c>
      <c r="R15" s="11"/>
      <c r="S15" s="11"/>
      <c r="T15" s="15"/>
      <c r="U15" s="11"/>
      <c r="V15" s="11"/>
      <c r="W15" s="15"/>
      <c r="X15" s="11"/>
      <c r="Y15" s="11"/>
      <c r="Z15" s="15"/>
      <c r="AA15" s="11">
        <v>413.25</v>
      </c>
      <c r="AB15" s="11">
        <v>17.23</v>
      </c>
      <c r="AC15" s="15">
        <f t="shared" si="8"/>
        <v>7.6676703703125001E-2</v>
      </c>
      <c r="AD15" s="11">
        <v>469.77</v>
      </c>
      <c r="AE15" s="11">
        <v>14.19</v>
      </c>
      <c r="AF15" s="15">
        <f t="shared" si="9"/>
        <v>5.9119409435624992E-2</v>
      </c>
      <c r="AG15" s="11"/>
      <c r="AH15" s="11"/>
      <c r="AI15" s="15"/>
      <c r="AJ15" s="11"/>
      <c r="AK15" s="11"/>
      <c r="AL15" s="15"/>
      <c r="AM15" s="11"/>
      <c r="AN15" s="11"/>
      <c r="AO15" s="15"/>
      <c r="AP15" s="11"/>
      <c r="AQ15" s="11"/>
      <c r="AR15" s="15"/>
      <c r="AS15" s="11"/>
      <c r="AT15" s="11"/>
      <c r="AU15" s="15"/>
      <c r="AV15" s="11"/>
      <c r="AW15" s="11"/>
      <c r="AX15" s="15"/>
      <c r="AY15" s="11"/>
      <c r="AZ15" s="11"/>
      <c r="BA15" s="15"/>
    </row>
    <row r="16" spans="1:53" x14ac:dyDescent="0.2">
      <c r="C16" s="11">
        <v>641.51</v>
      </c>
      <c r="D16" s="11">
        <v>19.86</v>
      </c>
      <c r="E16" s="15">
        <f t="shared" si="0"/>
        <v>0.15814007349750001</v>
      </c>
      <c r="F16" s="11">
        <f>822.44/2</f>
        <v>411.22</v>
      </c>
      <c r="G16" s="11">
        <f>36.09/2</f>
        <v>18.045000000000002</v>
      </c>
      <c r="H16" s="15">
        <f t="shared" si="1"/>
        <v>8.3688930700312525E-2</v>
      </c>
      <c r="I16" s="11">
        <v>582.83000000000004</v>
      </c>
      <c r="J16" s="11">
        <v>18.98</v>
      </c>
      <c r="K16" s="15">
        <f t="shared" si="2"/>
        <v>0.13122432020749999</v>
      </c>
      <c r="L16" s="11"/>
      <c r="M16" s="11"/>
      <c r="N16" s="15"/>
      <c r="O16" s="11">
        <v>369.15</v>
      </c>
      <c r="P16" s="11">
        <v>14.5</v>
      </c>
      <c r="Q16" s="15">
        <f t="shared" si="4"/>
        <v>4.8508617187499992E-2</v>
      </c>
      <c r="R16" s="11"/>
      <c r="S16" s="11"/>
      <c r="T16" s="15"/>
      <c r="U16" s="11"/>
      <c r="V16" s="11"/>
      <c r="W16" s="15"/>
      <c r="X16" s="11"/>
      <c r="Y16" s="11"/>
      <c r="Z16" s="15"/>
      <c r="AA16" s="11">
        <v>395.49</v>
      </c>
      <c r="AB16" s="11">
        <v>18.16</v>
      </c>
      <c r="AC16" s="15">
        <f t="shared" si="8"/>
        <v>8.1516816840000006E-2</v>
      </c>
      <c r="AD16" s="11"/>
      <c r="AE16" s="11"/>
      <c r="AF16" s="15"/>
      <c r="AG16" s="11"/>
      <c r="AH16" s="11"/>
      <c r="AI16" s="15"/>
      <c r="AJ16" s="11"/>
      <c r="AK16" s="11"/>
      <c r="AL16" s="15"/>
      <c r="AM16" s="11"/>
      <c r="AN16" s="11"/>
      <c r="AO16" s="15"/>
      <c r="AP16" s="11"/>
      <c r="AQ16" s="11"/>
      <c r="AR16" s="15"/>
      <c r="AS16" s="11"/>
      <c r="AT16" s="11"/>
      <c r="AU16" s="15"/>
      <c r="AV16" s="11"/>
      <c r="AW16" s="11"/>
      <c r="AX16" s="15"/>
      <c r="AY16" s="11"/>
      <c r="AZ16" s="11"/>
      <c r="BA16" s="15"/>
    </row>
    <row r="17" spans="3:53" x14ac:dyDescent="0.2">
      <c r="C17" s="11">
        <v>704</v>
      </c>
      <c r="D17" s="11">
        <v>24.72</v>
      </c>
      <c r="E17" s="15">
        <f t="shared" si="0"/>
        <v>0.26887449599999996</v>
      </c>
      <c r="F17" s="11">
        <v>313.77</v>
      </c>
      <c r="G17" s="11">
        <v>18.09</v>
      </c>
      <c r="H17" s="15">
        <f t="shared" si="1"/>
        <v>6.4175397710624998E-2</v>
      </c>
      <c r="I17" s="11">
        <v>974.6</v>
      </c>
      <c r="J17" s="11">
        <v>29.71</v>
      </c>
      <c r="K17" s="15">
        <f t="shared" si="2"/>
        <v>0.53766495241250001</v>
      </c>
      <c r="L17" s="11"/>
      <c r="M17" s="11"/>
      <c r="N17" s="15"/>
      <c r="O17" s="11">
        <v>409.23</v>
      </c>
      <c r="P17" s="11">
        <v>16.239999999999998</v>
      </c>
      <c r="Q17" s="15">
        <f t="shared" si="4"/>
        <v>6.7455836280000001E-2</v>
      </c>
      <c r="R17" s="11"/>
      <c r="S17" s="11"/>
      <c r="T17" s="15"/>
      <c r="U17" s="11"/>
      <c r="V17" s="11"/>
      <c r="W17" s="15"/>
      <c r="X17" s="11"/>
      <c r="Y17" s="11"/>
      <c r="Z17" s="15"/>
      <c r="AA17" s="11"/>
      <c r="AB17" s="11"/>
      <c r="AC17" s="15"/>
      <c r="AD17" s="11"/>
      <c r="AE17" s="11"/>
      <c r="AF17" s="15"/>
      <c r="AG17" s="11"/>
      <c r="AH17" s="11"/>
      <c r="AI17" s="15"/>
      <c r="AJ17" s="11"/>
      <c r="AK17" s="11"/>
      <c r="AL17" s="15"/>
      <c r="AM17" s="11"/>
      <c r="AN17" s="11"/>
      <c r="AO17" s="15"/>
      <c r="AP17" s="11"/>
      <c r="AQ17" s="11"/>
      <c r="AR17" s="15"/>
      <c r="AS17" s="11"/>
      <c r="AT17" s="11"/>
      <c r="AU17" s="15"/>
      <c r="AV17" s="11"/>
      <c r="AW17" s="11"/>
      <c r="AX17" s="15"/>
      <c r="AY17" s="11"/>
      <c r="AZ17" s="11"/>
      <c r="BA17" s="15"/>
    </row>
    <row r="18" spans="3:53" x14ac:dyDescent="0.2">
      <c r="C18" s="11">
        <v>492.84</v>
      </c>
      <c r="D18" s="11">
        <v>15</v>
      </c>
      <c r="E18" s="15">
        <f t="shared" si="0"/>
        <v>6.9305624999999996E-2</v>
      </c>
      <c r="F18" s="11">
        <v>217.21</v>
      </c>
      <c r="G18" s="11">
        <v>13.88</v>
      </c>
      <c r="H18" s="15">
        <f t="shared" si="1"/>
        <v>2.6154038890000005E-2</v>
      </c>
      <c r="I18" s="11">
        <v>1024.26</v>
      </c>
      <c r="J18" s="11">
        <v>37.25</v>
      </c>
      <c r="K18" s="15">
        <f t="shared" si="2"/>
        <v>0.88826547890624996</v>
      </c>
      <c r="L18" s="11"/>
      <c r="M18" s="11"/>
      <c r="N18" s="15"/>
      <c r="O18" s="11">
        <v>365.71</v>
      </c>
      <c r="P18" s="11">
        <v>11.96</v>
      </c>
      <c r="Q18" s="15">
        <f t="shared" si="4"/>
        <v>3.269483971E-2</v>
      </c>
      <c r="R18" s="11"/>
      <c r="S18" s="11"/>
      <c r="T18" s="15"/>
      <c r="U18" s="11"/>
      <c r="V18" s="11"/>
      <c r="W18" s="15"/>
      <c r="X18" s="11"/>
      <c r="Y18" s="11"/>
      <c r="Z18" s="15"/>
      <c r="AA18" s="11"/>
      <c r="AB18" s="11"/>
      <c r="AC18" s="15"/>
      <c r="AD18" s="11"/>
      <c r="AE18" s="11"/>
      <c r="AF18" s="15"/>
      <c r="AG18" s="11"/>
      <c r="AH18" s="11"/>
      <c r="AI18" s="15"/>
      <c r="AJ18" s="11"/>
      <c r="AK18" s="11"/>
      <c r="AL18" s="15"/>
      <c r="AM18" s="11"/>
      <c r="AN18" s="11"/>
      <c r="AO18" s="15"/>
      <c r="AP18" s="11"/>
      <c r="AQ18" s="11"/>
      <c r="AR18" s="15"/>
      <c r="AS18" s="11"/>
      <c r="AT18" s="11"/>
      <c r="AU18" s="15"/>
      <c r="AV18" s="11"/>
      <c r="AW18" s="11"/>
      <c r="AX18" s="15"/>
      <c r="AY18" s="11"/>
      <c r="AZ18" s="11"/>
      <c r="BA18" s="15"/>
    </row>
    <row r="19" spans="3:53" x14ac:dyDescent="0.2">
      <c r="C19" s="11">
        <v>934.77</v>
      </c>
      <c r="D19" s="11">
        <v>31.39</v>
      </c>
      <c r="E19" s="15">
        <f t="shared" si="0"/>
        <v>0.57566180444812509</v>
      </c>
      <c r="F19" s="11">
        <v>308.01</v>
      </c>
      <c r="G19" s="11">
        <v>20.53</v>
      </c>
      <c r="H19" s="15">
        <f t="shared" si="1"/>
        <v>8.1137707505625017E-2</v>
      </c>
      <c r="I19" s="11">
        <v>729.16</v>
      </c>
      <c r="J19" s="11">
        <v>25.27</v>
      </c>
      <c r="K19" s="15">
        <f t="shared" si="2"/>
        <v>0.29101363485249998</v>
      </c>
      <c r="L19" s="11"/>
      <c r="M19" s="11"/>
      <c r="N19" s="15"/>
      <c r="O19" s="11">
        <v>509.74</v>
      </c>
      <c r="P19" s="11">
        <v>16.829999999999998</v>
      </c>
      <c r="Q19" s="15">
        <f t="shared" si="4"/>
        <v>9.0239558928749991E-2</v>
      </c>
      <c r="R19" s="11"/>
      <c r="S19" s="11"/>
      <c r="T19" s="15"/>
      <c r="U19" s="11"/>
      <c r="V19" s="11"/>
      <c r="W19" s="15"/>
      <c r="X19" s="11"/>
      <c r="Y19" s="11"/>
      <c r="Z19" s="15"/>
      <c r="AA19" s="11"/>
      <c r="AB19" s="11"/>
      <c r="AC19" s="15"/>
      <c r="AD19" s="11"/>
      <c r="AE19" s="11"/>
      <c r="AF19" s="15"/>
      <c r="AG19" s="11"/>
      <c r="AH19" s="11"/>
      <c r="AI19" s="15"/>
      <c r="AJ19" s="11"/>
      <c r="AK19" s="11"/>
      <c r="AL19" s="15"/>
      <c r="AM19" s="11"/>
      <c r="AN19" s="11"/>
      <c r="AO19" s="15"/>
      <c r="AP19" s="11"/>
      <c r="AQ19" s="11"/>
      <c r="AR19" s="15"/>
      <c r="AS19" s="11"/>
      <c r="AT19" s="11"/>
      <c r="AU19" s="15"/>
      <c r="AV19" s="11"/>
      <c r="AW19" s="11"/>
      <c r="AX19" s="15"/>
      <c r="AY19" s="11"/>
      <c r="AZ19" s="11"/>
      <c r="BA19" s="15"/>
    </row>
    <row r="20" spans="3:53" x14ac:dyDescent="0.2">
      <c r="C20" s="11">
        <v>961.22</v>
      </c>
      <c r="D20" s="11">
        <v>36.03</v>
      </c>
      <c r="E20" s="15">
        <f t="shared" si="0"/>
        <v>0.77988638768625007</v>
      </c>
      <c r="F20" s="11">
        <v>364.66</v>
      </c>
      <c r="G20" s="11">
        <v>18.940000000000001</v>
      </c>
      <c r="H20" s="15">
        <f t="shared" si="1"/>
        <v>8.1757592485000016E-2</v>
      </c>
      <c r="I20" s="11">
        <v>1036.23</v>
      </c>
      <c r="J20" s="11">
        <v>35.409999999999997</v>
      </c>
      <c r="K20" s="15">
        <f t="shared" si="2"/>
        <v>0.81205983828937478</v>
      </c>
      <c r="L20" s="11"/>
      <c r="M20" s="11"/>
      <c r="N20" s="15"/>
      <c r="O20" s="11">
        <v>397.63</v>
      </c>
      <c r="P20" s="11">
        <v>14.94</v>
      </c>
      <c r="Q20" s="15">
        <f t="shared" si="4"/>
        <v>5.5470279667499997E-2</v>
      </c>
      <c r="R20" s="11"/>
      <c r="S20" s="11"/>
      <c r="T20" s="15"/>
      <c r="U20" s="11"/>
      <c r="V20" s="11"/>
      <c r="W20" s="15"/>
      <c r="X20" s="11"/>
      <c r="Y20" s="11"/>
      <c r="Z20" s="15"/>
      <c r="AA20" s="11"/>
      <c r="AB20" s="11"/>
      <c r="AC20" s="15"/>
      <c r="AD20" s="11"/>
      <c r="AE20" s="11"/>
      <c r="AF20" s="15"/>
      <c r="AG20" s="11"/>
      <c r="AH20" s="11"/>
      <c r="AI20" s="15"/>
      <c r="AJ20" s="11"/>
      <c r="AK20" s="11"/>
      <c r="AL20" s="15"/>
      <c r="AM20" s="11"/>
      <c r="AN20" s="11"/>
      <c r="AO20" s="15"/>
      <c r="AP20" s="11"/>
      <c r="AQ20" s="11"/>
      <c r="AR20" s="15"/>
      <c r="AS20" s="11"/>
      <c r="AT20" s="11"/>
      <c r="AU20" s="15"/>
      <c r="AV20" s="11"/>
      <c r="AW20" s="11"/>
      <c r="AX20" s="15"/>
      <c r="AY20" s="11"/>
      <c r="AZ20" s="11"/>
      <c r="BA20" s="15"/>
    </row>
    <row r="21" spans="3:53" x14ac:dyDescent="0.2">
      <c r="C21" s="11">
        <v>796.01</v>
      </c>
      <c r="D21" s="11">
        <v>27.36</v>
      </c>
      <c r="E21" s="15">
        <f t="shared" si="0"/>
        <v>0.37241805455999993</v>
      </c>
      <c r="F21" s="11">
        <v>280.7</v>
      </c>
      <c r="G21" s="11">
        <v>33.479999999999997</v>
      </c>
      <c r="H21" s="15">
        <f t="shared" si="1"/>
        <v>0.19664971829999994</v>
      </c>
      <c r="I21" s="11">
        <v>1030.04</v>
      </c>
      <c r="J21" s="11">
        <v>30.43</v>
      </c>
      <c r="K21" s="15">
        <f t="shared" si="2"/>
        <v>0.59612592899749994</v>
      </c>
      <c r="L21" s="11"/>
      <c r="M21" s="11"/>
      <c r="N21" s="15"/>
      <c r="O21" s="11">
        <v>227.77</v>
      </c>
      <c r="P21" s="11">
        <v>10.86</v>
      </c>
      <c r="Q21" s="15">
        <f t="shared" si="4"/>
        <v>1.6789439182499998E-2</v>
      </c>
      <c r="R21" s="11"/>
      <c r="S21" s="11"/>
      <c r="T21" s="15"/>
      <c r="U21" s="11"/>
      <c r="V21" s="11"/>
      <c r="W21" s="15"/>
      <c r="X21" s="11"/>
      <c r="Y21" s="11"/>
      <c r="Z21" s="15"/>
      <c r="AA21" s="11"/>
      <c r="AB21" s="11"/>
      <c r="AC21" s="15"/>
      <c r="AD21" s="11"/>
      <c r="AE21" s="11"/>
      <c r="AF21" s="15"/>
      <c r="AG21" s="11"/>
      <c r="AH21" s="11"/>
      <c r="AI21" s="15"/>
      <c r="AJ21" s="11"/>
      <c r="AK21" s="11"/>
      <c r="AL21" s="15"/>
      <c r="AM21" s="11"/>
      <c r="AN21" s="11"/>
      <c r="AO21" s="15"/>
      <c r="AP21" s="11"/>
      <c r="AQ21" s="11"/>
      <c r="AR21" s="15"/>
      <c r="AS21" s="11"/>
      <c r="AT21" s="11"/>
      <c r="AU21" s="15"/>
      <c r="AV21" s="11"/>
      <c r="AW21" s="11"/>
      <c r="AX21" s="15"/>
      <c r="AY21" s="11"/>
      <c r="AZ21" s="11"/>
      <c r="BA21" s="15"/>
    </row>
    <row r="22" spans="3:53" x14ac:dyDescent="0.2">
      <c r="C22" s="11">
        <v>881.22</v>
      </c>
      <c r="D22" s="11">
        <v>27.55</v>
      </c>
      <c r="E22" s="15">
        <f t="shared" si="0"/>
        <v>0.41803011440624999</v>
      </c>
      <c r="F22" s="11">
        <v>261.97000000000003</v>
      </c>
      <c r="G22" s="11">
        <v>19.149999999999999</v>
      </c>
      <c r="H22" s="15">
        <f t="shared" si="1"/>
        <v>6.0043933328125007E-2</v>
      </c>
      <c r="I22" s="11">
        <v>1087.25</v>
      </c>
      <c r="J22" s="11">
        <v>36.42</v>
      </c>
      <c r="K22" s="15">
        <f t="shared" si="2"/>
        <v>0.90134139431250015</v>
      </c>
      <c r="L22" s="11"/>
      <c r="M22" s="11"/>
      <c r="N22" s="15"/>
      <c r="O22" s="11">
        <v>572.30999999999995</v>
      </c>
      <c r="P22" s="11">
        <v>24.09</v>
      </c>
      <c r="Q22" s="15">
        <f t="shared" si="4"/>
        <v>0.20757973431937499</v>
      </c>
      <c r="R22" s="11"/>
      <c r="S22" s="11"/>
      <c r="T22" s="15"/>
      <c r="U22" s="11"/>
      <c r="V22" s="11"/>
      <c r="W22" s="15"/>
      <c r="X22" s="11"/>
      <c r="Y22" s="11"/>
      <c r="Z22" s="15"/>
      <c r="AA22" s="11"/>
      <c r="AB22" s="11"/>
      <c r="AC22" s="15"/>
      <c r="AD22" s="11"/>
      <c r="AE22" s="11"/>
      <c r="AF22" s="15"/>
      <c r="AG22" s="11"/>
      <c r="AH22" s="11"/>
      <c r="AI22" s="15"/>
      <c r="AJ22" s="11"/>
      <c r="AK22" s="11"/>
      <c r="AL22" s="15"/>
      <c r="AM22" s="11"/>
      <c r="AN22" s="11"/>
      <c r="AO22" s="15"/>
      <c r="AP22" s="11"/>
      <c r="AQ22" s="11"/>
      <c r="AR22" s="15"/>
      <c r="AS22" s="11"/>
      <c r="AT22" s="11"/>
      <c r="AU22" s="15"/>
      <c r="AV22" s="11"/>
      <c r="AW22" s="11"/>
      <c r="AX22" s="15"/>
      <c r="AY22" s="11"/>
      <c r="AZ22" s="11"/>
      <c r="BA22" s="15"/>
    </row>
    <row r="23" spans="3:53" x14ac:dyDescent="0.2">
      <c r="C23" s="11">
        <v>526.74</v>
      </c>
      <c r="D23" s="11">
        <v>23.48</v>
      </c>
      <c r="E23" s="15">
        <f t="shared" si="0"/>
        <v>0.18149827506000002</v>
      </c>
      <c r="F23" s="11">
        <v>431.05</v>
      </c>
      <c r="G23" s="11">
        <v>20.64</v>
      </c>
      <c r="H23" s="15">
        <f t="shared" si="1"/>
        <v>0.11476964880000001</v>
      </c>
      <c r="I23" s="11">
        <v>930.92</v>
      </c>
      <c r="J23" s="11">
        <v>36.869999999999997</v>
      </c>
      <c r="K23" s="15">
        <f t="shared" si="2"/>
        <v>0.79093110134249978</v>
      </c>
      <c r="L23" s="11"/>
      <c r="M23" s="11"/>
      <c r="N23" s="15"/>
      <c r="O23" s="11">
        <v>407.07</v>
      </c>
      <c r="P23" s="11">
        <v>14.76</v>
      </c>
      <c r="Q23" s="15">
        <f t="shared" si="4"/>
        <v>5.5427058269999996E-2</v>
      </c>
      <c r="R23" s="11"/>
      <c r="S23" s="11"/>
      <c r="T23" s="15"/>
      <c r="U23" s="11"/>
      <c r="V23" s="11"/>
      <c r="W23" s="15"/>
      <c r="X23" s="11"/>
      <c r="Y23" s="11"/>
      <c r="Z23" s="15"/>
      <c r="AA23" s="11"/>
      <c r="AB23" s="11"/>
      <c r="AC23" s="15"/>
      <c r="AD23" s="11"/>
      <c r="AE23" s="11"/>
      <c r="AF23" s="15"/>
      <c r="AG23" s="11"/>
      <c r="AH23" s="11"/>
      <c r="AI23" s="15"/>
      <c r="AJ23" s="11"/>
      <c r="AK23" s="11"/>
      <c r="AL23" s="15"/>
      <c r="AM23" s="11"/>
      <c r="AN23" s="11"/>
      <c r="AO23" s="15"/>
      <c r="AP23" s="11"/>
      <c r="AQ23" s="11"/>
      <c r="AR23" s="15"/>
      <c r="AS23" s="11"/>
      <c r="AT23" s="11"/>
      <c r="AU23" s="15"/>
      <c r="AV23" s="11"/>
      <c r="AW23" s="11"/>
      <c r="AX23" s="15"/>
      <c r="AY23" s="11"/>
      <c r="AZ23" s="11"/>
      <c r="BA23" s="15"/>
    </row>
    <row r="24" spans="3:53" x14ac:dyDescent="0.2">
      <c r="C24" s="11">
        <v>1089.8</v>
      </c>
      <c r="D24" s="11">
        <v>35.07</v>
      </c>
      <c r="E24" s="15">
        <f t="shared" si="0"/>
        <v>0.83771897501250003</v>
      </c>
      <c r="F24" s="11">
        <v>298.60000000000002</v>
      </c>
      <c r="G24" s="11">
        <v>18.170000000000002</v>
      </c>
      <c r="H24" s="15">
        <f t="shared" si="1"/>
        <v>6.1614038462500013E-2</v>
      </c>
      <c r="I24" s="11">
        <v>911.89</v>
      </c>
      <c r="J24" s="11">
        <v>29.29</v>
      </c>
      <c r="K24" s="15">
        <f t="shared" si="2"/>
        <v>0.48894635609312498</v>
      </c>
      <c r="L24" s="11"/>
      <c r="M24" s="11"/>
      <c r="N24" s="15"/>
      <c r="O24" s="11">
        <v>259.99</v>
      </c>
      <c r="P24" s="11">
        <v>12.8</v>
      </c>
      <c r="Q24" s="15">
        <f t="shared" si="4"/>
        <v>2.6622976000000003E-2</v>
      </c>
      <c r="R24" s="11"/>
      <c r="S24" s="11"/>
      <c r="T24" s="15"/>
      <c r="U24" s="11"/>
      <c r="V24" s="11"/>
      <c r="W24" s="15"/>
      <c r="X24" s="11"/>
      <c r="Y24" s="11"/>
      <c r="Z24" s="15"/>
      <c r="AA24" s="11"/>
      <c r="AB24" s="11"/>
      <c r="AC24" s="15"/>
      <c r="AD24" s="11"/>
      <c r="AE24" s="11"/>
      <c r="AF24" s="15"/>
      <c r="AG24" s="11"/>
      <c r="AH24" s="11"/>
      <c r="AI24" s="15"/>
      <c r="AJ24" s="11"/>
      <c r="AK24" s="11"/>
      <c r="AL24" s="15"/>
      <c r="AM24" s="11"/>
      <c r="AN24" s="11"/>
      <c r="AO24" s="15"/>
      <c r="AP24" s="11"/>
      <c r="AQ24" s="11"/>
      <c r="AR24" s="15"/>
      <c r="AS24" s="11"/>
      <c r="AT24" s="11"/>
      <c r="AU24" s="15"/>
      <c r="AV24" s="11"/>
      <c r="AW24" s="11"/>
      <c r="AX24" s="15"/>
      <c r="AY24" s="11"/>
      <c r="AZ24" s="11"/>
      <c r="BA24" s="15"/>
    </row>
    <row r="25" spans="3:53" x14ac:dyDescent="0.2">
      <c r="C25" s="11">
        <v>877.5</v>
      </c>
      <c r="D25" s="11">
        <v>31.46</v>
      </c>
      <c r="E25" s="15">
        <f t="shared" si="0"/>
        <v>0.54280592437500008</v>
      </c>
      <c r="F25" s="11">
        <v>228.31</v>
      </c>
      <c r="G25" s="11">
        <v>15.96</v>
      </c>
      <c r="H25" s="15">
        <f t="shared" si="1"/>
        <v>3.6347180310000005E-2</v>
      </c>
      <c r="I25" s="11">
        <v>1048.25</v>
      </c>
      <c r="J25" s="11">
        <v>44.31</v>
      </c>
      <c r="K25" s="15">
        <f t="shared" si="2"/>
        <v>1.2863181230156251</v>
      </c>
      <c r="L25" s="11"/>
      <c r="M25" s="11"/>
      <c r="N25" s="15"/>
      <c r="O25" s="11">
        <v>422.75</v>
      </c>
      <c r="P25" s="11">
        <v>15.03</v>
      </c>
      <c r="Q25" s="15">
        <f t="shared" si="4"/>
        <v>5.9687253421874996E-2</v>
      </c>
      <c r="R25" s="11"/>
      <c r="S25" s="11"/>
      <c r="T25" s="15"/>
      <c r="U25" s="11"/>
      <c r="V25" s="11"/>
      <c r="W25" s="15"/>
      <c r="X25" s="11"/>
      <c r="Y25" s="11"/>
      <c r="Z25" s="15"/>
      <c r="AA25" s="11"/>
      <c r="AB25" s="11"/>
      <c r="AC25" s="15"/>
      <c r="AD25" s="11"/>
      <c r="AE25" s="11"/>
      <c r="AF25" s="15"/>
      <c r="AG25" s="11"/>
      <c r="AH25" s="11"/>
      <c r="AI25" s="15"/>
      <c r="AJ25" s="11"/>
      <c r="AK25" s="11"/>
      <c r="AL25" s="15"/>
      <c r="AM25" s="11"/>
      <c r="AN25" s="11"/>
      <c r="AO25" s="15"/>
      <c r="AP25" s="11"/>
      <c r="AQ25" s="11"/>
      <c r="AR25" s="15"/>
      <c r="AS25" s="11"/>
      <c r="AT25" s="11"/>
      <c r="AU25" s="15"/>
      <c r="AV25" s="11"/>
      <c r="AW25" s="11"/>
      <c r="AX25" s="15"/>
      <c r="AY25" s="11"/>
      <c r="AZ25" s="11"/>
      <c r="BA25" s="15"/>
    </row>
    <row r="26" spans="3:53" x14ac:dyDescent="0.2">
      <c r="C26" s="11">
        <v>487.85</v>
      </c>
      <c r="D26" s="11">
        <v>18.670000000000002</v>
      </c>
      <c r="E26" s="15">
        <f t="shared" si="0"/>
        <v>0.10628083616562502</v>
      </c>
      <c r="F26" s="11">
        <v>291.88</v>
      </c>
      <c r="G26" s="11">
        <v>16.89</v>
      </c>
      <c r="H26" s="15">
        <f t="shared" si="1"/>
        <v>5.2040762842500005E-2</v>
      </c>
      <c r="I26" s="11">
        <v>605.17999999999995</v>
      </c>
      <c r="J26" s="11">
        <v>23.96</v>
      </c>
      <c r="K26" s="15">
        <f t="shared" si="2"/>
        <v>0.21713918918</v>
      </c>
      <c r="L26" s="11"/>
      <c r="M26" s="11"/>
      <c r="N26" s="15"/>
      <c r="O26" s="11">
        <v>337.98</v>
      </c>
      <c r="P26" s="11">
        <v>12.45</v>
      </c>
      <c r="Q26" s="15">
        <f t="shared" si="4"/>
        <v>3.2742340593749995E-2</v>
      </c>
      <c r="R26" s="11"/>
      <c r="S26" s="11"/>
      <c r="T26" s="15"/>
      <c r="U26" s="11"/>
      <c r="V26" s="11"/>
      <c r="W26" s="15"/>
      <c r="X26" s="11"/>
      <c r="Y26" s="11"/>
      <c r="Z26" s="15"/>
      <c r="AA26" s="11"/>
      <c r="AB26" s="11"/>
      <c r="AC26" s="15"/>
      <c r="AD26" s="11"/>
      <c r="AE26" s="11"/>
      <c r="AF26" s="15"/>
      <c r="AG26" s="11"/>
      <c r="AH26" s="11"/>
      <c r="AI26" s="15"/>
      <c r="AJ26" s="11"/>
      <c r="AK26" s="11"/>
      <c r="AL26" s="15"/>
      <c r="AM26" s="11"/>
      <c r="AN26" s="11"/>
      <c r="AO26" s="15"/>
      <c r="AP26" s="11"/>
      <c r="AQ26" s="11"/>
      <c r="AR26" s="15"/>
      <c r="AS26" s="11"/>
      <c r="AT26" s="11"/>
      <c r="AU26" s="15"/>
      <c r="AV26" s="11"/>
      <c r="AW26" s="11"/>
      <c r="AX26" s="15"/>
      <c r="AY26" s="11"/>
      <c r="AZ26" s="11"/>
      <c r="BA26" s="15"/>
    </row>
    <row r="27" spans="3:53" x14ac:dyDescent="0.2">
      <c r="C27" s="11">
        <v>904.21</v>
      </c>
      <c r="D27" s="11">
        <v>27.86</v>
      </c>
      <c r="E27" s="15">
        <f t="shared" si="0"/>
        <v>0.43864334757250001</v>
      </c>
      <c r="F27" s="11">
        <v>224.07</v>
      </c>
      <c r="G27" s="11">
        <v>16.920000000000002</v>
      </c>
      <c r="H27" s="15">
        <f t="shared" si="1"/>
        <v>4.0092621030000011E-2</v>
      </c>
      <c r="I27" s="11">
        <v>452.94</v>
      </c>
      <c r="J27" s="11">
        <v>16.78</v>
      </c>
      <c r="K27" s="15">
        <f t="shared" si="2"/>
        <v>7.9708494434999999E-2</v>
      </c>
      <c r="L27" s="11"/>
      <c r="M27" s="11"/>
      <c r="N27" s="15"/>
      <c r="O27" s="11">
        <v>487.08</v>
      </c>
      <c r="P27" s="11">
        <v>16.11</v>
      </c>
      <c r="Q27" s="15">
        <f t="shared" si="4"/>
        <v>7.9008059542499981E-2</v>
      </c>
      <c r="R27" s="11"/>
      <c r="S27" s="11"/>
      <c r="T27" s="15"/>
      <c r="U27" s="11"/>
      <c r="V27" s="11"/>
      <c r="W27" s="15"/>
      <c r="X27" s="11"/>
      <c r="Y27" s="11"/>
      <c r="Z27" s="15"/>
      <c r="AA27" s="11"/>
      <c r="AB27" s="11"/>
      <c r="AC27" s="15"/>
      <c r="AD27" s="11"/>
      <c r="AE27" s="11"/>
      <c r="AF27" s="15"/>
      <c r="AG27" s="11"/>
      <c r="AH27" s="11"/>
      <c r="AI27" s="15"/>
      <c r="AJ27" s="11"/>
      <c r="AK27" s="11"/>
      <c r="AL27" s="15"/>
      <c r="AM27" s="11"/>
      <c r="AN27" s="11"/>
      <c r="AO27" s="15"/>
      <c r="AP27" s="11"/>
      <c r="AQ27" s="11"/>
      <c r="AR27" s="15"/>
      <c r="AS27" s="11"/>
      <c r="AT27" s="11"/>
      <c r="AU27" s="15"/>
      <c r="AV27" s="11"/>
      <c r="AW27" s="11"/>
      <c r="AX27" s="15"/>
      <c r="AY27" s="11"/>
      <c r="AZ27" s="11"/>
      <c r="BA27" s="15"/>
    </row>
    <row r="28" spans="3:53" x14ac:dyDescent="0.2">
      <c r="C28" s="11">
        <v>894.32</v>
      </c>
      <c r="D28" s="11">
        <v>25.72</v>
      </c>
      <c r="E28" s="15">
        <f t="shared" si="0"/>
        <v>0.36975570967999999</v>
      </c>
      <c r="F28" s="11">
        <v>223.46</v>
      </c>
      <c r="G28" s="11">
        <v>14.22</v>
      </c>
      <c r="H28" s="15">
        <f t="shared" si="1"/>
        <v>2.8240930665E-2</v>
      </c>
      <c r="I28" s="11">
        <v>413.01</v>
      </c>
      <c r="J28" s="11">
        <v>17.22</v>
      </c>
      <c r="K28" s="15">
        <f t="shared" si="2"/>
        <v>7.6543246552499999E-2</v>
      </c>
      <c r="L28" s="11"/>
      <c r="M28" s="11"/>
      <c r="N28" s="15"/>
      <c r="O28" s="11">
        <v>496.43</v>
      </c>
      <c r="P28" s="11">
        <v>19.399999999999999</v>
      </c>
      <c r="Q28" s="15">
        <f t="shared" si="4"/>
        <v>0.11677274674999999</v>
      </c>
      <c r="R28" s="11"/>
      <c r="S28" s="11"/>
      <c r="T28" s="15"/>
      <c r="U28" s="11"/>
      <c r="V28" s="11"/>
      <c r="W28" s="15"/>
      <c r="X28" s="11"/>
      <c r="Y28" s="11"/>
      <c r="Z28" s="15"/>
      <c r="AA28" s="11"/>
      <c r="AB28" s="11"/>
      <c r="AC28" s="15"/>
      <c r="AD28" s="11"/>
      <c r="AE28" s="11"/>
      <c r="AF28" s="15"/>
      <c r="AG28" s="11"/>
      <c r="AH28" s="11"/>
      <c r="AI28" s="15"/>
      <c r="AJ28" s="11"/>
      <c r="AK28" s="11"/>
      <c r="AL28" s="15"/>
      <c r="AM28" s="11"/>
      <c r="AN28" s="11"/>
      <c r="AO28" s="15"/>
      <c r="AP28" s="11"/>
      <c r="AQ28" s="11"/>
      <c r="AR28" s="15"/>
      <c r="AS28" s="11"/>
      <c r="AT28" s="11"/>
      <c r="AU28" s="15"/>
      <c r="AV28" s="11"/>
      <c r="AW28" s="11"/>
      <c r="AX28" s="15"/>
      <c r="AY28" s="11"/>
      <c r="AZ28" s="11"/>
      <c r="BA28" s="15"/>
    </row>
    <row r="29" spans="3:53" x14ac:dyDescent="0.2">
      <c r="C29" s="11">
        <v>954.57</v>
      </c>
      <c r="D29" s="11">
        <v>31.92</v>
      </c>
      <c r="E29" s="15">
        <f t="shared" si="0"/>
        <v>0.60787399428000011</v>
      </c>
      <c r="F29" s="11">
        <v>191.23</v>
      </c>
      <c r="G29" s="11">
        <v>17.989999999999998</v>
      </c>
      <c r="H29" s="15">
        <f t="shared" si="1"/>
        <v>3.8681060201874992E-2</v>
      </c>
      <c r="I29" s="11">
        <v>785.5</v>
      </c>
      <c r="J29" s="11">
        <v>25.96</v>
      </c>
      <c r="K29" s="15">
        <f t="shared" si="2"/>
        <v>0.33085338549999999</v>
      </c>
      <c r="L29" s="11"/>
      <c r="M29" s="11"/>
      <c r="N29" s="15"/>
      <c r="O29" s="11"/>
      <c r="P29" s="11"/>
      <c r="Q29" s="15"/>
      <c r="R29" s="11"/>
      <c r="S29" s="11"/>
      <c r="T29" s="15"/>
      <c r="U29" s="11"/>
      <c r="V29" s="11"/>
      <c r="W29" s="15"/>
      <c r="X29" s="11"/>
      <c r="Y29" s="11"/>
      <c r="Z29" s="15"/>
      <c r="AA29" s="11"/>
      <c r="AB29" s="11"/>
      <c r="AC29" s="15"/>
      <c r="AD29" s="11"/>
      <c r="AE29" s="11"/>
      <c r="AF29" s="15"/>
      <c r="AG29" s="11"/>
      <c r="AH29" s="11"/>
      <c r="AI29" s="15"/>
      <c r="AJ29" s="11"/>
      <c r="AK29" s="11"/>
      <c r="AL29" s="15"/>
      <c r="AM29" s="11"/>
      <c r="AN29" s="11"/>
      <c r="AO29" s="15"/>
      <c r="AP29" s="11"/>
      <c r="AQ29" s="11"/>
      <c r="AR29" s="15"/>
      <c r="AS29" s="11"/>
      <c r="AT29" s="11"/>
      <c r="AU29" s="15"/>
      <c r="AV29" s="11"/>
      <c r="AW29" s="11"/>
      <c r="AX29" s="15"/>
      <c r="AY29" s="11"/>
      <c r="AZ29" s="11"/>
      <c r="BA29" s="15"/>
    </row>
    <row r="30" spans="3:53" x14ac:dyDescent="0.2">
      <c r="C30" s="11">
        <v>767.52</v>
      </c>
      <c r="D30" s="11">
        <v>25.17</v>
      </c>
      <c r="E30" s="15">
        <f t="shared" si="0"/>
        <v>0.30390381332999999</v>
      </c>
      <c r="F30" s="11">
        <v>291.75</v>
      </c>
      <c r="G30" s="11">
        <v>15.55</v>
      </c>
      <c r="H30" s="15">
        <f t="shared" si="1"/>
        <v>4.4091174609375013E-2</v>
      </c>
      <c r="I30" s="11">
        <v>617.51</v>
      </c>
      <c r="J30" s="11">
        <v>27.29</v>
      </c>
      <c r="K30" s="15">
        <f t="shared" si="2"/>
        <v>0.28742933074437499</v>
      </c>
      <c r="L30" s="11"/>
      <c r="M30" s="11"/>
      <c r="N30" s="15"/>
      <c r="O30" s="11"/>
      <c r="P30" s="11"/>
      <c r="Q30" s="15"/>
      <c r="R30" s="11"/>
      <c r="S30" s="11"/>
      <c r="T30" s="15"/>
      <c r="U30" s="11"/>
      <c r="V30" s="11"/>
      <c r="W30" s="15"/>
      <c r="X30" s="11"/>
      <c r="Y30" s="11"/>
      <c r="Z30" s="15"/>
      <c r="AA30" s="11"/>
      <c r="AB30" s="11"/>
      <c r="AC30" s="15"/>
      <c r="AD30" s="11"/>
      <c r="AE30" s="11"/>
      <c r="AF30" s="15"/>
      <c r="AG30" s="11"/>
      <c r="AH30" s="11"/>
      <c r="AI30" s="15"/>
      <c r="AJ30" s="11"/>
      <c r="AK30" s="11"/>
      <c r="AL30" s="15"/>
      <c r="AM30" s="11"/>
      <c r="AN30" s="11"/>
      <c r="AO30" s="15"/>
      <c r="AP30" s="11"/>
      <c r="AQ30" s="11"/>
      <c r="AR30" s="15"/>
      <c r="AS30" s="11"/>
      <c r="AT30" s="11"/>
      <c r="AU30" s="15"/>
      <c r="AV30" s="11"/>
      <c r="AW30" s="11"/>
      <c r="AX30" s="15"/>
      <c r="AY30" s="11"/>
      <c r="AZ30" s="11"/>
      <c r="BA30" s="15"/>
    </row>
    <row r="31" spans="3:53" x14ac:dyDescent="0.2">
      <c r="C31" s="11">
        <v>855.94</v>
      </c>
      <c r="D31" s="11">
        <v>35.36</v>
      </c>
      <c r="E31" s="15">
        <f t="shared" si="0"/>
        <v>0.66887944864000004</v>
      </c>
      <c r="F31" s="11">
        <v>350.63</v>
      </c>
      <c r="G31" s="11">
        <v>20.88</v>
      </c>
      <c r="H31" s="15">
        <f t="shared" si="1"/>
        <v>9.5541064919999988E-2</v>
      </c>
      <c r="I31" s="11">
        <v>668.3</v>
      </c>
      <c r="J31" s="11">
        <v>21.27</v>
      </c>
      <c r="K31" s="15">
        <f t="shared" si="2"/>
        <v>0.18896721316874998</v>
      </c>
      <c r="L31" s="11"/>
      <c r="M31" s="11"/>
      <c r="N31" s="15"/>
      <c r="O31" s="11"/>
      <c r="P31" s="11"/>
      <c r="Q31" s="15"/>
      <c r="R31" s="11"/>
      <c r="S31" s="11"/>
      <c r="T31" s="15"/>
      <c r="U31" s="11"/>
      <c r="V31" s="11"/>
      <c r="W31" s="15"/>
      <c r="X31" s="11"/>
      <c r="Y31" s="11"/>
      <c r="Z31" s="15"/>
      <c r="AA31" s="11"/>
      <c r="AB31" s="11"/>
      <c r="AC31" s="15"/>
      <c r="AD31" s="11"/>
      <c r="AE31" s="11"/>
      <c r="AF31" s="15"/>
      <c r="AG31" s="11"/>
      <c r="AH31" s="11"/>
      <c r="AI31" s="15"/>
      <c r="AJ31" s="11"/>
      <c r="AK31" s="11"/>
      <c r="AL31" s="15"/>
      <c r="AM31" s="11"/>
      <c r="AN31" s="11"/>
      <c r="AO31" s="15"/>
      <c r="AP31" s="11"/>
      <c r="AQ31" s="11"/>
      <c r="AR31" s="15"/>
      <c r="AS31" s="11"/>
      <c r="AT31" s="11"/>
      <c r="AU31" s="15"/>
      <c r="AV31" s="11"/>
      <c r="AW31" s="11"/>
      <c r="AX31" s="15"/>
      <c r="AY31" s="11"/>
      <c r="AZ31" s="11"/>
      <c r="BA31" s="15"/>
    </row>
    <row r="32" spans="3:53" x14ac:dyDescent="0.2">
      <c r="C32" s="11">
        <v>1104.55</v>
      </c>
      <c r="D32" s="11">
        <v>35.57</v>
      </c>
      <c r="E32" s="15">
        <f t="shared" si="0"/>
        <v>0.87344010205937495</v>
      </c>
      <c r="F32" s="11">
        <v>223.44</v>
      </c>
      <c r="G32" s="11">
        <v>17.2</v>
      </c>
      <c r="H32" s="15">
        <f t="shared" si="1"/>
        <v>4.1314055999999995E-2</v>
      </c>
      <c r="I32" s="11">
        <v>295.3</v>
      </c>
      <c r="J32" s="11">
        <v>12.83</v>
      </c>
      <c r="K32" s="15">
        <f t="shared" si="2"/>
        <v>3.0380630106250001E-2</v>
      </c>
      <c r="L32" s="11"/>
      <c r="M32" s="11"/>
      <c r="N32" s="15"/>
      <c r="O32" s="11"/>
      <c r="P32" s="11"/>
      <c r="Q32" s="15"/>
      <c r="R32" s="11"/>
      <c r="S32" s="11"/>
      <c r="T32" s="15"/>
      <c r="U32" s="11"/>
      <c r="V32" s="11"/>
      <c r="W32" s="15"/>
      <c r="X32" s="11"/>
      <c r="Y32" s="11"/>
      <c r="Z32" s="15"/>
      <c r="AA32" s="11"/>
      <c r="AB32" s="11"/>
      <c r="AC32" s="15"/>
      <c r="AD32" s="11"/>
      <c r="AE32" s="11"/>
      <c r="AF32" s="15"/>
      <c r="AG32" s="11"/>
      <c r="AH32" s="11"/>
      <c r="AI32" s="15"/>
      <c r="AJ32" s="11"/>
      <c r="AK32" s="11"/>
      <c r="AL32" s="15"/>
      <c r="AM32" s="11"/>
      <c r="AN32" s="11"/>
      <c r="AO32" s="15"/>
      <c r="AP32" s="11"/>
      <c r="AQ32" s="11"/>
      <c r="AR32" s="15"/>
      <c r="AS32" s="11"/>
      <c r="AT32" s="11"/>
      <c r="AU32" s="15"/>
      <c r="AV32" s="11"/>
      <c r="AW32" s="11"/>
      <c r="AX32" s="15"/>
      <c r="AY32" s="11"/>
      <c r="AZ32" s="11"/>
      <c r="BA32" s="15"/>
    </row>
    <row r="33" spans="3:53" x14ac:dyDescent="0.2">
      <c r="C33" s="11">
        <v>1060.95</v>
      </c>
      <c r="D33" s="11">
        <v>41.12</v>
      </c>
      <c r="E33" s="15">
        <f t="shared" si="0"/>
        <v>1.1211949847999998</v>
      </c>
      <c r="F33" s="11">
        <v>218.78</v>
      </c>
      <c r="G33" s="11">
        <v>15.53</v>
      </c>
      <c r="H33" s="15">
        <f t="shared" si="1"/>
        <v>3.2978473313749999E-2</v>
      </c>
      <c r="I33" s="11">
        <v>741.31</v>
      </c>
      <c r="J33" s="11">
        <v>33</v>
      </c>
      <c r="K33" s="15">
        <f t="shared" si="2"/>
        <v>0.50455411875</v>
      </c>
      <c r="L33" s="11"/>
      <c r="M33" s="11"/>
      <c r="N33" s="15"/>
      <c r="O33" s="11"/>
      <c r="P33" s="11"/>
      <c r="Q33" s="15"/>
      <c r="R33" s="11"/>
      <c r="S33" s="11"/>
      <c r="T33" s="15"/>
      <c r="U33" s="11"/>
      <c r="V33" s="11"/>
      <c r="W33" s="15"/>
      <c r="X33" s="11"/>
      <c r="Y33" s="11"/>
      <c r="Z33" s="15"/>
      <c r="AA33" s="11"/>
      <c r="AB33" s="11"/>
      <c r="AC33" s="15"/>
      <c r="AD33" s="11"/>
      <c r="AE33" s="11"/>
      <c r="AF33" s="15"/>
      <c r="AG33" s="11"/>
      <c r="AH33" s="11"/>
      <c r="AI33" s="15"/>
      <c r="AJ33" s="11"/>
      <c r="AK33" s="11"/>
      <c r="AL33" s="15"/>
      <c r="AM33" s="11"/>
      <c r="AN33" s="11"/>
      <c r="AO33" s="15"/>
      <c r="AP33" s="11"/>
      <c r="AQ33" s="11"/>
      <c r="AR33" s="15"/>
      <c r="AS33" s="11"/>
      <c r="AT33" s="11"/>
      <c r="AU33" s="15"/>
      <c r="AV33" s="11"/>
      <c r="AW33" s="11"/>
      <c r="AX33" s="15"/>
      <c r="AY33" s="11"/>
      <c r="AZ33" s="11"/>
      <c r="BA33" s="15"/>
    </row>
    <row r="34" spans="3:53" x14ac:dyDescent="0.2">
      <c r="C34" s="11">
        <v>912.99</v>
      </c>
      <c r="D34" s="11">
        <v>28.58</v>
      </c>
      <c r="E34" s="15">
        <f t="shared" si="0"/>
        <v>0.46609075314749993</v>
      </c>
      <c r="F34" s="11">
        <v>411.19</v>
      </c>
      <c r="G34" s="11">
        <v>27.66</v>
      </c>
      <c r="H34" s="15">
        <f t="shared" si="1"/>
        <v>0.19661964747749999</v>
      </c>
      <c r="I34" s="11"/>
      <c r="J34" s="11"/>
      <c r="K34" s="15"/>
      <c r="L34" s="11"/>
      <c r="M34" s="11"/>
      <c r="N34" s="15"/>
      <c r="O34" s="11"/>
      <c r="P34" s="11"/>
      <c r="Q34" s="15"/>
      <c r="R34" s="11"/>
      <c r="S34" s="11"/>
      <c r="T34" s="15"/>
      <c r="U34" s="11"/>
      <c r="V34" s="11"/>
      <c r="W34" s="15"/>
      <c r="X34" s="11"/>
      <c r="Y34" s="11"/>
      <c r="Z34" s="15"/>
      <c r="AA34" s="11"/>
      <c r="AB34" s="11"/>
      <c r="AC34" s="15"/>
      <c r="AD34" s="11"/>
      <c r="AE34" s="11"/>
      <c r="AF34" s="15"/>
      <c r="AG34" s="11"/>
      <c r="AH34" s="11"/>
      <c r="AI34" s="15"/>
      <c r="AJ34" s="11"/>
      <c r="AK34" s="11"/>
      <c r="AL34" s="15"/>
      <c r="AM34" s="11"/>
      <c r="AN34" s="11"/>
      <c r="AO34" s="15"/>
      <c r="AP34" s="11"/>
      <c r="AQ34" s="11"/>
      <c r="AR34" s="15"/>
      <c r="AS34" s="11"/>
      <c r="AT34" s="11"/>
      <c r="AU34" s="15"/>
      <c r="AV34" s="11"/>
      <c r="AW34" s="11"/>
      <c r="AX34" s="15"/>
      <c r="AY34" s="11"/>
      <c r="AZ34" s="11"/>
      <c r="BA34" s="15"/>
    </row>
    <row r="35" spans="3:53" x14ac:dyDescent="0.2">
      <c r="C35" s="11">
        <v>1043.19</v>
      </c>
      <c r="D35" s="11">
        <v>31.31</v>
      </c>
      <c r="E35" s="15">
        <f t="shared" si="0"/>
        <v>0.63915997022437498</v>
      </c>
      <c r="F35" s="11"/>
      <c r="G35" s="11"/>
      <c r="H35" s="15"/>
      <c r="I35" s="11"/>
      <c r="J35" s="11"/>
      <c r="K35" s="15"/>
      <c r="L35" s="11"/>
      <c r="M35" s="11"/>
      <c r="N35" s="15"/>
      <c r="O35" s="11"/>
      <c r="P35" s="11"/>
      <c r="Q35" s="15"/>
      <c r="R35" s="11"/>
      <c r="S35" s="11"/>
      <c r="T35" s="15"/>
      <c r="U35" s="11"/>
      <c r="V35" s="11"/>
      <c r="W35" s="15"/>
      <c r="X35" s="11"/>
      <c r="Y35" s="11"/>
      <c r="Z35" s="15"/>
      <c r="AA35" s="11"/>
      <c r="AB35" s="11"/>
      <c r="AC35" s="15"/>
      <c r="AD35" s="11"/>
      <c r="AE35" s="11"/>
      <c r="AF35" s="15"/>
      <c r="AG35" s="11"/>
      <c r="AH35" s="11"/>
      <c r="AI35" s="15"/>
      <c r="AJ35" s="11"/>
      <c r="AK35" s="11"/>
      <c r="AL35" s="15"/>
      <c r="AM35" s="11"/>
      <c r="AN35" s="11"/>
      <c r="AO35" s="15"/>
      <c r="AP35" s="11"/>
      <c r="AQ35" s="11"/>
      <c r="AR35" s="15"/>
      <c r="AS35" s="11"/>
      <c r="AT35" s="11"/>
      <c r="AU35" s="15"/>
      <c r="AV35" s="11"/>
      <c r="AW35" s="11"/>
      <c r="AX35" s="15"/>
      <c r="AY35" s="11"/>
      <c r="AZ35" s="11"/>
      <c r="BA35" s="15"/>
    </row>
    <row r="36" spans="3:53" x14ac:dyDescent="0.2">
      <c r="C36" s="11">
        <v>817.82</v>
      </c>
      <c r="D36" s="11">
        <v>26</v>
      </c>
      <c r="E36" s="15">
        <f t="shared" si="0"/>
        <v>0.34552894999999995</v>
      </c>
      <c r="F36" s="11"/>
      <c r="G36" s="11"/>
      <c r="H36" s="15"/>
      <c r="I36" s="11"/>
      <c r="J36" s="11"/>
      <c r="K36" s="15"/>
      <c r="L36" s="11"/>
      <c r="M36" s="11"/>
      <c r="N36" s="15"/>
      <c r="O36" s="11"/>
      <c r="P36" s="11"/>
      <c r="Q36" s="15"/>
      <c r="R36" s="11"/>
      <c r="S36" s="11"/>
      <c r="T36" s="15"/>
      <c r="U36" s="11"/>
      <c r="V36" s="11"/>
      <c r="W36" s="15"/>
      <c r="X36" s="11"/>
      <c r="Y36" s="11"/>
      <c r="Z36" s="15"/>
      <c r="AA36" s="11"/>
      <c r="AB36" s="11"/>
      <c r="AC36" s="15"/>
      <c r="AD36" s="11"/>
      <c r="AE36" s="11"/>
      <c r="AF36" s="15"/>
      <c r="AG36" s="11"/>
      <c r="AH36" s="11"/>
      <c r="AI36" s="15"/>
      <c r="AJ36" s="11"/>
      <c r="AK36" s="11"/>
      <c r="AL36" s="15"/>
      <c r="AM36" s="11"/>
      <c r="AN36" s="11"/>
      <c r="AO36" s="15"/>
      <c r="AP36" s="11"/>
      <c r="AQ36" s="11"/>
      <c r="AR36" s="15"/>
      <c r="AS36" s="11"/>
      <c r="AT36" s="11"/>
      <c r="AU36" s="15"/>
      <c r="AV36" s="11"/>
      <c r="AW36" s="11"/>
      <c r="AX36" s="15"/>
      <c r="AY36" s="11"/>
      <c r="AZ36" s="11"/>
      <c r="BA36" s="15"/>
    </row>
    <row r="37" spans="3:53" x14ac:dyDescent="0.2">
      <c r="C37" s="11">
        <v>1029.6500000000001</v>
      </c>
      <c r="D37" s="11">
        <v>33.417999999999999</v>
      </c>
      <c r="E37" s="15">
        <f t="shared" si="0"/>
        <v>0.71867171172912514</v>
      </c>
      <c r="F37" s="11"/>
      <c r="G37" s="11"/>
      <c r="H37" s="15"/>
      <c r="I37" s="11"/>
      <c r="J37" s="11"/>
      <c r="K37" s="15"/>
      <c r="L37" s="11"/>
      <c r="M37" s="11"/>
      <c r="N37" s="15"/>
      <c r="O37" s="11"/>
      <c r="P37" s="11"/>
      <c r="Q37" s="15"/>
      <c r="R37" s="11"/>
      <c r="S37" s="11"/>
      <c r="T37" s="15"/>
      <c r="U37" s="11"/>
      <c r="V37" s="11"/>
      <c r="W37" s="15"/>
      <c r="X37" s="11"/>
      <c r="Y37" s="11"/>
      <c r="Z37" s="15"/>
      <c r="AA37" s="11"/>
      <c r="AB37" s="11"/>
      <c r="AC37" s="15"/>
      <c r="AD37" s="11"/>
      <c r="AE37" s="11"/>
      <c r="AF37" s="15"/>
      <c r="AG37" s="11"/>
      <c r="AH37" s="11"/>
      <c r="AI37" s="15"/>
      <c r="AJ37" s="11"/>
      <c r="AK37" s="11"/>
      <c r="AL37" s="15"/>
      <c r="AM37" s="11"/>
      <c r="AN37" s="11"/>
      <c r="AO37" s="15"/>
      <c r="AP37" s="11"/>
      <c r="AQ37" s="11"/>
      <c r="AR37" s="15"/>
      <c r="AS37" s="11"/>
      <c r="AT37" s="11"/>
      <c r="AU37" s="15"/>
      <c r="AV37" s="11"/>
      <c r="AW37" s="11"/>
      <c r="AX37" s="15"/>
      <c r="AY37" s="11"/>
      <c r="AZ37" s="11"/>
      <c r="BA37" s="15"/>
    </row>
    <row r="38" spans="3:53" x14ac:dyDescent="0.2">
      <c r="C38" s="11">
        <v>638.77</v>
      </c>
      <c r="D38" s="11">
        <v>24.64</v>
      </c>
      <c r="E38" s="15">
        <f t="shared" ref="E38:E52" si="17">(C38*D38*D38)/1600000</f>
        <v>0.24238510911999997</v>
      </c>
      <c r="F38" s="11"/>
      <c r="G38" s="11"/>
      <c r="H38" s="15"/>
      <c r="I38" s="11"/>
      <c r="J38" s="11"/>
      <c r="K38" s="15"/>
      <c r="L38" s="11"/>
      <c r="M38" s="11"/>
      <c r="N38" s="15"/>
      <c r="O38" s="11"/>
      <c r="P38" s="11"/>
      <c r="Q38" s="15"/>
      <c r="R38" s="11"/>
      <c r="S38" s="11"/>
      <c r="T38" s="15"/>
      <c r="U38" s="11"/>
      <c r="V38" s="11"/>
      <c r="W38" s="15"/>
      <c r="X38" s="11"/>
      <c r="Y38" s="11"/>
      <c r="Z38" s="15"/>
      <c r="AA38" s="11"/>
      <c r="AB38" s="11"/>
      <c r="AC38" s="15"/>
      <c r="AD38" s="11"/>
      <c r="AE38" s="11"/>
      <c r="AF38" s="15"/>
      <c r="AG38" s="11"/>
      <c r="AH38" s="11"/>
      <c r="AI38" s="15"/>
      <c r="AJ38" s="11"/>
      <c r="AK38" s="11"/>
      <c r="AL38" s="15"/>
      <c r="AM38" s="11"/>
      <c r="AN38" s="11"/>
      <c r="AO38" s="15"/>
      <c r="AP38" s="11"/>
      <c r="AQ38" s="11"/>
      <c r="AR38" s="15"/>
      <c r="AS38" s="11"/>
      <c r="AT38" s="11"/>
      <c r="AU38" s="15"/>
      <c r="AV38" s="11"/>
      <c r="AW38" s="11"/>
      <c r="AX38" s="15"/>
      <c r="AY38" s="11"/>
      <c r="AZ38" s="11"/>
      <c r="BA38" s="15"/>
    </row>
    <row r="39" spans="3:53" x14ac:dyDescent="0.2">
      <c r="C39" s="11">
        <v>656.89</v>
      </c>
      <c r="D39" s="11">
        <v>22.24</v>
      </c>
      <c r="E39" s="15">
        <f t="shared" si="17"/>
        <v>0.20306834703999996</v>
      </c>
      <c r="F39" s="11"/>
      <c r="G39" s="11"/>
      <c r="H39" s="15"/>
      <c r="I39" s="11"/>
      <c r="J39" s="11"/>
      <c r="K39" s="15"/>
      <c r="L39" s="11"/>
      <c r="M39" s="11"/>
      <c r="N39" s="15"/>
      <c r="O39" s="11"/>
      <c r="P39" s="11"/>
      <c r="Q39" s="15"/>
      <c r="R39" s="11"/>
      <c r="S39" s="11"/>
      <c r="T39" s="15"/>
      <c r="U39" s="11"/>
      <c r="V39" s="11"/>
      <c r="W39" s="15"/>
      <c r="X39" s="11"/>
      <c r="Y39" s="11"/>
      <c r="Z39" s="15"/>
      <c r="AA39" s="11"/>
      <c r="AB39" s="11"/>
      <c r="AC39" s="15"/>
      <c r="AD39" s="11"/>
      <c r="AE39" s="11"/>
      <c r="AF39" s="15"/>
      <c r="AG39" s="11"/>
      <c r="AH39" s="11"/>
      <c r="AI39" s="15"/>
      <c r="AJ39" s="11"/>
      <c r="AK39" s="11"/>
      <c r="AL39" s="15"/>
      <c r="AM39" s="11"/>
      <c r="AN39" s="11"/>
      <c r="AO39" s="15"/>
      <c r="AP39" s="11"/>
      <c r="AQ39" s="11"/>
      <c r="AR39" s="15"/>
      <c r="AS39" s="11"/>
      <c r="AT39" s="11"/>
      <c r="AU39" s="15"/>
      <c r="AV39" s="11"/>
      <c r="AW39" s="11"/>
      <c r="AX39" s="15"/>
      <c r="AY39" s="11"/>
      <c r="AZ39" s="11"/>
      <c r="BA39" s="15"/>
    </row>
    <row r="40" spans="3:53" x14ac:dyDescent="0.2">
      <c r="C40" s="11">
        <v>940.65</v>
      </c>
      <c r="D40" s="11">
        <v>25.43</v>
      </c>
      <c r="E40" s="15">
        <f t="shared" si="17"/>
        <v>0.38019009449062496</v>
      </c>
      <c r="F40" s="11"/>
      <c r="G40" s="11"/>
      <c r="H40" s="15"/>
      <c r="I40" s="11"/>
      <c r="J40" s="11"/>
      <c r="K40" s="15"/>
      <c r="L40" s="11"/>
      <c r="M40" s="11"/>
      <c r="N40" s="15"/>
      <c r="O40" s="11"/>
      <c r="P40" s="11"/>
      <c r="Q40" s="15"/>
      <c r="R40" s="11"/>
      <c r="S40" s="11"/>
      <c r="T40" s="15"/>
      <c r="U40" s="11"/>
      <c r="V40" s="11"/>
      <c r="W40" s="15"/>
      <c r="X40" s="11"/>
      <c r="Y40" s="11"/>
      <c r="Z40" s="15"/>
      <c r="AA40" s="11"/>
      <c r="AB40" s="11"/>
      <c r="AC40" s="15"/>
      <c r="AD40" s="11"/>
      <c r="AE40" s="11"/>
      <c r="AF40" s="15"/>
      <c r="AG40" s="11"/>
      <c r="AH40" s="11"/>
      <c r="AI40" s="15"/>
      <c r="AJ40" s="11"/>
      <c r="AK40" s="11"/>
      <c r="AL40" s="15"/>
      <c r="AM40" s="11"/>
      <c r="AN40" s="11"/>
      <c r="AO40" s="15"/>
      <c r="AP40" s="11"/>
      <c r="AQ40" s="11"/>
      <c r="AR40" s="15"/>
      <c r="AS40" s="11"/>
      <c r="AT40" s="11"/>
      <c r="AU40" s="15"/>
      <c r="AV40" s="11"/>
      <c r="AW40" s="11"/>
      <c r="AX40" s="15"/>
      <c r="AY40" s="11"/>
      <c r="AZ40" s="11"/>
      <c r="BA40" s="15"/>
    </row>
    <row r="41" spans="3:53" x14ac:dyDescent="0.2">
      <c r="C41" s="11">
        <v>841.75</v>
      </c>
      <c r="D41" s="11">
        <v>25.91</v>
      </c>
      <c r="E41" s="15">
        <f t="shared" si="17"/>
        <v>0.353181517609375</v>
      </c>
      <c r="F41" s="11"/>
      <c r="G41" s="11"/>
      <c r="H41" s="15"/>
      <c r="I41" s="11"/>
      <c r="J41" s="11"/>
      <c r="K41" s="15"/>
      <c r="L41" s="11"/>
      <c r="M41" s="11"/>
      <c r="N41" s="15"/>
      <c r="O41" s="11"/>
      <c r="P41" s="11"/>
      <c r="Q41" s="15"/>
      <c r="R41" s="11"/>
      <c r="S41" s="11"/>
      <c r="T41" s="15"/>
      <c r="U41" s="11"/>
      <c r="V41" s="11"/>
      <c r="W41" s="15"/>
      <c r="X41" s="11"/>
      <c r="Y41" s="11"/>
      <c r="Z41" s="15"/>
      <c r="AA41" s="11"/>
      <c r="AB41" s="11"/>
      <c r="AC41" s="15"/>
      <c r="AD41" s="11"/>
      <c r="AE41" s="11"/>
      <c r="AF41" s="15"/>
      <c r="AG41" s="11"/>
      <c r="AH41" s="11"/>
      <c r="AI41" s="15"/>
      <c r="AJ41" s="11"/>
      <c r="AK41" s="11"/>
      <c r="AL41" s="15"/>
      <c r="AM41" s="11"/>
      <c r="AN41" s="11"/>
      <c r="AO41" s="15"/>
      <c r="AP41" s="11"/>
      <c r="AQ41" s="11"/>
      <c r="AR41" s="15"/>
      <c r="AS41" s="11"/>
      <c r="AT41" s="11"/>
      <c r="AU41" s="15"/>
      <c r="AV41" s="11"/>
      <c r="AW41" s="11"/>
      <c r="AX41" s="15"/>
      <c r="AY41" s="11"/>
      <c r="AZ41" s="11"/>
      <c r="BA41" s="15"/>
    </row>
    <row r="42" spans="3:53" x14ac:dyDescent="0.2">
      <c r="C42" s="11">
        <v>357.65</v>
      </c>
      <c r="D42" s="11">
        <v>18.260000000000002</v>
      </c>
      <c r="E42" s="15">
        <f t="shared" si="17"/>
        <v>7.4531488212500011E-2</v>
      </c>
      <c r="F42" s="11"/>
      <c r="G42" s="11"/>
      <c r="H42" s="15"/>
      <c r="I42" s="11"/>
      <c r="J42" s="11"/>
      <c r="K42" s="15"/>
      <c r="L42" s="11"/>
      <c r="M42" s="11"/>
      <c r="N42" s="15"/>
      <c r="O42" s="11"/>
      <c r="P42" s="11"/>
      <c r="Q42" s="15"/>
      <c r="R42" s="11"/>
      <c r="S42" s="11"/>
      <c r="T42" s="15"/>
      <c r="U42" s="11"/>
      <c r="V42" s="11"/>
      <c r="W42" s="15"/>
      <c r="X42" s="11"/>
      <c r="Y42" s="11"/>
      <c r="Z42" s="15"/>
      <c r="AA42" s="11"/>
      <c r="AB42" s="11"/>
      <c r="AC42" s="15"/>
      <c r="AD42" s="11"/>
      <c r="AE42" s="11"/>
      <c r="AF42" s="15"/>
      <c r="AG42" s="11"/>
      <c r="AH42" s="11"/>
      <c r="AI42" s="15"/>
      <c r="AJ42" s="11"/>
      <c r="AK42" s="11"/>
      <c r="AL42" s="15"/>
      <c r="AM42" s="11"/>
      <c r="AN42" s="11"/>
      <c r="AO42" s="15"/>
      <c r="AP42" s="11"/>
      <c r="AQ42" s="11"/>
      <c r="AR42" s="15"/>
      <c r="AS42" s="11"/>
      <c r="AT42" s="11"/>
      <c r="AU42" s="15"/>
      <c r="AV42" s="11"/>
      <c r="AW42" s="11"/>
      <c r="AX42" s="15"/>
      <c r="AY42" s="11"/>
      <c r="AZ42" s="11"/>
      <c r="BA42" s="15"/>
    </row>
    <row r="43" spans="3:53" x14ac:dyDescent="0.2">
      <c r="C43" s="11">
        <v>476.41</v>
      </c>
      <c r="D43" s="11">
        <v>18.88</v>
      </c>
      <c r="E43" s="15">
        <f t="shared" si="17"/>
        <v>0.10613652544</v>
      </c>
      <c r="F43" s="11"/>
      <c r="G43" s="11"/>
      <c r="H43" s="15"/>
      <c r="I43" s="11"/>
      <c r="J43" s="11"/>
      <c r="K43" s="15"/>
      <c r="L43" s="11"/>
      <c r="M43" s="11"/>
      <c r="N43" s="15"/>
      <c r="O43" s="11"/>
      <c r="P43" s="11"/>
      <c r="Q43" s="15"/>
      <c r="R43" s="11"/>
      <c r="S43" s="11"/>
      <c r="T43" s="15"/>
      <c r="U43" s="11"/>
      <c r="V43" s="11"/>
      <c r="W43" s="15"/>
      <c r="X43" s="11"/>
      <c r="Y43" s="11"/>
      <c r="Z43" s="15"/>
      <c r="AA43" s="11"/>
      <c r="AB43" s="11"/>
      <c r="AC43" s="15"/>
      <c r="AD43" s="11"/>
      <c r="AE43" s="11"/>
      <c r="AF43" s="15"/>
      <c r="AG43" s="11"/>
      <c r="AH43" s="11"/>
      <c r="AI43" s="15"/>
      <c r="AJ43" s="11"/>
      <c r="AK43" s="11"/>
      <c r="AL43" s="15"/>
      <c r="AM43" s="11"/>
      <c r="AN43" s="11"/>
      <c r="AO43" s="15"/>
      <c r="AP43" s="11"/>
      <c r="AQ43" s="11"/>
      <c r="AR43" s="15"/>
      <c r="AS43" s="11"/>
      <c r="AT43" s="11"/>
      <c r="AU43" s="15"/>
      <c r="AV43" s="11"/>
      <c r="AW43" s="11"/>
      <c r="AX43" s="15"/>
      <c r="AY43" s="11"/>
      <c r="AZ43" s="11"/>
      <c r="BA43" s="15"/>
    </row>
    <row r="44" spans="3:53" x14ac:dyDescent="0.2">
      <c r="C44" s="11">
        <v>356.33</v>
      </c>
      <c r="D44" s="11">
        <v>15.24</v>
      </c>
      <c r="E44" s="15">
        <f t="shared" si="17"/>
        <v>5.1725219129999993E-2</v>
      </c>
      <c r="F44" s="11"/>
      <c r="G44" s="11"/>
      <c r="H44" s="15"/>
      <c r="I44" s="11"/>
      <c r="J44" s="11"/>
      <c r="K44" s="15"/>
      <c r="L44" s="11"/>
      <c r="M44" s="11"/>
      <c r="N44" s="15"/>
      <c r="O44" s="11"/>
      <c r="P44" s="11"/>
      <c r="Q44" s="15"/>
      <c r="R44" s="11"/>
      <c r="S44" s="11"/>
      <c r="T44" s="15"/>
      <c r="U44" s="11"/>
      <c r="V44" s="11"/>
      <c r="W44" s="15"/>
      <c r="X44" s="11"/>
      <c r="Y44" s="11"/>
      <c r="Z44" s="15"/>
      <c r="AA44" s="11"/>
      <c r="AB44" s="11"/>
      <c r="AC44" s="15"/>
      <c r="AD44" s="11"/>
      <c r="AE44" s="11"/>
      <c r="AF44" s="15"/>
      <c r="AG44" s="11"/>
      <c r="AH44" s="11"/>
      <c r="AI44" s="15"/>
      <c r="AJ44" s="11"/>
      <c r="AK44" s="11"/>
      <c r="AL44" s="15"/>
      <c r="AM44" s="11"/>
      <c r="AN44" s="11"/>
      <c r="AO44" s="15"/>
      <c r="AP44" s="11"/>
      <c r="AQ44" s="11"/>
      <c r="AR44" s="15"/>
      <c r="AS44" s="11"/>
      <c r="AT44" s="11"/>
      <c r="AU44" s="15"/>
      <c r="AV44" s="11"/>
      <c r="AW44" s="11"/>
      <c r="AX44" s="15"/>
      <c r="AY44" s="11"/>
      <c r="AZ44" s="11"/>
      <c r="BA44" s="15"/>
    </row>
    <row r="45" spans="3:53" x14ac:dyDescent="0.2">
      <c r="C45" s="11">
        <v>713.15</v>
      </c>
      <c r="D45" s="11">
        <v>23.78</v>
      </c>
      <c r="E45" s="15">
        <f t="shared" si="17"/>
        <v>0.25204878278749998</v>
      </c>
      <c r="F45" s="11"/>
      <c r="G45" s="11"/>
      <c r="H45" s="15"/>
      <c r="I45" s="11"/>
      <c r="J45" s="11"/>
      <c r="K45" s="15"/>
      <c r="L45" s="11"/>
      <c r="M45" s="11"/>
      <c r="N45" s="15"/>
      <c r="O45" s="11"/>
      <c r="P45" s="11"/>
      <c r="Q45" s="15"/>
      <c r="R45" s="11"/>
      <c r="S45" s="11"/>
      <c r="T45" s="15"/>
      <c r="U45" s="11"/>
      <c r="V45" s="11"/>
      <c r="W45" s="15"/>
      <c r="X45" s="11"/>
      <c r="Y45" s="11"/>
      <c r="Z45" s="15"/>
      <c r="AA45" s="11"/>
      <c r="AB45" s="11"/>
      <c r="AC45" s="15"/>
      <c r="AD45" s="11"/>
      <c r="AE45" s="11"/>
      <c r="AF45" s="15"/>
      <c r="AG45" s="11"/>
      <c r="AH45" s="11"/>
      <c r="AI45" s="15"/>
      <c r="AJ45" s="11"/>
      <c r="AK45" s="11"/>
      <c r="AL45" s="15"/>
      <c r="AM45" s="11"/>
      <c r="AN45" s="11"/>
      <c r="AO45" s="15"/>
      <c r="AP45" s="11"/>
      <c r="AQ45" s="11"/>
      <c r="AR45" s="15"/>
      <c r="AS45" s="11"/>
      <c r="AT45" s="11"/>
      <c r="AU45" s="15"/>
      <c r="AV45" s="11"/>
      <c r="AW45" s="11"/>
      <c r="AX45" s="15"/>
      <c r="AY45" s="11"/>
      <c r="AZ45" s="11"/>
      <c r="BA45" s="15"/>
    </row>
    <row r="46" spans="3:53" x14ac:dyDescent="0.2">
      <c r="C46" s="11">
        <v>389.27</v>
      </c>
      <c r="D46" s="11">
        <v>16.88</v>
      </c>
      <c r="E46" s="15">
        <f t="shared" si="17"/>
        <v>6.9322758679999985E-2</v>
      </c>
      <c r="F46" s="11"/>
      <c r="G46" s="11"/>
      <c r="H46" s="15"/>
      <c r="I46" s="11"/>
      <c r="J46" s="11"/>
      <c r="K46" s="15"/>
      <c r="L46" s="11"/>
      <c r="M46" s="11"/>
      <c r="N46" s="15"/>
      <c r="O46" s="11"/>
      <c r="P46" s="11"/>
      <c r="Q46" s="15"/>
      <c r="R46" s="11"/>
      <c r="S46" s="11"/>
      <c r="T46" s="15"/>
      <c r="U46" s="11"/>
      <c r="V46" s="11"/>
      <c r="W46" s="15"/>
      <c r="X46" s="11"/>
      <c r="Y46" s="11"/>
      <c r="Z46" s="15"/>
      <c r="AA46" s="11"/>
      <c r="AB46" s="11"/>
      <c r="AC46" s="15"/>
      <c r="AD46" s="11"/>
      <c r="AE46" s="11"/>
      <c r="AF46" s="15"/>
      <c r="AG46" s="11"/>
      <c r="AH46" s="11"/>
      <c r="AI46" s="15"/>
      <c r="AJ46" s="11"/>
      <c r="AK46" s="11"/>
      <c r="AL46" s="15"/>
      <c r="AM46" s="11"/>
      <c r="AN46" s="11"/>
      <c r="AO46" s="15"/>
      <c r="AP46" s="11"/>
      <c r="AQ46" s="11"/>
      <c r="AR46" s="15"/>
      <c r="AS46" s="11"/>
      <c r="AT46" s="11"/>
      <c r="AU46" s="15"/>
      <c r="AV46" s="11"/>
      <c r="AW46" s="11"/>
      <c r="AX46" s="15"/>
      <c r="AY46" s="11"/>
      <c r="AZ46" s="11"/>
      <c r="BA46" s="15"/>
    </row>
    <row r="47" spans="3:53" x14ac:dyDescent="0.2">
      <c r="C47" s="11">
        <v>526.15</v>
      </c>
      <c r="D47" s="11">
        <v>18.82</v>
      </c>
      <c r="E47" s="15">
        <f t="shared" si="17"/>
        <v>0.11647395703750001</v>
      </c>
      <c r="F47" s="11"/>
      <c r="G47" s="11"/>
      <c r="H47" s="15"/>
      <c r="I47" s="11"/>
      <c r="J47" s="11"/>
      <c r="K47" s="15"/>
      <c r="L47" s="11"/>
      <c r="M47" s="11"/>
      <c r="N47" s="15"/>
      <c r="O47" s="11"/>
      <c r="P47" s="11"/>
      <c r="Q47" s="15"/>
      <c r="R47" s="11"/>
      <c r="S47" s="11"/>
      <c r="T47" s="15"/>
      <c r="U47" s="11"/>
      <c r="V47" s="11"/>
      <c r="W47" s="15"/>
      <c r="X47" s="11"/>
      <c r="Y47" s="11"/>
      <c r="Z47" s="15"/>
      <c r="AA47" s="11"/>
      <c r="AB47" s="11"/>
      <c r="AC47" s="15"/>
      <c r="AD47" s="11"/>
      <c r="AE47" s="11"/>
      <c r="AF47" s="15"/>
      <c r="AG47" s="11"/>
      <c r="AH47" s="11"/>
      <c r="AI47" s="15"/>
      <c r="AJ47" s="11"/>
      <c r="AK47" s="11"/>
      <c r="AL47" s="15"/>
      <c r="AM47" s="11"/>
      <c r="AN47" s="11"/>
      <c r="AO47" s="15"/>
      <c r="AP47" s="11"/>
      <c r="AQ47" s="11"/>
      <c r="AR47" s="15"/>
      <c r="AS47" s="11"/>
      <c r="AT47" s="11"/>
      <c r="AU47" s="15"/>
      <c r="AV47" s="11"/>
      <c r="AW47" s="11"/>
      <c r="AX47" s="15"/>
      <c r="AY47" s="11"/>
      <c r="AZ47" s="11"/>
      <c r="BA47" s="15"/>
    </row>
    <row r="48" spans="3:53" x14ac:dyDescent="0.2">
      <c r="C48" s="11">
        <v>935</v>
      </c>
      <c r="D48" s="11">
        <v>28.77</v>
      </c>
      <c r="E48" s="15">
        <f t="shared" si="17"/>
        <v>0.48369472593749996</v>
      </c>
      <c r="F48" s="11"/>
      <c r="G48" s="11"/>
      <c r="H48" s="15"/>
      <c r="I48" s="11"/>
      <c r="J48" s="11"/>
      <c r="K48" s="15"/>
      <c r="L48" s="11"/>
      <c r="M48" s="11"/>
      <c r="N48" s="15"/>
      <c r="O48" s="11"/>
      <c r="P48" s="11"/>
      <c r="Q48" s="15"/>
      <c r="R48" s="11"/>
      <c r="S48" s="11"/>
      <c r="T48" s="15"/>
      <c r="U48" s="11"/>
      <c r="V48" s="11"/>
      <c r="W48" s="15"/>
      <c r="X48" s="11"/>
      <c r="Y48" s="11"/>
      <c r="Z48" s="15"/>
      <c r="AA48" s="11"/>
      <c r="AB48" s="11"/>
      <c r="AC48" s="15"/>
      <c r="AD48" s="11"/>
      <c r="AE48" s="11"/>
      <c r="AF48" s="15"/>
      <c r="AG48" s="11"/>
      <c r="AH48" s="11"/>
      <c r="AI48" s="15"/>
      <c r="AJ48" s="11"/>
      <c r="AK48" s="11"/>
      <c r="AL48" s="15"/>
      <c r="AM48" s="11"/>
      <c r="AN48" s="11"/>
      <c r="AO48" s="15"/>
      <c r="AP48" s="11"/>
      <c r="AQ48" s="11"/>
      <c r="AR48" s="15"/>
      <c r="AS48" s="11"/>
      <c r="AT48" s="11"/>
      <c r="AU48" s="15"/>
      <c r="AV48" s="11"/>
      <c r="AW48" s="11"/>
      <c r="AX48" s="15"/>
      <c r="AY48" s="11"/>
      <c r="AZ48" s="11"/>
      <c r="BA48" s="15"/>
    </row>
    <row r="49" spans="3:53" x14ac:dyDescent="0.2">
      <c r="C49" s="11">
        <v>574.03</v>
      </c>
      <c r="D49" s="11">
        <v>18.27</v>
      </c>
      <c r="E49" s="15">
        <f t="shared" si="17"/>
        <v>0.11975446149187499</v>
      </c>
      <c r="F49" s="11"/>
      <c r="G49" s="11"/>
      <c r="H49" s="15"/>
      <c r="I49" s="11"/>
      <c r="J49" s="11"/>
      <c r="K49" s="15"/>
      <c r="L49" s="11"/>
      <c r="M49" s="11"/>
      <c r="N49" s="15"/>
      <c r="O49" s="11"/>
      <c r="P49" s="11"/>
      <c r="Q49" s="15"/>
      <c r="R49" s="11"/>
      <c r="S49" s="11"/>
      <c r="T49" s="15"/>
      <c r="U49" s="11"/>
      <c r="V49" s="11"/>
      <c r="W49" s="15"/>
      <c r="X49" s="11"/>
      <c r="Y49" s="11"/>
      <c r="Z49" s="15"/>
      <c r="AA49" s="11"/>
      <c r="AB49" s="11"/>
      <c r="AC49" s="15"/>
      <c r="AD49" s="11"/>
      <c r="AE49" s="11"/>
      <c r="AF49" s="15"/>
      <c r="AG49" s="11"/>
      <c r="AH49" s="11"/>
      <c r="AI49" s="15"/>
      <c r="AJ49" s="11"/>
      <c r="AK49" s="11"/>
      <c r="AL49" s="15"/>
      <c r="AM49" s="11"/>
      <c r="AN49" s="11"/>
      <c r="AO49" s="15"/>
      <c r="AP49" s="11"/>
      <c r="AQ49" s="11"/>
      <c r="AR49" s="15"/>
      <c r="AS49" s="11"/>
      <c r="AT49" s="11"/>
      <c r="AU49" s="15"/>
      <c r="AV49" s="11"/>
      <c r="AW49" s="11"/>
      <c r="AX49" s="15"/>
      <c r="AY49" s="11"/>
      <c r="AZ49" s="11"/>
      <c r="BA49" s="15"/>
    </row>
    <row r="50" spans="3:53" x14ac:dyDescent="0.2">
      <c r="C50" s="11">
        <v>1005.39</v>
      </c>
      <c r="D50" s="11">
        <v>26.39</v>
      </c>
      <c r="E50" s="15">
        <f t="shared" si="17"/>
        <v>0.43761616813687498</v>
      </c>
      <c r="F50" s="11"/>
      <c r="G50" s="11"/>
      <c r="H50" s="15"/>
      <c r="I50" s="11"/>
      <c r="J50" s="11"/>
      <c r="K50" s="15"/>
      <c r="L50" s="11"/>
      <c r="M50" s="11"/>
      <c r="N50" s="15"/>
      <c r="O50" s="11"/>
      <c r="P50" s="11"/>
      <c r="Q50" s="15"/>
      <c r="R50" s="11"/>
      <c r="S50" s="11"/>
      <c r="T50" s="15"/>
      <c r="U50" s="11"/>
      <c r="V50" s="11"/>
      <c r="W50" s="15"/>
      <c r="X50" s="11"/>
      <c r="Y50" s="11"/>
      <c r="Z50" s="15"/>
      <c r="AA50" s="11"/>
      <c r="AB50" s="11"/>
      <c r="AC50" s="15"/>
      <c r="AD50" s="11"/>
      <c r="AE50" s="11"/>
      <c r="AF50" s="15"/>
      <c r="AG50" s="11"/>
      <c r="AH50" s="11"/>
      <c r="AI50" s="15"/>
      <c r="AJ50" s="11"/>
      <c r="AK50" s="11"/>
      <c r="AL50" s="15"/>
      <c r="AM50" s="11"/>
      <c r="AN50" s="11"/>
      <c r="AO50" s="15"/>
      <c r="AP50" s="11"/>
      <c r="AQ50" s="11"/>
      <c r="AR50" s="15"/>
      <c r="AS50" s="11"/>
      <c r="AT50" s="11"/>
      <c r="AU50" s="15"/>
      <c r="AV50" s="11"/>
      <c r="AW50" s="11"/>
      <c r="AX50" s="15"/>
      <c r="AY50" s="11"/>
      <c r="AZ50" s="11"/>
      <c r="BA50" s="15"/>
    </row>
    <row r="51" spans="3:53" x14ac:dyDescent="0.2">
      <c r="C51" s="11">
        <v>632.85</v>
      </c>
      <c r="D51" s="11">
        <v>22.93</v>
      </c>
      <c r="E51" s="15">
        <f t="shared" si="17"/>
        <v>0.20796435872812502</v>
      </c>
      <c r="F51" s="11"/>
      <c r="G51" s="11"/>
      <c r="H51" s="15"/>
      <c r="I51" s="11"/>
      <c r="J51" s="11"/>
      <c r="K51" s="15"/>
      <c r="L51" s="11"/>
      <c r="M51" s="11"/>
      <c r="N51" s="15"/>
      <c r="O51" s="11"/>
      <c r="P51" s="11"/>
      <c r="Q51" s="15"/>
      <c r="R51" s="11"/>
      <c r="S51" s="11"/>
      <c r="T51" s="15"/>
      <c r="U51" s="11"/>
      <c r="V51" s="11"/>
      <c r="W51" s="15"/>
      <c r="X51" s="11"/>
      <c r="Y51" s="11"/>
      <c r="Z51" s="15"/>
      <c r="AA51" s="11"/>
      <c r="AB51" s="11"/>
      <c r="AC51" s="15"/>
      <c r="AD51" s="11"/>
      <c r="AE51" s="11"/>
      <c r="AF51" s="15"/>
      <c r="AG51" s="11"/>
      <c r="AH51" s="11"/>
      <c r="AI51" s="15"/>
      <c r="AJ51" s="11"/>
      <c r="AK51" s="11"/>
      <c r="AL51" s="15"/>
      <c r="AM51" s="11"/>
      <c r="AN51" s="11"/>
      <c r="AO51" s="15"/>
      <c r="AP51" s="11"/>
      <c r="AQ51" s="11"/>
      <c r="AR51" s="15"/>
      <c r="AS51" s="11"/>
      <c r="AT51" s="11"/>
      <c r="AU51" s="15"/>
      <c r="AV51" s="11"/>
      <c r="AW51" s="11"/>
      <c r="AX51" s="15"/>
      <c r="AY51" s="11"/>
      <c r="AZ51" s="11"/>
      <c r="BA51" s="15"/>
    </row>
    <row r="52" spans="3:53" x14ac:dyDescent="0.2">
      <c r="C52" s="11">
        <v>892.17</v>
      </c>
      <c r="D52" s="11">
        <v>32.119999999999997</v>
      </c>
      <c r="E52" s="15">
        <f t="shared" si="17"/>
        <v>0.57527924552999987</v>
      </c>
      <c r="F52" s="11"/>
      <c r="G52" s="11"/>
      <c r="H52" s="15"/>
      <c r="I52" s="11"/>
      <c r="J52" s="11"/>
      <c r="K52" s="15"/>
      <c r="L52" s="11"/>
      <c r="M52" s="11"/>
      <c r="N52" s="15"/>
      <c r="O52" s="11"/>
      <c r="P52" s="11"/>
      <c r="Q52" s="15"/>
      <c r="R52" s="11"/>
      <c r="S52" s="11"/>
      <c r="T52" s="15"/>
      <c r="U52" s="11"/>
      <c r="V52" s="11"/>
      <c r="W52" s="15"/>
      <c r="X52" s="11"/>
      <c r="Y52" s="11"/>
      <c r="Z52" s="15"/>
      <c r="AA52" s="11"/>
      <c r="AB52" s="11"/>
      <c r="AC52" s="15"/>
      <c r="AD52" s="11"/>
      <c r="AE52" s="11"/>
      <c r="AF52" s="15"/>
      <c r="AG52" s="11"/>
      <c r="AH52" s="11"/>
      <c r="AI52" s="15"/>
      <c r="AJ52" s="11"/>
      <c r="AK52" s="11"/>
      <c r="AL52" s="15"/>
      <c r="AM52" s="11"/>
      <c r="AN52" s="11"/>
      <c r="AO52" s="15"/>
      <c r="AP52" s="11"/>
      <c r="AQ52" s="11"/>
      <c r="AR52" s="15"/>
      <c r="AS52" s="11"/>
      <c r="AT52" s="11"/>
      <c r="AU52" s="15"/>
      <c r="AV52" s="11"/>
      <c r="AW52" s="11"/>
      <c r="AX52" s="15"/>
      <c r="AY52" s="11"/>
      <c r="AZ52" s="11"/>
      <c r="BA52" s="15"/>
    </row>
    <row r="53" spans="3:53" x14ac:dyDescent="0.2">
      <c r="E53" s="15"/>
      <c r="H53" s="15"/>
      <c r="K53" s="15"/>
      <c r="N53" s="15"/>
      <c r="Q53" s="15"/>
      <c r="T53" s="15"/>
      <c r="W53" s="15"/>
      <c r="Z53" s="15"/>
      <c r="AC53" s="15"/>
      <c r="AF53" s="15"/>
      <c r="AI53" s="15"/>
      <c r="AL53" s="15"/>
      <c r="AO53" s="15"/>
      <c r="AR53" s="15"/>
      <c r="AU53" s="15"/>
      <c r="AX53" s="15"/>
      <c r="BA53" s="15"/>
    </row>
    <row r="54" spans="3:53" x14ac:dyDescent="0.2">
      <c r="E54" s="15"/>
      <c r="H54" s="15"/>
      <c r="K54" s="15"/>
      <c r="N54" s="15"/>
      <c r="Q54" s="15"/>
      <c r="T54" s="15"/>
      <c r="W54" s="15"/>
      <c r="Z54" s="15"/>
      <c r="AC54" s="15"/>
      <c r="AF54" s="15"/>
      <c r="AI54" s="15"/>
      <c r="AL54" s="15"/>
      <c r="AO54" s="15"/>
      <c r="AR54" s="15"/>
      <c r="AU54" s="15"/>
      <c r="AX54" s="15"/>
      <c r="BA54" s="15"/>
    </row>
    <row r="55" spans="3:53" x14ac:dyDescent="0.2">
      <c r="E55" s="15"/>
      <c r="H55" s="15"/>
      <c r="K55" s="15"/>
      <c r="N55" s="15"/>
      <c r="Q55" s="15"/>
      <c r="T55" s="15"/>
      <c r="W55" s="15"/>
      <c r="Z55" s="15"/>
      <c r="AC55" s="15"/>
      <c r="AF55" s="15"/>
      <c r="AI55" s="15"/>
      <c r="AL55" s="15"/>
      <c r="AO55" s="15"/>
      <c r="AR55" s="15"/>
      <c r="AU55" s="15"/>
      <c r="AX55" s="15"/>
      <c r="BA55" s="15"/>
    </row>
    <row r="56" spans="3:53" x14ac:dyDescent="0.2">
      <c r="E56" s="15"/>
      <c r="H56" s="15"/>
      <c r="K56" s="15"/>
      <c r="N56" s="15"/>
      <c r="Q56" s="15"/>
      <c r="T56" s="15"/>
      <c r="W56" s="15"/>
      <c r="Z56" s="15"/>
      <c r="AC56" s="15"/>
      <c r="AF56" s="15"/>
      <c r="AI56" s="15"/>
      <c r="AL56" s="15"/>
      <c r="AO56" s="15"/>
      <c r="AR56" s="15"/>
      <c r="AU56" s="15"/>
      <c r="AX56" s="15"/>
      <c r="BA56" s="15"/>
    </row>
    <row r="57" spans="3:53" x14ac:dyDescent="0.2">
      <c r="E57" s="15"/>
      <c r="H57" s="15"/>
      <c r="K57" s="15"/>
      <c r="N57" s="15"/>
      <c r="Q57" s="15"/>
      <c r="T57" s="15"/>
      <c r="W57" s="15"/>
      <c r="Z57" s="15"/>
      <c r="AC57" s="15"/>
      <c r="AF57" s="15"/>
      <c r="AI57" s="15"/>
      <c r="AL57" s="15"/>
      <c r="AO57" s="15"/>
      <c r="AR57" s="15"/>
      <c r="AU57" s="15"/>
      <c r="AX57" s="15"/>
      <c r="BA57" s="15"/>
    </row>
    <row r="58" spans="3:53" x14ac:dyDescent="0.2">
      <c r="E58" s="15"/>
      <c r="H58" s="15"/>
      <c r="K58" s="15"/>
      <c r="N58" s="15"/>
      <c r="Q58" s="15"/>
      <c r="T58" s="15"/>
      <c r="W58" s="15"/>
      <c r="Z58" s="15"/>
      <c r="AC58" s="15"/>
      <c r="AF58" s="15"/>
      <c r="AI58" s="15"/>
      <c r="AL58" s="15"/>
      <c r="AO58" s="15"/>
      <c r="AR58" s="15"/>
      <c r="AU58" s="15"/>
      <c r="AX58" s="15"/>
      <c r="BA58" s="15"/>
    </row>
    <row r="59" spans="3:53" x14ac:dyDescent="0.2">
      <c r="E59" s="15"/>
      <c r="H59" s="15"/>
      <c r="K59" s="15"/>
      <c r="N59" s="15"/>
      <c r="Q59" s="15"/>
      <c r="T59" s="15"/>
      <c r="W59" s="15"/>
      <c r="Z59" s="15"/>
      <c r="AC59" s="15"/>
      <c r="AF59" s="15"/>
      <c r="AI59" s="15"/>
      <c r="AL59" s="15"/>
      <c r="AO59" s="15"/>
      <c r="AR59" s="15"/>
      <c r="AU59" s="15"/>
      <c r="AX59" s="15"/>
      <c r="BA59" s="15"/>
    </row>
    <row r="60" spans="3:53" x14ac:dyDescent="0.2">
      <c r="E60" s="15"/>
      <c r="H60" s="15"/>
      <c r="K60" s="15"/>
      <c r="N60" s="15"/>
      <c r="Q60" s="15"/>
      <c r="T60" s="15"/>
      <c r="W60" s="15"/>
      <c r="Z60" s="15"/>
      <c r="AC60" s="15"/>
      <c r="AF60" s="15"/>
      <c r="AI60" s="15"/>
      <c r="AL60" s="15"/>
      <c r="AO60" s="15"/>
      <c r="AR60" s="15"/>
      <c r="AU60" s="15"/>
      <c r="AX60" s="15"/>
      <c r="BA60" s="15"/>
    </row>
    <row r="61" spans="3:53" x14ac:dyDescent="0.2">
      <c r="E61" s="15"/>
      <c r="H61" s="15"/>
      <c r="K61" s="15"/>
      <c r="N61" s="15"/>
      <c r="Q61" s="15"/>
      <c r="T61" s="15"/>
      <c r="W61" s="15"/>
      <c r="Z61" s="15"/>
      <c r="AC61" s="15"/>
      <c r="AF61" s="15"/>
      <c r="AI61" s="15"/>
      <c r="AL61" s="15"/>
      <c r="AO61" s="15"/>
      <c r="AR61" s="15"/>
      <c r="AU61" s="15"/>
      <c r="AX61" s="15"/>
      <c r="BA61" s="15"/>
    </row>
    <row r="62" spans="3:53" x14ac:dyDescent="0.2">
      <c r="E62" s="15"/>
      <c r="H62" s="15"/>
      <c r="K62" s="15"/>
      <c r="N62" s="15"/>
      <c r="Q62" s="15"/>
      <c r="T62" s="15"/>
      <c r="W62" s="15"/>
      <c r="Z62" s="15"/>
      <c r="AC62" s="15"/>
      <c r="AF62" s="15"/>
      <c r="AI62" s="15"/>
      <c r="AL62" s="15"/>
      <c r="AO62" s="15"/>
      <c r="AR62" s="15"/>
      <c r="AU62" s="15"/>
      <c r="AX62" s="15"/>
      <c r="BA62" s="15"/>
    </row>
    <row r="63" spans="3:53" x14ac:dyDescent="0.2">
      <c r="E63" s="15"/>
      <c r="H63" s="15"/>
      <c r="K63" s="15"/>
      <c r="N63" s="15"/>
      <c r="Q63" s="15"/>
      <c r="T63" s="15"/>
      <c r="W63" s="15"/>
      <c r="Z63" s="15"/>
      <c r="AC63" s="15"/>
      <c r="AF63" s="15"/>
      <c r="AI63" s="15"/>
      <c r="AL63" s="15"/>
      <c r="AO63" s="15"/>
      <c r="AR63" s="15"/>
      <c r="AU63" s="15"/>
      <c r="AX63" s="15"/>
      <c r="BA63" s="15"/>
    </row>
    <row r="64" spans="3:53" x14ac:dyDescent="0.2">
      <c r="E64" s="15"/>
      <c r="H64" s="15"/>
      <c r="K64" s="15"/>
      <c r="N64" s="15"/>
      <c r="Q64" s="15"/>
      <c r="T64" s="15"/>
      <c r="W64" s="15"/>
      <c r="Z64" s="15"/>
      <c r="AC64" s="15"/>
      <c r="AF64" s="15"/>
      <c r="AI64" s="15"/>
      <c r="AL64" s="15"/>
      <c r="AO64" s="15"/>
      <c r="AR64" s="15"/>
      <c r="AU64" s="15"/>
      <c r="AX64" s="15"/>
      <c r="BA64" s="15"/>
    </row>
    <row r="65" spans="5:53" x14ac:dyDescent="0.2">
      <c r="E65" s="15"/>
      <c r="H65" s="15"/>
      <c r="K65" s="15"/>
      <c r="N65" s="15"/>
      <c r="Q65" s="15"/>
      <c r="T65" s="15"/>
      <c r="W65" s="15"/>
      <c r="Z65" s="15"/>
      <c r="AC65" s="15"/>
      <c r="AF65" s="15"/>
      <c r="AI65" s="15"/>
      <c r="AL65" s="15"/>
      <c r="AO65" s="15"/>
      <c r="AR65" s="15"/>
      <c r="AU65" s="15"/>
      <c r="AX65" s="15"/>
      <c r="BA65" s="15"/>
    </row>
    <row r="66" spans="5:53" x14ac:dyDescent="0.2">
      <c r="E66" s="15"/>
      <c r="H66" s="15"/>
      <c r="K66" s="15"/>
      <c r="N66" s="15"/>
      <c r="Q66" s="15"/>
      <c r="T66" s="15"/>
      <c r="W66" s="15"/>
      <c r="Z66" s="15"/>
      <c r="AC66" s="15"/>
      <c r="AF66" s="15"/>
      <c r="AI66" s="15"/>
      <c r="AL66" s="15"/>
      <c r="AO66" s="15"/>
      <c r="AR66" s="15"/>
      <c r="AU66" s="15"/>
      <c r="AX66" s="15"/>
      <c r="BA66" s="15"/>
    </row>
    <row r="67" spans="5:53" x14ac:dyDescent="0.2">
      <c r="E67" s="15"/>
      <c r="H67" s="15"/>
      <c r="K67" s="15"/>
      <c r="N67" s="15"/>
      <c r="Q67" s="15"/>
      <c r="T67" s="15"/>
      <c r="W67" s="15"/>
      <c r="Z67" s="15"/>
      <c r="AC67" s="15"/>
      <c r="AF67" s="15"/>
      <c r="AI67" s="15"/>
      <c r="AL67" s="15"/>
      <c r="AO67" s="15"/>
      <c r="AR67" s="15"/>
      <c r="AU67" s="15"/>
      <c r="AX67" s="15"/>
      <c r="BA67" s="15"/>
    </row>
    <row r="68" spans="5:53" x14ac:dyDescent="0.2">
      <c r="E68" s="15"/>
      <c r="H68" s="15"/>
      <c r="K68" s="15"/>
      <c r="N68" s="15"/>
      <c r="Q68" s="15"/>
      <c r="T68" s="15"/>
      <c r="W68" s="15"/>
      <c r="Z68" s="15"/>
      <c r="AC68" s="15"/>
      <c r="AF68" s="15"/>
      <c r="AI68" s="15"/>
      <c r="AL68" s="15"/>
      <c r="AO68" s="15"/>
      <c r="AR68" s="15"/>
      <c r="AU68" s="15"/>
      <c r="AX68" s="15"/>
      <c r="BA68" s="15"/>
    </row>
    <row r="69" spans="5:53" x14ac:dyDescent="0.2">
      <c r="E69" s="15"/>
      <c r="H69" s="15"/>
      <c r="K69" s="15"/>
      <c r="N69" s="15"/>
      <c r="Q69" s="15"/>
      <c r="T69" s="15"/>
      <c r="W69" s="15"/>
      <c r="Z69" s="15"/>
      <c r="AC69" s="15"/>
      <c r="AF69" s="15"/>
      <c r="AI69" s="15"/>
      <c r="AL69" s="15"/>
      <c r="AO69" s="15"/>
      <c r="AR69" s="15"/>
      <c r="AU69" s="15"/>
      <c r="AX69" s="15"/>
      <c r="BA69" s="15"/>
    </row>
    <row r="70" spans="5:53" x14ac:dyDescent="0.2">
      <c r="E70" s="15"/>
      <c r="H70" s="15"/>
      <c r="K70" s="15"/>
      <c r="N70" s="15"/>
      <c r="Q70" s="15"/>
      <c r="T70" s="15"/>
      <c r="W70" s="15"/>
      <c r="Z70" s="15"/>
      <c r="AC70" s="15"/>
      <c r="AF70" s="15"/>
      <c r="AI70" s="15"/>
      <c r="AL70" s="15"/>
      <c r="AO70" s="15"/>
      <c r="AR70" s="15"/>
      <c r="AU70" s="15"/>
      <c r="AX70" s="15"/>
      <c r="BA70" s="15"/>
    </row>
    <row r="71" spans="5:53" x14ac:dyDescent="0.2">
      <c r="E71" s="15"/>
      <c r="H71" s="15"/>
      <c r="K71" s="15"/>
      <c r="N71" s="15"/>
      <c r="Q71" s="15"/>
      <c r="T71" s="15"/>
      <c r="W71" s="15"/>
      <c r="Z71" s="15"/>
      <c r="AC71" s="15"/>
      <c r="AF71" s="15"/>
      <c r="AI71" s="15"/>
      <c r="AL71" s="15"/>
      <c r="AO71" s="15"/>
      <c r="AR71" s="15"/>
      <c r="AU71" s="15"/>
      <c r="AX71" s="15"/>
      <c r="BA71" s="15"/>
    </row>
    <row r="72" spans="5:53" x14ac:dyDescent="0.2">
      <c r="E72" s="15"/>
      <c r="H72" s="15"/>
      <c r="K72" s="15"/>
      <c r="N72" s="15"/>
      <c r="Q72" s="15"/>
      <c r="T72" s="15"/>
      <c r="W72" s="15"/>
      <c r="Z72" s="15"/>
      <c r="AC72" s="15"/>
      <c r="AF72" s="15"/>
      <c r="AI72" s="15"/>
      <c r="AL72" s="15"/>
      <c r="AO72" s="15"/>
      <c r="AR72" s="15"/>
      <c r="AU72" s="15"/>
      <c r="AX72" s="15"/>
      <c r="BA72" s="15"/>
    </row>
    <row r="73" spans="5:53" x14ac:dyDescent="0.2">
      <c r="E73" s="15"/>
      <c r="H73" s="15"/>
      <c r="K73" s="15"/>
      <c r="N73" s="15"/>
      <c r="Q73" s="15"/>
      <c r="T73" s="15"/>
      <c r="W73" s="15"/>
      <c r="Z73" s="15"/>
      <c r="AC73" s="15"/>
      <c r="AF73" s="15"/>
      <c r="AI73" s="15"/>
      <c r="AL73" s="15"/>
      <c r="AO73" s="15"/>
      <c r="AR73" s="15"/>
      <c r="AU73" s="15"/>
      <c r="AX73" s="15"/>
      <c r="BA73" s="15"/>
    </row>
    <row r="74" spans="5:53" x14ac:dyDescent="0.2">
      <c r="E74" s="15"/>
      <c r="H74" s="15"/>
      <c r="K74" s="15"/>
      <c r="N74" s="15"/>
      <c r="Q74" s="15"/>
      <c r="T74" s="15"/>
      <c r="W74" s="15"/>
      <c r="Z74" s="15"/>
      <c r="AC74" s="15"/>
      <c r="AF74" s="15"/>
      <c r="AI74" s="15"/>
      <c r="AL74" s="15"/>
      <c r="AO74" s="15"/>
      <c r="AR74" s="15"/>
      <c r="AU74" s="15"/>
      <c r="AX74" s="15"/>
      <c r="BA74" s="15"/>
    </row>
    <row r="75" spans="5:53" x14ac:dyDescent="0.2">
      <c r="E75" s="15"/>
      <c r="H75" s="15"/>
      <c r="K75" s="15"/>
      <c r="N75" s="15"/>
      <c r="Q75" s="15"/>
      <c r="T75" s="15"/>
      <c r="W75" s="15"/>
      <c r="Z75" s="15"/>
      <c r="AC75" s="15"/>
      <c r="AF75" s="15"/>
      <c r="AI75" s="15"/>
      <c r="AL75" s="15"/>
      <c r="AO75" s="15"/>
      <c r="AR75" s="15"/>
      <c r="AU75" s="15"/>
      <c r="AX75" s="15"/>
      <c r="BA75" s="15"/>
    </row>
    <row r="76" spans="5:53" x14ac:dyDescent="0.2">
      <c r="E76" s="15"/>
      <c r="H76" s="15"/>
      <c r="K76" s="15"/>
      <c r="N76" s="15"/>
      <c r="Q76" s="15"/>
      <c r="T76" s="15"/>
      <c r="W76" s="15"/>
      <c r="Z76" s="15"/>
      <c r="AC76" s="15"/>
      <c r="AF76" s="15"/>
      <c r="AI76" s="15"/>
      <c r="AL76" s="15"/>
      <c r="AO76" s="15"/>
      <c r="AR76" s="15"/>
      <c r="AU76" s="15"/>
      <c r="AX76" s="15"/>
      <c r="BA76" s="15"/>
    </row>
    <row r="77" spans="5:53" x14ac:dyDescent="0.2">
      <c r="E77" s="15"/>
      <c r="H77" s="15"/>
      <c r="K77" s="15"/>
      <c r="N77" s="15"/>
      <c r="Q77" s="15"/>
      <c r="T77" s="15"/>
      <c r="W77" s="15"/>
      <c r="Z77" s="15"/>
      <c r="AC77" s="15"/>
      <c r="AF77" s="15"/>
      <c r="AI77" s="15"/>
      <c r="AL77" s="15"/>
      <c r="AO77" s="15"/>
      <c r="AR77" s="15"/>
      <c r="AU77" s="15"/>
      <c r="AX77" s="15"/>
      <c r="BA77" s="15"/>
    </row>
    <row r="78" spans="5:53" x14ac:dyDescent="0.2">
      <c r="E78" s="15"/>
      <c r="H78" s="15"/>
      <c r="K78" s="15"/>
      <c r="N78" s="15"/>
      <c r="Q78" s="15"/>
      <c r="T78" s="15"/>
      <c r="W78" s="15"/>
      <c r="Z78" s="15"/>
      <c r="AC78" s="15"/>
      <c r="AF78" s="15"/>
      <c r="AI78" s="15"/>
      <c r="AL78" s="15"/>
      <c r="AO78" s="15"/>
      <c r="AR78" s="15"/>
      <c r="AU78" s="15"/>
      <c r="AX78" s="15"/>
      <c r="BA78" s="15"/>
    </row>
    <row r="79" spans="5:53" x14ac:dyDescent="0.2">
      <c r="E79" s="15"/>
      <c r="H79" s="15"/>
      <c r="K79" s="15"/>
      <c r="N79" s="15"/>
      <c r="Q79" s="15"/>
      <c r="T79" s="15"/>
      <c r="W79" s="15"/>
      <c r="Z79" s="15"/>
      <c r="AC79" s="15"/>
      <c r="AF79" s="15"/>
      <c r="AI79" s="15"/>
      <c r="AL79" s="15"/>
      <c r="AO79" s="15"/>
      <c r="AR79" s="15"/>
      <c r="AU79" s="15"/>
      <c r="AX79" s="15"/>
      <c r="BA79" s="15"/>
    </row>
    <row r="80" spans="5:53" x14ac:dyDescent="0.2">
      <c r="E80" s="15"/>
      <c r="H80" s="15"/>
      <c r="K80" s="15"/>
      <c r="N80" s="15"/>
      <c r="Q80" s="15"/>
      <c r="T80" s="15"/>
      <c r="W80" s="15"/>
      <c r="Z80" s="15"/>
      <c r="AC80" s="15"/>
      <c r="AF80" s="15"/>
      <c r="AI80" s="15"/>
      <c r="AL80" s="15"/>
      <c r="AO80" s="15"/>
      <c r="AR80" s="15"/>
      <c r="AU80" s="15"/>
      <c r="AX80" s="15"/>
      <c r="BA80" s="15"/>
    </row>
    <row r="81" spans="5:53" x14ac:dyDescent="0.2">
      <c r="E81" s="15"/>
      <c r="H81" s="15"/>
      <c r="K81" s="15"/>
      <c r="N81" s="15"/>
      <c r="Q81" s="15"/>
      <c r="T81" s="15"/>
      <c r="W81" s="15"/>
      <c r="Z81" s="15"/>
      <c r="AC81" s="15"/>
      <c r="AF81" s="15"/>
      <c r="AI81" s="15"/>
      <c r="AL81" s="15"/>
      <c r="AO81" s="15"/>
      <c r="AR81" s="15"/>
      <c r="AU81" s="15"/>
      <c r="AX81" s="15"/>
      <c r="BA81" s="15"/>
    </row>
    <row r="82" spans="5:53" x14ac:dyDescent="0.2">
      <c r="E82" s="15"/>
      <c r="H82" s="15"/>
      <c r="K82" s="15"/>
      <c r="N82" s="15"/>
      <c r="Q82" s="15"/>
      <c r="T82" s="15"/>
      <c r="W82" s="15"/>
      <c r="Z82" s="15"/>
      <c r="AC82" s="15"/>
      <c r="AF82" s="15"/>
      <c r="AI82" s="15"/>
      <c r="AL82" s="15"/>
      <c r="AO82" s="15"/>
      <c r="AR82" s="15"/>
      <c r="AU82" s="15"/>
      <c r="AX82" s="15"/>
      <c r="BA82" s="15"/>
    </row>
    <row r="83" spans="5:53" x14ac:dyDescent="0.2">
      <c r="E83" s="15"/>
      <c r="H83" s="15"/>
      <c r="K83" s="15"/>
      <c r="N83" s="15"/>
      <c r="Q83" s="15"/>
      <c r="T83" s="15"/>
      <c r="W83" s="15"/>
      <c r="Z83" s="15"/>
      <c r="AC83" s="15"/>
      <c r="AF83" s="15"/>
      <c r="AI83" s="15"/>
      <c r="AL83" s="15"/>
      <c r="AO83" s="15"/>
      <c r="AR83" s="15"/>
      <c r="AU83" s="15"/>
      <c r="AX83" s="15"/>
      <c r="BA83" s="15"/>
    </row>
    <row r="84" spans="5:53" x14ac:dyDescent="0.2">
      <c r="E84" s="15"/>
      <c r="H84" s="15"/>
      <c r="K84" s="15"/>
      <c r="N84" s="15"/>
      <c r="Q84" s="15"/>
      <c r="T84" s="15"/>
      <c r="W84" s="15"/>
      <c r="Z84" s="15"/>
      <c r="AC84" s="15"/>
      <c r="AF84" s="15"/>
      <c r="AI84" s="15"/>
      <c r="AL84" s="15"/>
      <c r="AO84" s="15"/>
      <c r="AR84" s="15"/>
      <c r="AU84" s="15"/>
      <c r="AX84" s="15"/>
      <c r="BA84" s="15"/>
    </row>
    <row r="85" spans="5:53" x14ac:dyDescent="0.2">
      <c r="E85" s="15"/>
      <c r="H85" s="15"/>
      <c r="K85" s="15"/>
      <c r="N85" s="15"/>
      <c r="Q85" s="15"/>
      <c r="T85" s="15"/>
      <c r="W85" s="15"/>
      <c r="Z85" s="15"/>
      <c r="AC85" s="15"/>
      <c r="AF85" s="15"/>
      <c r="AI85" s="15"/>
      <c r="AL85" s="15"/>
      <c r="AO85" s="15"/>
      <c r="AR85" s="15"/>
      <c r="AU85" s="15"/>
      <c r="AX85" s="15"/>
      <c r="BA85" s="15"/>
    </row>
    <row r="86" spans="5:53" x14ac:dyDescent="0.2">
      <c r="E86" s="15"/>
      <c r="H86" s="15"/>
      <c r="K86" s="15"/>
      <c r="N86" s="15"/>
      <c r="Q86" s="15"/>
      <c r="T86" s="15"/>
      <c r="W86" s="15"/>
      <c r="Z86" s="15"/>
      <c r="AC86" s="15"/>
      <c r="AF86" s="15"/>
      <c r="AI86" s="15"/>
      <c r="AL86" s="15"/>
      <c r="AO86" s="15"/>
      <c r="AR86" s="15"/>
      <c r="AU86" s="15"/>
      <c r="AX86" s="15"/>
      <c r="BA86" s="15"/>
    </row>
    <row r="87" spans="5:53" x14ac:dyDescent="0.2">
      <c r="E87" s="15"/>
      <c r="H87" s="15"/>
      <c r="K87" s="15"/>
      <c r="N87" s="15"/>
      <c r="Q87" s="15"/>
      <c r="T87" s="15"/>
      <c r="W87" s="15"/>
      <c r="Z87" s="15"/>
      <c r="AC87" s="15"/>
      <c r="AF87" s="15"/>
      <c r="AI87" s="15"/>
      <c r="AL87" s="15"/>
      <c r="AO87" s="15"/>
      <c r="AR87" s="15"/>
      <c r="AU87" s="15"/>
      <c r="AX87" s="15"/>
      <c r="BA87" s="15"/>
    </row>
    <row r="88" spans="5:53" x14ac:dyDescent="0.2">
      <c r="E88" s="15"/>
      <c r="H88" s="15"/>
      <c r="K88" s="15"/>
      <c r="N88" s="15"/>
      <c r="Q88" s="15"/>
      <c r="T88" s="15"/>
      <c r="W88" s="15"/>
      <c r="Z88" s="15"/>
      <c r="AC88" s="15"/>
      <c r="AF88" s="15"/>
      <c r="AI88" s="15"/>
      <c r="AL88" s="15"/>
      <c r="AO88" s="15"/>
      <c r="AR88" s="15"/>
      <c r="AU88" s="15"/>
      <c r="AX88" s="15"/>
      <c r="BA88" s="15"/>
    </row>
    <row r="89" spans="5:53" x14ac:dyDescent="0.2">
      <c r="E89" s="15"/>
      <c r="H89" s="15"/>
      <c r="K89" s="15"/>
      <c r="N89" s="15"/>
      <c r="Q89" s="15"/>
      <c r="T89" s="15"/>
      <c r="W89" s="15"/>
      <c r="Z89" s="15"/>
      <c r="AC89" s="15"/>
      <c r="AF89" s="15"/>
      <c r="AI89" s="15"/>
      <c r="AL89" s="15"/>
      <c r="AO89" s="15"/>
      <c r="AR89" s="15"/>
      <c r="AU89" s="15"/>
      <c r="AX89" s="15"/>
      <c r="BA89" s="15"/>
    </row>
    <row r="90" spans="5:53" x14ac:dyDescent="0.2">
      <c r="E90" s="15"/>
      <c r="H90" s="15"/>
      <c r="K90" s="15"/>
      <c r="N90" s="15"/>
      <c r="Q90" s="15"/>
      <c r="T90" s="15"/>
      <c r="W90" s="15"/>
      <c r="Z90" s="15"/>
      <c r="AC90" s="15"/>
      <c r="AF90" s="15"/>
      <c r="AI90" s="15"/>
      <c r="AL90" s="15"/>
      <c r="AO90" s="15"/>
      <c r="AR90" s="15"/>
      <c r="AU90" s="15"/>
      <c r="AX90" s="15"/>
      <c r="BA90" s="15"/>
    </row>
    <row r="91" spans="5:53" x14ac:dyDescent="0.2">
      <c r="E91" s="15"/>
      <c r="H91" s="15"/>
      <c r="K91" s="15"/>
      <c r="N91" s="15"/>
      <c r="Q91" s="15"/>
      <c r="T91" s="15"/>
      <c r="W91" s="15"/>
      <c r="Z91" s="15"/>
      <c r="AC91" s="15"/>
      <c r="AF91" s="15"/>
      <c r="AI91" s="15"/>
      <c r="AL91" s="15"/>
      <c r="AO91" s="15"/>
      <c r="AR91" s="15"/>
      <c r="AU91" s="15"/>
      <c r="AX91" s="15"/>
      <c r="BA91" s="15"/>
    </row>
    <row r="92" spans="5:53" x14ac:dyDescent="0.2">
      <c r="E92" s="15"/>
      <c r="H92" s="15"/>
      <c r="K92" s="15"/>
      <c r="N92" s="15"/>
      <c r="Q92" s="15"/>
      <c r="T92" s="15"/>
      <c r="W92" s="15"/>
      <c r="Z92" s="15"/>
      <c r="AC92" s="15"/>
      <c r="AF92" s="15"/>
      <c r="AI92" s="15"/>
      <c r="AL92" s="15"/>
      <c r="AO92" s="15"/>
      <c r="AR92" s="15"/>
      <c r="AU92" s="15"/>
      <c r="AX92" s="15"/>
      <c r="BA92" s="15"/>
    </row>
    <row r="93" spans="5:53" x14ac:dyDescent="0.2">
      <c r="E93" s="15"/>
      <c r="H93" s="15"/>
      <c r="K93" s="15"/>
      <c r="N93" s="15"/>
      <c r="Q93" s="15"/>
      <c r="T93" s="15"/>
      <c r="W93" s="15"/>
      <c r="Z93" s="15"/>
      <c r="AC93" s="15"/>
      <c r="AF93" s="15"/>
      <c r="AI93" s="15"/>
      <c r="AL93" s="15"/>
      <c r="AO93" s="15"/>
      <c r="AR93" s="15"/>
      <c r="AU93" s="15"/>
      <c r="AX93" s="15"/>
      <c r="BA93" s="15"/>
    </row>
    <row r="94" spans="5:53" x14ac:dyDescent="0.2">
      <c r="E94" s="15"/>
      <c r="H94" s="15"/>
      <c r="K94" s="15"/>
      <c r="N94" s="15"/>
      <c r="Q94" s="15"/>
      <c r="T94" s="15"/>
      <c r="W94" s="15"/>
      <c r="Z94" s="15"/>
      <c r="AC94" s="15"/>
      <c r="AF94" s="15"/>
      <c r="AI94" s="15"/>
      <c r="AL94" s="15"/>
      <c r="AO94" s="15"/>
      <c r="AR94" s="15"/>
      <c r="AU94" s="15"/>
      <c r="AX94" s="15"/>
      <c r="BA94" s="15"/>
    </row>
    <row r="95" spans="5:53" x14ac:dyDescent="0.2">
      <c r="E95" s="15"/>
      <c r="H95" s="15"/>
      <c r="K95" s="15"/>
      <c r="N95" s="15"/>
      <c r="Q95" s="15"/>
      <c r="T95" s="15"/>
      <c r="W95" s="15"/>
      <c r="Z95" s="15"/>
      <c r="AC95" s="15"/>
      <c r="AF95" s="15"/>
      <c r="AI95" s="15"/>
      <c r="AL95" s="15"/>
      <c r="AO95" s="15"/>
      <c r="AR95" s="15"/>
      <c r="AU95" s="15"/>
      <c r="AX95" s="15"/>
      <c r="BA95" s="15"/>
    </row>
    <row r="96" spans="5:53" x14ac:dyDescent="0.2">
      <c r="E96" s="15"/>
      <c r="H96" s="15"/>
      <c r="K96" s="15"/>
      <c r="N96" s="15"/>
      <c r="Q96" s="15"/>
      <c r="T96" s="15"/>
      <c r="W96" s="15"/>
      <c r="Z96" s="15"/>
      <c r="AC96" s="15"/>
      <c r="AF96" s="15"/>
      <c r="AI96" s="15"/>
      <c r="AL96" s="15"/>
      <c r="AO96" s="15"/>
      <c r="AR96" s="15"/>
      <c r="AU96" s="15"/>
      <c r="AX96" s="15"/>
      <c r="BA96" s="15"/>
    </row>
    <row r="97" spans="5:53" x14ac:dyDescent="0.2">
      <c r="E97" s="15"/>
      <c r="H97" s="15"/>
      <c r="K97" s="15"/>
      <c r="N97" s="15"/>
      <c r="Q97" s="15"/>
      <c r="T97" s="15"/>
      <c r="W97" s="15"/>
      <c r="Z97" s="15"/>
      <c r="AC97" s="15"/>
      <c r="AF97" s="15"/>
      <c r="AI97" s="15"/>
      <c r="AL97" s="15"/>
      <c r="AO97" s="15"/>
      <c r="AR97" s="15"/>
      <c r="AU97" s="15"/>
      <c r="AX97" s="15"/>
      <c r="BA97" s="15"/>
    </row>
    <row r="98" spans="5:53" x14ac:dyDescent="0.2">
      <c r="E98" s="15"/>
      <c r="H98" s="15"/>
      <c r="K98" s="15"/>
      <c r="N98" s="15"/>
      <c r="Q98" s="15"/>
      <c r="T98" s="15"/>
      <c r="W98" s="15"/>
      <c r="Z98" s="15"/>
      <c r="AC98" s="15"/>
      <c r="AF98" s="15"/>
      <c r="AI98" s="15"/>
      <c r="AL98" s="15"/>
      <c r="AO98" s="15"/>
      <c r="AR98" s="15"/>
      <c r="AU98" s="15"/>
      <c r="AX98" s="15"/>
      <c r="BA98" s="15"/>
    </row>
    <row r="99" spans="5:53" x14ac:dyDescent="0.2">
      <c r="E99" s="15"/>
      <c r="H99" s="15"/>
      <c r="K99" s="15"/>
      <c r="N99" s="15"/>
      <c r="Q99" s="15"/>
      <c r="T99" s="15"/>
      <c r="W99" s="15"/>
      <c r="Z99" s="15"/>
      <c r="AC99" s="15"/>
      <c r="AF99" s="15"/>
      <c r="AI99" s="15"/>
      <c r="AL99" s="15"/>
      <c r="AO99" s="15"/>
      <c r="AR99" s="15"/>
      <c r="AU99" s="15"/>
      <c r="AX99" s="15"/>
      <c r="BA99" s="15"/>
    </row>
    <row r="100" spans="5:53" x14ac:dyDescent="0.2">
      <c r="E100" s="15"/>
      <c r="H100" s="15"/>
      <c r="K100" s="15"/>
      <c r="N100" s="15"/>
      <c r="Q100" s="15"/>
      <c r="T100" s="15"/>
      <c r="W100" s="15"/>
      <c r="Z100" s="15"/>
      <c r="AC100" s="15"/>
      <c r="AF100" s="15"/>
      <c r="AI100" s="15"/>
      <c r="AL100" s="15"/>
      <c r="AO100" s="15"/>
      <c r="AR100" s="15"/>
      <c r="AU100" s="15"/>
      <c r="AX100" s="15"/>
      <c r="BA100" s="15"/>
    </row>
    <row r="101" spans="5:53" x14ac:dyDescent="0.2">
      <c r="E101" s="15"/>
      <c r="H101" s="15"/>
      <c r="K101" s="15"/>
      <c r="N101" s="15"/>
      <c r="Q101" s="15"/>
      <c r="T101" s="15"/>
      <c r="W101" s="15"/>
      <c r="Z101" s="15"/>
      <c r="AC101" s="15"/>
      <c r="AF101" s="15"/>
      <c r="AI101" s="15"/>
      <c r="AL101" s="15"/>
      <c r="AO101" s="15"/>
      <c r="AR101" s="15"/>
      <c r="AU101" s="15"/>
      <c r="AX101" s="15"/>
      <c r="BA101" s="15"/>
    </row>
    <row r="102" spans="5:53" x14ac:dyDescent="0.2">
      <c r="E102" s="15"/>
      <c r="H102" s="15"/>
      <c r="K102" s="15"/>
      <c r="N102" s="15"/>
      <c r="Q102" s="15"/>
      <c r="T102" s="15"/>
      <c r="W102" s="15"/>
      <c r="Z102" s="15"/>
      <c r="AC102" s="15"/>
      <c r="AF102" s="15"/>
      <c r="AI102" s="15"/>
      <c r="AL102" s="15"/>
      <c r="AO102" s="15"/>
      <c r="AR102" s="15"/>
      <c r="AU102" s="15"/>
      <c r="AX102" s="15"/>
      <c r="BA102" s="15"/>
    </row>
    <row r="103" spans="5:53" x14ac:dyDescent="0.2">
      <c r="E103" s="15"/>
      <c r="H103" s="15"/>
      <c r="K103" s="15"/>
      <c r="N103" s="15"/>
      <c r="Q103" s="15"/>
      <c r="T103" s="15"/>
      <c r="W103" s="15"/>
      <c r="Z103" s="15"/>
      <c r="AC103" s="15"/>
      <c r="AF103" s="15"/>
      <c r="AI103" s="15"/>
      <c r="AL103" s="15"/>
      <c r="AO103" s="15"/>
      <c r="AR103" s="15"/>
      <c r="AU103" s="15"/>
      <c r="AX103" s="15"/>
      <c r="BA103" s="15"/>
    </row>
    <row r="104" spans="5:53" x14ac:dyDescent="0.2">
      <c r="E104" s="15"/>
      <c r="H104" s="15"/>
      <c r="K104" s="15"/>
      <c r="N104" s="15"/>
      <c r="Q104" s="15"/>
      <c r="T104" s="15"/>
      <c r="W104" s="15"/>
      <c r="Z104" s="15"/>
      <c r="AC104" s="15"/>
      <c r="AF104" s="15"/>
      <c r="AI104" s="15"/>
      <c r="AL104" s="15"/>
      <c r="AO104" s="15"/>
      <c r="AR104" s="15"/>
      <c r="AU104" s="15"/>
      <c r="AX104" s="15"/>
      <c r="BA104" s="15"/>
    </row>
    <row r="105" spans="5:53" x14ac:dyDescent="0.2">
      <c r="E105" s="15"/>
      <c r="H105" s="15"/>
      <c r="K105" s="15"/>
      <c r="N105" s="15"/>
      <c r="Q105" s="15"/>
      <c r="T105" s="15"/>
      <c r="W105" s="15"/>
      <c r="Z105" s="15"/>
      <c r="AC105" s="15"/>
      <c r="AF105" s="15"/>
      <c r="AI105" s="15"/>
      <c r="AL105" s="15"/>
      <c r="AO105" s="15"/>
      <c r="AR105" s="15"/>
      <c r="AU105" s="15"/>
      <c r="AX105" s="15"/>
      <c r="BA105" s="15"/>
    </row>
    <row r="106" spans="5:53" x14ac:dyDescent="0.2">
      <c r="E106" s="15"/>
      <c r="H106" s="15"/>
      <c r="K106" s="15"/>
      <c r="N106" s="15"/>
      <c r="Q106" s="15"/>
      <c r="T106" s="15"/>
      <c r="W106" s="15"/>
      <c r="Z106" s="15"/>
      <c r="AC106" s="15"/>
      <c r="AF106" s="15"/>
      <c r="AI106" s="15"/>
      <c r="AL106" s="15"/>
      <c r="AO106" s="15"/>
      <c r="AR106" s="15"/>
      <c r="AU106" s="15"/>
      <c r="AX106" s="15"/>
      <c r="BA106" s="15"/>
    </row>
    <row r="107" spans="5:53" x14ac:dyDescent="0.2">
      <c r="E107" s="15"/>
      <c r="H107" s="15"/>
      <c r="K107" s="15"/>
      <c r="N107" s="15"/>
      <c r="Q107" s="15"/>
      <c r="T107" s="15"/>
      <c r="W107" s="15"/>
      <c r="Z107" s="15"/>
      <c r="AC107" s="15"/>
      <c r="AF107" s="15"/>
      <c r="AI107" s="15"/>
      <c r="AL107" s="15"/>
      <c r="AO107" s="15"/>
      <c r="AR107" s="15"/>
      <c r="AU107" s="15"/>
      <c r="AX107" s="15"/>
      <c r="BA107" s="15"/>
    </row>
    <row r="108" spans="5:53" x14ac:dyDescent="0.2">
      <c r="E108" s="15"/>
      <c r="H108" s="15"/>
      <c r="K108" s="15"/>
      <c r="N108" s="15"/>
      <c r="Q108" s="15"/>
      <c r="T108" s="15"/>
      <c r="W108" s="15"/>
      <c r="Z108" s="15"/>
      <c r="AC108" s="15"/>
      <c r="AF108" s="15"/>
      <c r="AI108" s="15"/>
      <c r="AL108" s="15"/>
      <c r="AO108" s="15"/>
      <c r="AR108" s="15"/>
      <c r="AU108" s="15"/>
      <c r="AX108" s="15"/>
      <c r="BA108" s="15"/>
    </row>
    <row r="109" spans="5:53" x14ac:dyDescent="0.2">
      <c r="E109" s="15"/>
      <c r="H109" s="15"/>
      <c r="K109" s="15"/>
      <c r="N109" s="15"/>
      <c r="Q109" s="15"/>
      <c r="T109" s="15"/>
      <c r="W109" s="15"/>
      <c r="Z109" s="15"/>
      <c r="AC109" s="15"/>
      <c r="AF109" s="15"/>
      <c r="AI109" s="15"/>
      <c r="AL109" s="15"/>
      <c r="AO109" s="15"/>
      <c r="AR109" s="15"/>
      <c r="AU109" s="15"/>
      <c r="AX109" s="15"/>
      <c r="BA109" s="15"/>
    </row>
    <row r="110" spans="5:53" x14ac:dyDescent="0.2">
      <c r="E110" s="15"/>
      <c r="H110" s="15"/>
      <c r="K110" s="15"/>
      <c r="N110" s="15"/>
      <c r="Q110" s="15"/>
      <c r="T110" s="15"/>
      <c r="W110" s="15"/>
      <c r="Z110" s="15"/>
      <c r="AC110" s="15"/>
      <c r="AF110" s="15"/>
      <c r="AI110" s="15"/>
      <c r="AL110" s="15"/>
      <c r="AO110" s="15"/>
      <c r="AR110" s="15"/>
      <c r="AU110" s="15"/>
      <c r="AX110" s="15"/>
      <c r="BA110" s="15"/>
    </row>
    <row r="111" spans="5:53" x14ac:dyDescent="0.2">
      <c r="E111" s="15"/>
      <c r="H111" s="15"/>
      <c r="K111" s="15"/>
      <c r="N111" s="15"/>
      <c r="Q111" s="15"/>
      <c r="T111" s="15"/>
      <c r="W111" s="15"/>
      <c r="Z111" s="15"/>
      <c r="AC111" s="15"/>
      <c r="AF111" s="15"/>
      <c r="AI111" s="15"/>
      <c r="AL111" s="15"/>
      <c r="AO111" s="15"/>
      <c r="AR111" s="15"/>
      <c r="AU111" s="15"/>
      <c r="AX111" s="15"/>
      <c r="BA111" s="15"/>
    </row>
    <row r="112" spans="5:53" x14ac:dyDescent="0.2">
      <c r="E112" s="15"/>
      <c r="H112" s="15"/>
      <c r="K112" s="15"/>
      <c r="N112" s="15"/>
      <c r="Q112" s="15"/>
      <c r="T112" s="15"/>
      <c r="W112" s="15"/>
      <c r="Z112" s="15"/>
      <c r="AC112" s="15"/>
      <c r="AF112" s="15"/>
      <c r="AI112" s="15"/>
      <c r="AL112" s="15"/>
      <c r="AO112" s="15"/>
      <c r="AR112" s="15"/>
      <c r="AU112" s="15"/>
      <c r="AX112" s="15"/>
      <c r="BA112" s="15"/>
    </row>
    <row r="113" spans="5:53" x14ac:dyDescent="0.2">
      <c r="E113" s="15"/>
      <c r="H113" s="15"/>
      <c r="K113" s="15"/>
      <c r="N113" s="15"/>
      <c r="Q113" s="15"/>
      <c r="T113" s="15"/>
      <c r="W113" s="15"/>
      <c r="Z113" s="15"/>
      <c r="AC113" s="15"/>
      <c r="AF113" s="15"/>
      <c r="AI113" s="15"/>
      <c r="AL113" s="15"/>
      <c r="AO113" s="15"/>
      <c r="AR113" s="15"/>
      <c r="AU113" s="15"/>
      <c r="AX113" s="15"/>
      <c r="BA113" s="15"/>
    </row>
    <row r="114" spans="5:53" x14ac:dyDescent="0.2">
      <c r="E114" s="15"/>
      <c r="H114" s="15"/>
      <c r="K114" s="15"/>
      <c r="N114" s="15"/>
      <c r="Q114" s="15"/>
      <c r="T114" s="15"/>
      <c r="W114" s="15"/>
      <c r="Z114" s="15"/>
      <c r="AC114" s="15"/>
      <c r="AF114" s="15"/>
      <c r="AI114" s="15"/>
      <c r="AL114" s="15"/>
      <c r="AO114" s="15"/>
      <c r="AR114" s="15"/>
      <c r="AU114" s="15"/>
      <c r="AX114" s="15"/>
      <c r="BA114" s="15"/>
    </row>
    <row r="115" spans="5:53" x14ac:dyDescent="0.2">
      <c r="E115" s="15"/>
      <c r="H115" s="15"/>
      <c r="K115" s="15"/>
      <c r="N115" s="15"/>
      <c r="Q115" s="15"/>
      <c r="T115" s="15"/>
      <c r="W115" s="15"/>
      <c r="Z115" s="15"/>
      <c r="AC115" s="15"/>
      <c r="AF115" s="15"/>
      <c r="AI115" s="15"/>
      <c r="AL115" s="15"/>
      <c r="AO115" s="15"/>
      <c r="AR115" s="15"/>
      <c r="AU115" s="15"/>
      <c r="AX115" s="15"/>
      <c r="BA115" s="15"/>
    </row>
    <row r="116" spans="5:53" x14ac:dyDescent="0.2">
      <c r="E116" s="15"/>
      <c r="H116" s="15"/>
      <c r="K116" s="15"/>
      <c r="N116" s="15"/>
      <c r="Q116" s="15"/>
      <c r="T116" s="15"/>
      <c r="W116" s="15"/>
      <c r="Z116" s="15"/>
      <c r="AC116" s="15"/>
      <c r="AF116" s="15"/>
      <c r="AI116" s="15"/>
      <c r="AL116" s="15"/>
      <c r="AO116" s="15"/>
      <c r="AR116" s="15"/>
      <c r="AU116" s="15"/>
      <c r="AX116" s="15"/>
      <c r="BA116" s="15"/>
    </row>
    <row r="117" spans="5:53" x14ac:dyDescent="0.2">
      <c r="E117" s="15"/>
      <c r="H117" s="15"/>
      <c r="K117" s="15"/>
      <c r="N117" s="15"/>
      <c r="Q117" s="15"/>
      <c r="T117" s="15"/>
      <c r="W117" s="15"/>
      <c r="Z117" s="15"/>
      <c r="AC117" s="15"/>
      <c r="AF117" s="15"/>
      <c r="AI117" s="15"/>
      <c r="AL117" s="15"/>
      <c r="AO117" s="15"/>
      <c r="AR117" s="15"/>
      <c r="AU117" s="15"/>
      <c r="AX117" s="15"/>
      <c r="BA117" s="15"/>
    </row>
    <row r="118" spans="5:53" x14ac:dyDescent="0.2">
      <c r="E118" s="15"/>
      <c r="H118" s="15"/>
      <c r="K118" s="15"/>
      <c r="N118" s="15"/>
      <c r="Q118" s="15"/>
      <c r="T118" s="15"/>
      <c r="W118" s="15"/>
      <c r="Z118" s="15"/>
      <c r="AC118" s="15"/>
      <c r="AF118" s="15"/>
      <c r="AI118" s="15"/>
      <c r="AL118" s="15"/>
      <c r="AO118" s="15"/>
      <c r="AR118" s="15"/>
      <c r="AU118" s="15"/>
      <c r="AX118" s="15"/>
      <c r="BA118" s="15"/>
    </row>
    <row r="119" spans="5:53" x14ac:dyDescent="0.2">
      <c r="E119" s="15"/>
      <c r="H119" s="15"/>
      <c r="K119" s="15"/>
      <c r="N119" s="15"/>
      <c r="Q119" s="15"/>
      <c r="T119" s="15"/>
      <c r="W119" s="15"/>
      <c r="Z119" s="15"/>
      <c r="AC119" s="15"/>
      <c r="AF119" s="15"/>
      <c r="AI119" s="15"/>
      <c r="AL119" s="15"/>
      <c r="AO119" s="15"/>
      <c r="AR119" s="15"/>
      <c r="AU119" s="15"/>
      <c r="AX119" s="15"/>
      <c r="BA119" s="15"/>
    </row>
    <row r="120" spans="5:53" x14ac:dyDescent="0.2">
      <c r="E120" s="15"/>
      <c r="H120" s="15"/>
      <c r="K120" s="15"/>
      <c r="N120" s="15"/>
      <c r="Q120" s="15"/>
      <c r="T120" s="15"/>
      <c r="W120" s="15"/>
      <c r="Z120" s="15"/>
      <c r="AC120" s="15"/>
      <c r="AF120" s="15"/>
      <c r="AI120" s="15"/>
      <c r="AL120" s="15"/>
      <c r="AO120" s="15"/>
      <c r="AR120" s="15"/>
      <c r="AU120" s="15"/>
      <c r="AX120" s="15"/>
      <c r="BA120" s="15"/>
    </row>
    <row r="121" spans="5:53" x14ac:dyDescent="0.2">
      <c r="E121" s="15"/>
      <c r="H121" s="15"/>
      <c r="K121" s="15"/>
      <c r="N121" s="15"/>
      <c r="Q121" s="15"/>
      <c r="T121" s="15"/>
      <c r="W121" s="15"/>
      <c r="Z121" s="15"/>
      <c r="AC121" s="15"/>
      <c r="AF121" s="15"/>
      <c r="AI121" s="15"/>
      <c r="AL121" s="15"/>
      <c r="AO121" s="15"/>
      <c r="AR121" s="15"/>
      <c r="AU121" s="15"/>
      <c r="AX121" s="15"/>
      <c r="BA121" s="15"/>
    </row>
    <row r="122" spans="5:53" x14ac:dyDescent="0.2">
      <c r="E122" s="15"/>
      <c r="H122" s="15"/>
      <c r="K122" s="15"/>
      <c r="N122" s="15"/>
      <c r="Q122" s="15"/>
      <c r="T122" s="15"/>
      <c r="W122" s="15"/>
      <c r="Z122" s="15"/>
      <c r="AC122" s="15"/>
      <c r="AF122" s="15"/>
      <c r="AI122" s="15"/>
      <c r="AL122" s="15"/>
      <c r="AO122" s="15"/>
      <c r="AR122" s="15"/>
      <c r="AU122" s="15"/>
      <c r="AX122" s="15"/>
      <c r="BA122" s="15"/>
    </row>
    <row r="123" spans="5:53" x14ac:dyDescent="0.2">
      <c r="E123" s="15"/>
      <c r="H123" s="15"/>
      <c r="K123" s="15"/>
      <c r="N123" s="15"/>
      <c r="Q123" s="15"/>
      <c r="T123" s="15"/>
      <c r="W123" s="15"/>
      <c r="Z123" s="15"/>
      <c r="AC123" s="15"/>
      <c r="AF123" s="15"/>
      <c r="AI123" s="15"/>
      <c r="AL123" s="15"/>
      <c r="AO123" s="15"/>
      <c r="AR123" s="15"/>
      <c r="AU123" s="15"/>
      <c r="AX123" s="15"/>
      <c r="BA123" s="15"/>
    </row>
    <row r="124" spans="5:53" x14ac:dyDescent="0.2">
      <c r="E124" s="15"/>
      <c r="H124" s="15"/>
      <c r="K124" s="15"/>
      <c r="N124" s="15"/>
      <c r="Q124" s="15"/>
      <c r="T124" s="15"/>
      <c r="W124" s="15"/>
      <c r="Z124" s="15"/>
      <c r="AC124" s="15"/>
      <c r="AF124" s="15"/>
      <c r="AI124" s="15"/>
      <c r="AL124" s="15"/>
      <c r="AO124" s="15"/>
      <c r="AR124" s="15"/>
      <c r="AU124" s="15"/>
      <c r="AX124" s="15"/>
      <c r="BA124" s="15"/>
    </row>
    <row r="125" spans="5:53" x14ac:dyDescent="0.2">
      <c r="E125" s="15"/>
      <c r="H125" s="15"/>
      <c r="K125" s="15"/>
      <c r="N125" s="15"/>
      <c r="Q125" s="15"/>
      <c r="T125" s="15"/>
      <c r="W125" s="15"/>
      <c r="Z125" s="15"/>
      <c r="AC125" s="15"/>
      <c r="AF125" s="15"/>
      <c r="AI125" s="15"/>
      <c r="AL125" s="15"/>
      <c r="AO125" s="15"/>
      <c r="AR125" s="15"/>
      <c r="AU125" s="15"/>
      <c r="AX125" s="15"/>
      <c r="BA125" s="15"/>
    </row>
    <row r="126" spans="5:53" x14ac:dyDescent="0.2">
      <c r="E126" s="15"/>
      <c r="H126" s="15"/>
      <c r="K126" s="15"/>
      <c r="N126" s="15"/>
      <c r="Q126" s="15"/>
      <c r="T126" s="15"/>
      <c r="W126" s="15"/>
      <c r="Z126" s="15"/>
      <c r="AC126" s="15"/>
      <c r="AF126" s="15"/>
      <c r="AI126" s="15"/>
      <c r="AL126" s="15"/>
      <c r="AO126" s="15"/>
      <c r="AR126" s="15"/>
      <c r="AU126" s="15"/>
      <c r="AX126" s="15"/>
      <c r="BA126" s="15"/>
    </row>
    <row r="127" spans="5:53" x14ac:dyDescent="0.2">
      <c r="E127" s="15"/>
      <c r="H127" s="15"/>
      <c r="K127" s="15"/>
      <c r="N127" s="15"/>
      <c r="Q127" s="15"/>
      <c r="T127" s="15"/>
      <c r="W127" s="15"/>
      <c r="Z127" s="15"/>
      <c r="AC127" s="15"/>
      <c r="AF127" s="15"/>
      <c r="AI127" s="15"/>
      <c r="AL127" s="15"/>
      <c r="AO127" s="15"/>
      <c r="AR127" s="15"/>
      <c r="AU127" s="15"/>
      <c r="AX127" s="15"/>
      <c r="BA127" s="15"/>
    </row>
    <row r="128" spans="5:53" x14ac:dyDescent="0.2">
      <c r="E128" s="15"/>
      <c r="H128" s="15"/>
      <c r="K128" s="15"/>
      <c r="N128" s="15"/>
      <c r="Q128" s="15"/>
      <c r="T128" s="15"/>
      <c r="W128" s="15"/>
      <c r="Z128" s="15"/>
      <c r="AC128" s="15"/>
      <c r="AF128" s="15"/>
      <c r="AI128" s="15"/>
      <c r="AL128" s="15"/>
      <c r="AO128" s="15"/>
      <c r="AR128" s="15"/>
      <c r="AU128" s="15"/>
      <c r="AX128" s="15"/>
      <c r="BA128" s="15"/>
    </row>
    <row r="129" spans="5:53" x14ac:dyDescent="0.2">
      <c r="E129" s="15"/>
      <c r="H129" s="15"/>
      <c r="K129" s="15"/>
      <c r="N129" s="15"/>
      <c r="Q129" s="15"/>
      <c r="T129" s="15"/>
      <c r="W129" s="15"/>
      <c r="Z129" s="15"/>
      <c r="AC129" s="15"/>
      <c r="AF129" s="15"/>
      <c r="AI129" s="15"/>
      <c r="AL129" s="15"/>
      <c r="AO129" s="15"/>
      <c r="AR129" s="15"/>
      <c r="AU129" s="15"/>
      <c r="AX129" s="15"/>
      <c r="BA129" s="15"/>
    </row>
    <row r="130" spans="5:53" x14ac:dyDescent="0.2">
      <c r="E130" s="15"/>
      <c r="H130" s="15"/>
      <c r="K130" s="15"/>
      <c r="N130" s="15"/>
      <c r="Q130" s="15"/>
      <c r="T130" s="15"/>
      <c r="W130" s="15"/>
      <c r="Z130" s="15"/>
      <c r="AC130" s="15"/>
      <c r="AF130" s="15"/>
      <c r="AI130" s="15"/>
      <c r="AL130" s="15"/>
      <c r="AO130" s="15"/>
      <c r="AR130" s="15"/>
      <c r="AU130" s="15"/>
      <c r="AX130" s="15"/>
      <c r="BA130" s="15"/>
    </row>
    <row r="131" spans="5:53" x14ac:dyDescent="0.2">
      <c r="E131" s="15"/>
      <c r="H131" s="15"/>
      <c r="K131" s="15"/>
      <c r="N131" s="15"/>
      <c r="Q131" s="15"/>
      <c r="T131" s="15"/>
      <c r="W131" s="15"/>
      <c r="Z131" s="15"/>
      <c r="AC131" s="15"/>
      <c r="AF131" s="15"/>
      <c r="AI131" s="15"/>
      <c r="AL131" s="15"/>
      <c r="AO131" s="15"/>
      <c r="AR131" s="15"/>
      <c r="AU131" s="15"/>
      <c r="AX131" s="15"/>
      <c r="BA131" s="15"/>
    </row>
    <row r="132" spans="5:53" x14ac:dyDescent="0.2">
      <c r="E132" s="15"/>
      <c r="H132" s="15"/>
      <c r="K132" s="15"/>
      <c r="N132" s="15"/>
      <c r="Q132" s="15"/>
      <c r="T132" s="15"/>
      <c r="W132" s="15"/>
      <c r="Z132" s="15"/>
      <c r="AC132" s="15"/>
      <c r="AF132" s="15"/>
      <c r="AI132" s="15"/>
      <c r="AL132" s="15"/>
      <c r="AO132" s="15"/>
      <c r="AR132" s="15"/>
      <c r="AU132" s="15"/>
      <c r="AX132" s="15"/>
      <c r="BA132" s="15"/>
    </row>
    <row r="133" spans="5:53" x14ac:dyDescent="0.2">
      <c r="E133" s="15"/>
      <c r="H133" s="15"/>
      <c r="K133" s="15"/>
      <c r="N133" s="15"/>
      <c r="Q133" s="15"/>
      <c r="T133" s="15"/>
      <c r="W133" s="15"/>
      <c r="Z133" s="15"/>
      <c r="AC133" s="15"/>
      <c r="AF133" s="15"/>
      <c r="AI133" s="15"/>
      <c r="AL133" s="15"/>
      <c r="AO133" s="15"/>
      <c r="AR133" s="15"/>
      <c r="AU133" s="15"/>
      <c r="AX133" s="15"/>
      <c r="BA133" s="15"/>
    </row>
    <row r="134" spans="5:53" x14ac:dyDescent="0.2">
      <c r="E134" s="15"/>
      <c r="H134" s="15"/>
      <c r="K134" s="15"/>
      <c r="N134" s="15"/>
      <c r="Q134" s="15"/>
      <c r="T134" s="15"/>
      <c r="W134" s="15"/>
      <c r="Z134" s="15"/>
      <c r="AC134" s="15"/>
      <c r="AF134" s="15"/>
      <c r="AI134" s="15"/>
      <c r="AL134" s="15"/>
      <c r="AO134" s="15"/>
      <c r="AR134" s="15"/>
      <c r="AU134" s="15"/>
      <c r="AX134" s="15"/>
      <c r="BA134" s="15"/>
    </row>
    <row r="135" spans="5:53" x14ac:dyDescent="0.2">
      <c r="E135" s="15"/>
      <c r="H135" s="15"/>
      <c r="K135" s="15"/>
      <c r="N135" s="15"/>
      <c r="Q135" s="15"/>
      <c r="T135" s="15"/>
      <c r="W135" s="15"/>
      <c r="Z135" s="15"/>
      <c r="AC135" s="15"/>
      <c r="AF135" s="15"/>
      <c r="AI135" s="15"/>
      <c r="AL135" s="15"/>
      <c r="AO135" s="15"/>
      <c r="AR135" s="15"/>
      <c r="AU135" s="15"/>
      <c r="AX135" s="15"/>
      <c r="BA135" s="15"/>
    </row>
    <row r="136" spans="5:53" x14ac:dyDescent="0.2">
      <c r="E136" s="15"/>
      <c r="H136" s="15"/>
      <c r="K136" s="15"/>
      <c r="N136" s="15"/>
      <c r="Q136" s="15"/>
      <c r="T136" s="15"/>
      <c r="W136" s="15"/>
      <c r="Z136" s="15"/>
      <c r="AC136" s="15"/>
      <c r="AF136" s="15"/>
      <c r="AI136" s="15"/>
      <c r="AL136" s="15"/>
      <c r="AO136" s="15"/>
      <c r="AR136" s="15"/>
      <c r="AU136" s="15"/>
      <c r="AX136" s="15"/>
      <c r="BA136" s="15"/>
    </row>
    <row r="137" spans="5:53" x14ac:dyDescent="0.2">
      <c r="E137" s="15"/>
      <c r="H137" s="15"/>
      <c r="K137" s="15"/>
      <c r="N137" s="15"/>
      <c r="Q137" s="15"/>
      <c r="T137" s="15"/>
      <c r="W137" s="15"/>
      <c r="Z137" s="15"/>
      <c r="AC137" s="15"/>
      <c r="AF137" s="15"/>
      <c r="AI137" s="15"/>
      <c r="AL137" s="15"/>
      <c r="AO137" s="15"/>
      <c r="AR137" s="15"/>
      <c r="AU137" s="15"/>
      <c r="AX137" s="15"/>
      <c r="BA137" s="15"/>
    </row>
    <row r="138" spans="5:53" x14ac:dyDescent="0.2">
      <c r="E138" s="15"/>
      <c r="H138" s="15"/>
      <c r="K138" s="15"/>
      <c r="N138" s="15"/>
      <c r="Q138" s="15"/>
      <c r="T138" s="15"/>
      <c r="W138" s="15"/>
      <c r="Z138" s="15"/>
      <c r="AC138" s="15"/>
      <c r="AF138" s="15"/>
      <c r="AI138" s="15"/>
      <c r="AL138" s="15"/>
      <c r="AO138" s="15"/>
      <c r="AR138" s="15"/>
      <c r="AU138" s="15"/>
      <c r="AX138" s="15"/>
      <c r="BA138" s="15"/>
    </row>
    <row r="139" spans="5:53" x14ac:dyDescent="0.2">
      <c r="E139" s="15"/>
      <c r="H139" s="15"/>
      <c r="K139" s="15"/>
      <c r="N139" s="15"/>
      <c r="Q139" s="15"/>
      <c r="T139" s="15"/>
      <c r="W139" s="15"/>
      <c r="Z139" s="15"/>
      <c r="AC139" s="15"/>
      <c r="AF139" s="15"/>
      <c r="AI139" s="15"/>
      <c r="AL139" s="15"/>
      <c r="AO139" s="15"/>
      <c r="AR139" s="15"/>
      <c r="AU139" s="15"/>
      <c r="AX139" s="15"/>
      <c r="BA139" s="15"/>
    </row>
    <row r="140" spans="5:53" x14ac:dyDescent="0.2">
      <c r="E140" s="15"/>
      <c r="H140" s="15"/>
      <c r="K140" s="15"/>
      <c r="N140" s="15"/>
      <c r="Q140" s="15"/>
      <c r="T140" s="15"/>
      <c r="W140" s="15"/>
      <c r="Z140" s="15"/>
      <c r="AC140" s="15"/>
      <c r="AF140" s="15"/>
      <c r="AI140" s="15"/>
      <c r="AL140" s="15"/>
      <c r="AO140" s="15"/>
      <c r="AR140" s="15"/>
      <c r="AU140" s="15"/>
      <c r="AX140" s="15"/>
      <c r="BA140" s="15"/>
    </row>
    <row r="141" spans="5:53" x14ac:dyDescent="0.2">
      <c r="E141" s="15"/>
      <c r="H141" s="15"/>
      <c r="K141" s="15"/>
      <c r="N141" s="15"/>
      <c r="Q141" s="15"/>
      <c r="T141" s="15"/>
      <c r="W141" s="15"/>
      <c r="Z141" s="15"/>
      <c r="AC141" s="15"/>
      <c r="AF141" s="15"/>
      <c r="AI141" s="15"/>
      <c r="AL141" s="15"/>
      <c r="AO141" s="15"/>
      <c r="AR141" s="15"/>
      <c r="AU141" s="15"/>
      <c r="AX141" s="15"/>
      <c r="BA141" s="15"/>
    </row>
    <row r="142" spans="5:53" x14ac:dyDescent="0.2">
      <c r="E142" s="15"/>
      <c r="H142" s="15"/>
      <c r="K142" s="15"/>
      <c r="N142" s="15"/>
      <c r="Q142" s="15"/>
      <c r="T142" s="15"/>
      <c r="W142" s="15"/>
      <c r="Z142" s="15"/>
      <c r="AC142" s="15"/>
      <c r="AF142" s="15"/>
      <c r="AI142" s="15"/>
      <c r="AL142" s="15"/>
      <c r="AO142" s="15"/>
      <c r="AR142" s="15"/>
      <c r="AU142" s="15"/>
      <c r="AX142" s="15"/>
      <c r="BA142" s="15"/>
    </row>
    <row r="143" spans="5:53" x14ac:dyDescent="0.2">
      <c r="E143" s="15"/>
      <c r="H143" s="15"/>
      <c r="K143" s="15"/>
      <c r="N143" s="15"/>
      <c r="Q143" s="15"/>
      <c r="T143" s="15"/>
      <c r="W143" s="15"/>
      <c r="Z143" s="15"/>
      <c r="AC143" s="15"/>
      <c r="AF143" s="15"/>
      <c r="AI143" s="15"/>
      <c r="AL143" s="15"/>
      <c r="AO143" s="15"/>
      <c r="AR143" s="15"/>
      <c r="AU143" s="15"/>
      <c r="AX143" s="15"/>
      <c r="BA143" s="15"/>
    </row>
    <row r="144" spans="5:53" x14ac:dyDescent="0.2">
      <c r="E144" s="15"/>
      <c r="H144" s="15"/>
      <c r="K144" s="15"/>
      <c r="N144" s="15"/>
      <c r="Q144" s="15"/>
      <c r="T144" s="15"/>
      <c r="W144" s="15"/>
      <c r="Z144" s="15"/>
      <c r="AC144" s="15"/>
      <c r="AF144" s="15"/>
      <c r="AI144" s="15"/>
      <c r="AL144" s="15"/>
      <c r="AO144" s="15"/>
      <c r="AR144" s="15"/>
      <c r="AU144" s="15"/>
      <c r="AX144" s="15"/>
      <c r="BA144" s="15"/>
    </row>
    <row r="145" spans="5:53" x14ac:dyDescent="0.2">
      <c r="E145" s="15"/>
      <c r="H145" s="15"/>
      <c r="K145" s="15"/>
      <c r="N145" s="15"/>
      <c r="Q145" s="15"/>
      <c r="T145" s="15"/>
      <c r="W145" s="15"/>
      <c r="Z145" s="15"/>
      <c r="AC145" s="15"/>
      <c r="AF145" s="15"/>
      <c r="AI145" s="15"/>
      <c r="AL145" s="15"/>
      <c r="AO145" s="15"/>
      <c r="AR145" s="15"/>
      <c r="AU145" s="15"/>
      <c r="AX145" s="15"/>
      <c r="BA145" s="15"/>
    </row>
    <row r="146" spans="5:53" x14ac:dyDescent="0.2">
      <c r="E146" s="15"/>
      <c r="H146" s="15"/>
      <c r="K146" s="15"/>
      <c r="N146" s="15"/>
      <c r="Q146" s="15"/>
      <c r="T146" s="15"/>
      <c r="W146" s="15"/>
      <c r="Z146" s="15"/>
      <c r="AC146" s="15"/>
      <c r="AF146" s="15"/>
      <c r="AI146" s="15"/>
      <c r="AL146" s="15"/>
      <c r="AO146" s="15"/>
      <c r="AR146" s="15"/>
      <c r="AU146" s="15"/>
      <c r="AX146" s="15"/>
      <c r="BA146" s="15"/>
    </row>
    <row r="147" spans="5:53" x14ac:dyDescent="0.2">
      <c r="E147" s="15"/>
      <c r="H147" s="15"/>
      <c r="K147" s="15"/>
      <c r="N147" s="15"/>
      <c r="Q147" s="15"/>
      <c r="T147" s="15"/>
      <c r="W147" s="15"/>
      <c r="Z147" s="15"/>
      <c r="AC147" s="15"/>
      <c r="AF147" s="15"/>
      <c r="AI147" s="15"/>
      <c r="AL147" s="15"/>
      <c r="AO147" s="15"/>
      <c r="AR147" s="15"/>
      <c r="AU147" s="15"/>
      <c r="AX147" s="15"/>
      <c r="BA147" s="15"/>
    </row>
    <row r="148" spans="5:53" x14ac:dyDescent="0.2">
      <c r="E148" s="15"/>
      <c r="H148" s="15"/>
      <c r="K148" s="15"/>
      <c r="N148" s="15"/>
      <c r="Q148" s="15"/>
      <c r="T148" s="15"/>
      <c r="W148" s="15"/>
      <c r="Z148" s="15"/>
      <c r="AC148" s="15"/>
      <c r="AF148" s="15"/>
      <c r="AI148" s="15"/>
      <c r="AL148" s="15"/>
      <c r="AO148" s="15"/>
      <c r="AR148" s="15"/>
      <c r="AU148" s="15"/>
      <c r="AX148" s="15"/>
      <c r="BA148" s="15"/>
    </row>
    <row r="149" spans="5:53" x14ac:dyDescent="0.2">
      <c r="E149" s="15"/>
      <c r="H149" s="15"/>
      <c r="K149" s="15"/>
      <c r="N149" s="15"/>
      <c r="Q149" s="15"/>
      <c r="T149" s="15"/>
      <c r="W149" s="15"/>
      <c r="Z149" s="15"/>
      <c r="AC149" s="15"/>
      <c r="AF149" s="15"/>
      <c r="AI149" s="15"/>
      <c r="AL149" s="15"/>
      <c r="AO149" s="15"/>
      <c r="AR149" s="15"/>
      <c r="AU149" s="15"/>
      <c r="AX149" s="15"/>
      <c r="BA149" s="15"/>
    </row>
    <row r="150" spans="5:53" x14ac:dyDescent="0.2">
      <c r="E150" s="15"/>
      <c r="H150" s="15"/>
      <c r="K150" s="15"/>
      <c r="N150" s="15"/>
      <c r="Q150" s="15"/>
      <c r="T150" s="15"/>
      <c r="W150" s="15"/>
      <c r="Z150" s="15"/>
      <c r="AC150" s="15"/>
      <c r="AF150" s="15"/>
      <c r="AI150" s="15"/>
      <c r="AL150" s="15"/>
      <c r="AO150" s="15"/>
      <c r="AR150" s="15"/>
      <c r="AU150" s="15"/>
      <c r="AX150" s="15"/>
      <c r="BA150" s="15"/>
    </row>
    <row r="151" spans="5:53" x14ac:dyDescent="0.2">
      <c r="E151" s="15"/>
      <c r="H151" s="15"/>
      <c r="K151" s="15"/>
      <c r="N151" s="15"/>
      <c r="Q151" s="15"/>
      <c r="T151" s="15"/>
      <c r="W151" s="15"/>
      <c r="Z151" s="15"/>
      <c r="AC151" s="15"/>
      <c r="AF151" s="15"/>
      <c r="AI151" s="15"/>
      <c r="AL151" s="15"/>
      <c r="AO151" s="15"/>
      <c r="AR151" s="15"/>
      <c r="AU151" s="15"/>
      <c r="AX151" s="15"/>
      <c r="BA151" s="15"/>
    </row>
  </sheetData>
  <mergeCells count="69">
    <mergeCell ref="AV4:AW4"/>
    <mergeCell ref="AY4:AZ4"/>
    <mergeCell ref="AG4:AH4"/>
    <mergeCell ref="AJ4:AK4"/>
    <mergeCell ref="AM4:AN4"/>
    <mergeCell ref="AP4:AQ4"/>
    <mergeCell ref="AS4:AT4"/>
    <mergeCell ref="R4:S4"/>
    <mergeCell ref="U4:V4"/>
    <mergeCell ref="X4:Y4"/>
    <mergeCell ref="AA4:AB4"/>
    <mergeCell ref="AD4:AE4"/>
    <mergeCell ref="C4:D4"/>
    <mergeCell ref="F4:G4"/>
    <mergeCell ref="I4:J4"/>
    <mergeCell ref="L4:M4"/>
    <mergeCell ref="O4:P4"/>
    <mergeCell ref="AM3:AN3"/>
    <mergeCell ref="AP3:AQ3"/>
    <mergeCell ref="AS3:AT3"/>
    <mergeCell ref="AV3:AW3"/>
    <mergeCell ref="AY3:AZ3"/>
    <mergeCell ref="AP2:AQ2"/>
    <mergeCell ref="AS2:AT2"/>
    <mergeCell ref="AV2:AW2"/>
    <mergeCell ref="AY2:AZ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AJ3:AK3"/>
    <mergeCell ref="AV1:AX1"/>
    <mergeCell ref="AY1:BA1"/>
    <mergeCell ref="A1:B1"/>
    <mergeCell ref="C2:D2"/>
    <mergeCell ref="F2:G2"/>
    <mergeCell ref="I2:J2"/>
    <mergeCell ref="L2:M2"/>
    <mergeCell ref="O2:P2"/>
    <mergeCell ref="R2:S2"/>
    <mergeCell ref="U2:V2"/>
    <mergeCell ref="X2:Y2"/>
    <mergeCell ref="AA2:AB2"/>
    <mergeCell ref="AD2:AE2"/>
    <mergeCell ref="AG2:AH2"/>
    <mergeCell ref="AJ2:AK2"/>
    <mergeCell ref="AM2:AN2"/>
    <mergeCell ref="AG1:AI1"/>
    <mergeCell ref="AJ1:AL1"/>
    <mergeCell ref="AM1:AO1"/>
    <mergeCell ref="AP1:AR1"/>
    <mergeCell ref="AS1:AU1"/>
    <mergeCell ref="R1:T1"/>
    <mergeCell ref="U1:W1"/>
    <mergeCell ref="X1:Z1"/>
    <mergeCell ref="AA1:AC1"/>
    <mergeCell ref="AD1:AF1"/>
    <mergeCell ref="C1:E1"/>
    <mergeCell ref="F1:H1"/>
    <mergeCell ref="I1:K1"/>
    <mergeCell ref="L1:N1"/>
    <mergeCell ref="O1:Q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0463-5237-4513-9D1A-ECC302C67021}">
  <dimension ref="A1:CG150"/>
  <sheetViews>
    <sheetView workbookViewId="0">
      <selection activeCell="A10" sqref="A10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"/>
    <col min="5" max="5" width="9" style="6"/>
    <col min="6" max="7" width="9" style="1"/>
    <col min="8" max="8" width="9" style="6"/>
    <col min="9" max="10" width="9" style="1"/>
    <col min="11" max="11" width="9" style="6"/>
    <col min="12" max="13" width="9" style="1"/>
    <col min="14" max="14" width="9" style="6"/>
    <col min="15" max="16" width="9" style="1"/>
    <col min="17" max="17" width="9" style="6"/>
    <col min="18" max="19" width="9" style="1"/>
    <col min="20" max="20" width="9" style="6"/>
    <col min="21" max="22" width="9" style="1"/>
    <col min="23" max="23" width="9" style="6"/>
    <col min="24" max="25" width="9" style="1"/>
    <col min="26" max="26" width="9" style="6"/>
    <col min="27" max="28" width="9" style="1"/>
    <col min="29" max="29" width="9" style="6"/>
    <col min="30" max="31" width="9" style="1"/>
    <col min="32" max="32" width="9" style="6"/>
    <col min="33" max="34" width="9" style="1"/>
    <col min="35" max="35" width="9" style="6"/>
    <col min="36" max="37" width="9" style="1"/>
    <col min="38" max="38" width="9" style="6"/>
    <col min="39" max="40" width="9" style="1"/>
    <col min="41" max="41" width="9" style="6"/>
    <col min="42" max="43" width="9" style="1"/>
    <col min="44" max="44" width="9" style="6"/>
    <col min="45" max="46" width="9" style="1"/>
    <col min="47" max="47" width="9" style="6"/>
    <col min="48" max="49" width="9" style="1"/>
    <col min="50" max="50" width="9" style="6"/>
    <col min="51" max="52" width="9" style="1"/>
    <col min="53" max="53" width="9" style="6"/>
    <col min="54" max="55" width="9" style="1"/>
    <col min="56" max="56" width="9" style="6"/>
    <col min="57" max="58" width="9" style="1"/>
    <col min="59" max="59" width="9" style="6"/>
    <col min="60" max="61" width="9" style="1"/>
    <col min="62" max="62" width="9" style="6"/>
    <col min="63" max="64" width="9" style="1"/>
    <col min="65" max="65" width="9" style="6"/>
    <col min="66" max="67" width="9" style="1"/>
    <col min="68" max="68" width="9" style="6"/>
    <col min="69" max="70" width="9" style="1"/>
    <col min="71" max="71" width="9" style="6"/>
    <col min="72" max="73" width="9" style="1"/>
    <col min="74" max="74" width="9" style="6"/>
    <col min="75" max="76" width="9" style="1"/>
    <col min="77" max="77" width="9" style="6"/>
    <col min="78" max="16384" width="9" style="1"/>
  </cols>
  <sheetData>
    <row r="1" spans="1:85" s="5" customFormat="1" x14ac:dyDescent="0.2">
      <c r="A1" s="22" t="s">
        <v>60</v>
      </c>
      <c r="B1" s="22"/>
      <c r="C1" s="18" t="s">
        <v>17</v>
      </c>
      <c r="D1" s="18"/>
      <c r="E1" s="18"/>
      <c r="F1" s="18" t="s">
        <v>34</v>
      </c>
      <c r="G1" s="18"/>
      <c r="H1" s="18"/>
      <c r="I1" s="18" t="s">
        <v>10</v>
      </c>
      <c r="J1" s="18"/>
      <c r="K1" s="18"/>
      <c r="L1" s="18" t="s">
        <v>46</v>
      </c>
      <c r="M1" s="18"/>
      <c r="N1" s="18"/>
      <c r="O1" s="18" t="s">
        <v>41</v>
      </c>
      <c r="P1" s="18"/>
      <c r="Q1" s="18"/>
      <c r="R1" s="18" t="s">
        <v>21</v>
      </c>
      <c r="S1" s="18"/>
      <c r="T1" s="18"/>
      <c r="U1" s="18" t="s">
        <v>12</v>
      </c>
      <c r="V1" s="18"/>
      <c r="W1" s="18"/>
      <c r="X1" s="18" t="s">
        <v>40</v>
      </c>
      <c r="Y1" s="18"/>
      <c r="Z1" s="18"/>
      <c r="AA1" s="18" t="s">
        <v>9</v>
      </c>
      <c r="AB1" s="18"/>
      <c r="AC1" s="18"/>
      <c r="AD1" s="18" t="s">
        <v>23</v>
      </c>
      <c r="AE1" s="18"/>
      <c r="AF1" s="18"/>
      <c r="AG1" s="18" t="s">
        <v>16</v>
      </c>
      <c r="AH1" s="18"/>
      <c r="AI1" s="18"/>
      <c r="AJ1" s="18" t="s">
        <v>7</v>
      </c>
      <c r="AK1" s="18"/>
      <c r="AL1" s="18"/>
      <c r="AM1" s="18" t="s">
        <v>25</v>
      </c>
      <c r="AN1" s="18"/>
      <c r="AO1" s="18"/>
      <c r="AP1" s="18" t="s">
        <v>20</v>
      </c>
      <c r="AQ1" s="18"/>
      <c r="AR1" s="18"/>
      <c r="AS1" s="18" t="s">
        <v>18</v>
      </c>
      <c r="AT1" s="18"/>
      <c r="AU1" s="18"/>
      <c r="AV1" s="18" t="s">
        <v>48</v>
      </c>
      <c r="AW1" s="18"/>
      <c r="AX1" s="18"/>
      <c r="AY1" s="18" t="s">
        <v>13</v>
      </c>
      <c r="AZ1" s="18"/>
      <c r="BA1" s="18"/>
      <c r="BB1" s="18" t="s">
        <v>15</v>
      </c>
      <c r="BC1" s="18"/>
      <c r="BD1" s="18"/>
      <c r="BE1" s="18" t="s">
        <v>19</v>
      </c>
      <c r="BF1" s="18"/>
      <c r="BG1" s="18"/>
      <c r="BH1" s="18" t="s">
        <v>33</v>
      </c>
      <c r="BI1" s="18"/>
      <c r="BJ1" s="18"/>
      <c r="BK1" s="18" t="s">
        <v>22</v>
      </c>
      <c r="BL1" s="18"/>
      <c r="BM1" s="18"/>
      <c r="BN1" s="18" t="s">
        <v>6</v>
      </c>
      <c r="BO1" s="18"/>
      <c r="BP1" s="18"/>
      <c r="BQ1" s="18" t="s">
        <v>49</v>
      </c>
      <c r="BR1" s="18"/>
      <c r="BS1" s="18"/>
      <c r="BT1" s="18" t="s">
        <v>29</v>
      </c>
      <c r="BU1" s="18"/>
      <c r="BV1" s="18"/>
      <c r="BW1" s="18" t="s">
        <v>8</v>
      </c>
      <c r="BX1" s="18"/>
      <c r="BY1" s="18"/>
      <c r="BZ1" s="18"/>
      <c r="CA1" s="18"/>
      <c r="CC1" s="18"/>
      <c r="CD1" s="18"/>
      <c r="CF1" s="18"/>
      <c r="CG1" s="18"/>
    </row>
    <row r="2" spans="1:85" s="10" customFormat="1" x14ac:dyDescent="0.2">
      <c r="A2" s="10" t="s">
        <v>5</v>
      </c>
      <c r="B2" s="10">
        <f>SUM(C2:WH2)</f>
        <v>250</v>
      </c>
      <c r="C2" s="23" t="s">
        <v>5</v>
      </c>
      <c r="D2" s="23"/>
      <c r="E2" s="15">
        <f>COUNT(E6:E293)</f>
        <v>38</v>
      </c>
      <c r="F2" s="23" t="s">
        <v>5</v>
      </c>
      <c r="G2" s="23"/>
      <c r="H2" s="15">
        <f>COUNT(H6:H293)</f>
        <v>29</v>
      </c>
      <c r="I2" s="23" t="s">
        <v>5</v>
      </c>
      <c r="J2" s="23"/>
      <c r="K2" s="15">
        <f>COUNT(K6:K293)</f>
        <v>45</v>
      </c>
      <c r="L2" s="23" t="s">
        <v>5</v>
      </c>
      <c r="M2" s="23"/>
      <c r="N2" s="15">
        <f>COUNT(N6:N293)</f>
        <v>26</v>
      </c>
      <c r="O2" s="23" t="s">
        <v>5</v>
      </c>
      <c r="P2" s="23"/>
      <c r="Q2" s="15">
        <f>COUNT(Q6:Q293)</f>
        <v>2</v>
      </c>
      <c r="R2" s="23" t="s">
        <v>5</v>
      </c>
      <c r="S2" s="23"/>
      <c r="T2" s="15">
        <f>COUNT(T6:T293)</f>
        <v>11</v>
      </c>
      <c r="U2" s="23" t="s">
        <v>5</v>
      </c>
      <c r="V2" s="23"/>
      <c r="W2" s="15">
        <f>COUNT(W6:W293)</f>
        <v>52</v>
      </c>
      <c r="X2" s="23" t="s">
        <v>5</v>
      </c>
      <c r="Y2" s="23"/>
      <c r="Z2" s="15">
        <f>COUNT(Z6:Z293)</f>
        <v>1</v>
      </c>
      <c r="AA2" s="23" t="s">
        <v>5</v>
      </c>
      <c r="AB2" s="23"/>
      <c r="AC2" s="15">
        <f>COUNT(AC6:AC293)</f>
        <v>2</v>
      </c>
      <c r="AD2" s="23" t="s">
        <v>5</v>
      </c>
      <c r="AE2" s="23"/>
      <c r="AF2" s="15">
        <f>COUNT(AF6:AF293)</f>
        <v>13</v>
      </c>
      <c r="AG2" s="23" t="s">
        <v>5</v>
      </c>
      <c r="AH2" s="23"/>
      <c r="AI2" s="15">
        <f>COUNT(AI6:AI293)</f>
        <v>2</v>
      </c>
      <c r="AJ2" s="23" t="s">
        <v>5</v>
      </c>
      <c r="AK2" s="23"/>
      <c r="AL2" s="15">
        <f>COUNT(AL6:AL293)</f>
        <v>1</v>
      </c>
      <c r="AM2" s="23" t="s">
        <v>5</v>
      </c>
      <c r="AN2" s="23"/>
      <c r="AO2" s="15">
        <f>COUNT(AO6:AO293)</f>
        <v>1</v>
      </c>
      <c r="AP2" s="23" t="s">
        <v>5</v>
      </c>
      <c r="AQ2" s="23"/>
      <c r="AR2" s="15">
        <f>COUNT(AR6:AR293)</f>
        <v>9</v>
      </c>
      <c r="AS2" s="23" t="s">
        <v>5</v>
      </c>
      <c r="AT2" s="23"/>
      <c r="AU2" s="15">
        <f>COUNT(AU6:AU293)</f>
        <v>1</v>
      </c>
      <c r="AV2" s="23" t="s">
        <v>5</v>
      </c>
      <c r="AW2" s="23"/>
      <c r="AX2" s="15">
        <f>COUNT(AX6:AX293)</f>
        <v>1</v>
      </c>
      <c r="AY2" s="23" t="s">
        <v>5</v>
      </c>
      <c r="AZ2" s="23"/>
      <c r="BA2" s="15">
        <f>COUNT(BA6:BA293)</f>
        <v>3</v>
      </c>
      <c r="BB2" s="23" t="s">
        <v>5</v>
      </c>
      <c r="BC2" s="23"/>
      <c r="BD2" s="15">
        <f>COUNT(BD6:BD293)</f>
        <v>2</v>
      </c>
      <c r="BE2" s="23" t="s">
        <v>5</v>
      </c>
      <c r="BF2" s="23"/>
      <c r="BG2" s="15">
        <f>COUNT(BG6:BG293)</f>
        <v>2</v>
      </c>
      <c r="BH2" s="23" t="s">
        <v>5</v>
      </c>
      <c r="BI2" s="23"/>
      <c r="BJ2" s="15">
        <f>COUNT(BJ6:BJ293)</f>
        <v>3</v>
      </c>
      <c r="BK2" s="23" t="s">
        <v>5</v>
      </c>
      <c r="BL2" s="23"/>
      <c r="BM2" s="15">
        <f>COUNT(BM6:BM293)</f>
        <v>1</v>
      </c>
      <c r="BN2" s="23" t="s">
        <v>5</v>
      </c>
      <c r="BO2" s="23"/>
      <c r="BP2" s="15">
        <f>COUNT(BP6:BP293)</f>
        <v>1</v>
      </c>
      <c r="BQ2" s="23" t="s">
        <v>5</v>
      </c>
      <c r="BR2" s="23"/>
      <c r="BS2" s="15">
        <f>COUNT(BS6:BS293)</f>
        <v>2</v>
      </c>
      <c r="BT2" s="23" t="s">
        <v>5</v>
      </c>
      <c r="BU2" s="23"/>
      <c r="BV2" s="15">
        <f>COUNT(BV6:BV293)</f>
        <v>1</v>
      </c>
      <c r="BW2" s="23" t="s">
        <v>5</v>
      </c>
      <c r="BX2" s="23"/>
      <c r="BY2" s="15">
        <f>COUNT(BY6:BY293)</f>
        <v>1</v>
      </c>
    </row>
    <row r="3" spans="1:85" s="10" customFormat="1" x14ac:dyDescent="0.2">
      <c r="A3" s="10" t="s">
        <v>4</v>
      </c>
      <c r="B3" s="10">
        <f>SUM(C3:WH3)</f>
        <v>30.072734660385944</v>
      </c>
      <c r="C3" s="23" t="s">
        <v>4</v>
      </c>
      <c r="D3" s="23"/>
      <c r="E3" s="15">
        <f>SUM(E6:E293)</f>
        <v>2.3819586226899996</v>
      </c>
      <c r="F3" s="23" t="s">
        <v>4</v>
      </c>
      <c r="G3" s="23"/>
      <c r="H3" s="15">
        <f>SUM(H6:H293)</f>
        <v>3.3568346087806256</v>
      </c>
      <c r="I3" s="23" t="s">
        <v>4</v>
      </c>
      <c r="J3" s="23"/>
      <c r="K3" s="15">
        <f>SUM(K6:K293)</f>
        <v>2.8291286349068754</v>
      </c>
      <c r="L3" s="23" t="s">
        <v>4</v>
      </c>
      <c r="M3" s="23"/>
      <c r="N3" s="15">
        <f>SUM(N6:N293)</f>
        <v>1.3580904477018751</v>
      </c>
      <c r="O3" s="23" t="s">
        <v>4</v>
      </c>
      <c r="P3" s="23"/>
      <c r="Q3" s="15">
        <f>SUM(Q6:Q293)</f>
        <v>0.17357656436249999</v>
      </c>
      <c r="R3" s="23" t="s">
        <v>4</v>
      </c>
      <c r="S3" s="23"/>
      <c r="T3" s="15">
        <f>SUM(T6:T293)</f>
        <v>0.56483678540562499</v>
      </c>
      <c r="U3" s="23" t="s">
        <v>4</v>
      </c>
      <c r="V3" s="23"/>
      <c r="W3" s="15">
        <f>SUM(W6:W293)</f>
        <v>3.4317482515803133</v>
      </c>
      <c r="X3" s="23" t="s">
        <v>4</v>
      </c>
      <c r="Y3" s="23"/>
      <c r="Z3" s="15">
        <f>SUM(Z6:Z293)</f>
        <v>0.60518717299999991</v>
      </c>
      <c r="AA3" s="23" t="s">
        <v>4</v>
      </c>
      <c r="AB3" s="23"/>
      <c r="AC3" s="15">
        <f>SUM(AC6:AC293)</f>
        <v>0.36782966015250002</v>
      </c>
      <c r="AD3" s="23" t="s">
        <v>4</v>
      </c>
      <c r="AE3" s="23"/>
      <c r="AF3" s="15">
        <f>SUM(AF6:AF293)</f>
        <v>0.52407851829062502</v>
      </c>
      <c r="AG3" s="23" t="s">
        <v>4</v>
      </c>
      <c r="AH3" s="23"/>
      <c r="AI3" s="15">
        <f>SUM(AI6:AI293)</f>
        <v>0.31680921699999998</v>
      </c>
      <c r="AJ3" s="23" t="s">
        <v>4</v>
      </c>
      <c r="AK3" s="23"/>
      <c r="AL3" s="15">
        <f>SUM(AL6:AL293)</f>
        <v>0.86245561722374997</v>
      </c>
      <c r="AM3" s="23" t="s">
        <v>4</v>
      </c>
      <c r="AN3" s="23"/>
      <c r="AO3" s="15">
        <f>SUM(AO6:AO293)</f>
        <v>2.1278347861249998E-2</v>
      </c>
      <c r="AP3" s="23" t="s">
        <v>4</v>
      </c>
      <c r="AQ3" s="23"/>
      <c r="AR3" s="15">
        <f>SUM(AR6:AR293)</f>
        <v>3.0251157455387507</v>
      </c>
      <c r="AS3" s="23" t="s">
        <v>4</v>
      </c>
      <c r="AT3" s="23"/>
      <c r="AU3" s="15">
        <f>SUM(AU6:AU293)</f>
        <v>0.81407431350000004</v>
      </c>
      <c r="AV3" s="23" t="s">
        <v>4</v>
      </c>
      <c r="AW3" s="23"/>
      <c r="AX3" s="15">
        <f>SUM(AX6:AX293)</f>
        <v>3.7890419538125004E-2</v>
      </c>
      <c r="AY3" s="23" t="s">
        <v>4</v>
      </c>
      <c r="AZ3" s="23"/>
      <c r="BA3" s="15">
        <f>SUM(BA6:BA293)</f>
        <v>8.056093392815626</v>
      </c>
      <c r="BB3" s="23" t="s">
        <v>4</v>
      </c>
      <c r="BC3" s="23"/>
      <c r="BD3" s="15">
        <f>SUM(BD6:BD293)</f>
        <v>5.3111014648124996E-2</v>
      </c>
      <c r="BE3" s="23" t="s">
        <v>4</v>
      </c>
      <c r="BF3" s="23"/>
      <c r="BG3" s="15">
        <f>SUM(BG6:BG293)</f>
        <v>0.46253677711062496</v>
      </c>
      <c r="BH3" s="23" t="s">
        <v>4</v>
      </c>
      <c r="BI3" s="23"/>
      <c r="BJ3" s="15">
        <f>SUM(BJ6:BJ293)</f>
        <v>0.33407169703687506</v>
      </c>
      <c r="BK3" s="23" t="s">
        <v>4</v>
      </c>
      <c r="BL3" s="23"/>
      <c r="BM3" s="15">
        <f>SUM(BM6:BM293)</f>
        <v>0.14214995766562499</v>
      </c>
      <c r="BN3" s="23" t="s">
        <v>4</v>
      </c>
      <c r="BO3" s="23"/>
      <c r="BP3" s="15">
        <f>SUM(BP6:BP293)</f>
        <v>0.17381588684625005</v>
      </c>
      <c r="BQ3" s="23" t="s">
        <v>4</v>
      </c>
      <c r="BR3" s="23"/>
      <c r="BS3" s="15">
        <f>SUM(BS6:BS293)</f>
        <v>0.13271161954250002</v>
      </c>
      <c r="BT3" s="23" t="s">
        <v>4</v>
      </c>
      <c r="BU3" s="23"/>
      <c r="BV3" s="15">
        <f>SUM(BV6:BV293)</f>
        <v>3.5146128824999998E-2</v>
      </c>
      <c r="BW3" s="23" t="s">
        <v>4</v>
      </c>
      <c r="BX3" s="23"/>
      <c r="BY3" s="15">
        <f>SUM(BY6:BY293)</f>
        <v>1.2205258362499999E-2</v>
      </c>
    </row>
    <row r="4" spans="1:85" s="10" customFormat="1" x14ac:dyDescent="0.2">
      <c r="C4" s="23" t="s">
        <v>3</v>
      </c>
      <c r="D4" s="23"/>
      <c r="E4" s="15">
        <f>AVERAGE(E6:E293)</f>
        <v>6.2683121649736828E-2</v>
      </c>
      <c r="F4" s="23" t="s">
        <v>3</v>
      </c>
      <c r="G4" s="23"/>
      <c r="H4" s="15">
        <f>AVERAGE(H6:H293)</f>
        <v>0.11575291754415951</v>
      </c>
      <c r="I4" s="23" t="s">
        <v>3</v>
      </c>
      <c r="J4" s="23"/>
      <c r="K4" s="15">
        <f>AVERAGE(K6:K293)</f>
        <v>6.286952522015278E-2</v>
      </c>
      <c r="L4" s="23" t="s">
        <v>3</v>
      </c>
      <c r="M4" s="23"/>
      <c r="N4" s="15">
        <f>AVERAGE(N6:N293)</f>
        <v>5.2234247988533662E-2</v>
      </c>
      <c r="O4" s="23" t="s">
        <v>3</v>
      </c>
      <c r="P4" s="23"/>
      <c r="Q4" s="15">
        <f>AVERAGE(Q6:Q293)</f>
        <v>8.6788282181249995E-2</v>
      </c>
      <c r="R4" s="23" t="s">
        <v>3</v>
      </c>
      <c r="S4" s="23"/>
      <c r="T4" s="15">
        <f>AVERAGE(T6:T293)</f>
        <v>5.1348798673238633E-2</v>
      </c>
      <c r="U4" s="23" t="s">
        <v>3</v>
      </c>
      <c r="V4" s="23"/>
      <c r="W4" s="15">
        <f>AVERAGE(W6:W293)</f>
        <v>6.599515868423679E-2</v>
      </c>
      <c r="X4" s="23" t="s">
        <v>3</v>
      </c>
      <c r="Y4" s="23"/>
      <c r="Z4" s="15">
        <f>AVERAGE(Z6:Z293)</f>
        <v>0.60518717299999991</v>
      </c>
      <c r="AA4" s="23" t="s">
        <v>3</v>
      </c>
      <c r="AB4" s="23"/>
      <c r="AC4" s="15">
        <f>AVERAGE(AC6:AC293)</f>
        <v>0.18391483007625001</v>
      </c>
      <c r="AD4" s="23" t="s">
        <v>3</v>
      </c>
      <c r="AE4" s="23"/>
      <c r="AF4" s="15">
        <f>AVERAGE(AF6:AF293)</f>
        <v>4.0313732176201926E-2</v>
      </c>
      <c r="AG4" s="23" t="s">
        <v>3</v>
      </c>
      <c r="AH4" s="23"/>
      <c r="AI4" s="15">
        <f>AVERAGE(AI6:AI293)</f>
        <v>0.15840460849999999</v>
      </c>
      <c r="AJ4" s="23" t="s">
        <v>3</v>
      </c>
      <c r="AK4" s="23"/>
      <c r="AL4" s="15">
        <f>AVERAGE(AL6:AL293)</f>
        <v>0.86245561722374997</v>
      </c>
      <c r="AM4" s="23" t="s">
        <v>3</v>
      </c>
      <c r="AN4" s="23"/>
      <c r="AO4" s="15">
        <f>AVERAGE(AO6:AO293)</f>
        <v>2.1278347861249998E-2</v>
      </c>
      <c r="AP4" s="23" t="s">
        <v>3</v>
      </c>
      <c r="AQ4" s="23"/>
      <c r="AR4" s="15">
        <f>AVERAGE(AR6:AR293)</f>
        <v>0.33612397172652786</v>
      </c>
      <c r="AS4" s="23" t="s">
        <v>3</v>
      </c>
      <c r="AT4" s="23"/>
      <c r="AU4" s="15">
        <f>AVERAGE(AU6:AU293)</f>
        <v>0.81407431350000004</v>
      </c>
      <c r="AV4" s="23" t="s">
        <v>3</v>
      </c>
      <c r="AW4" s="23"/>
      <c r="AX4" s="15">
        <f>AVERAGE(AX6:AX293)</f>
        <v>3.7890419538125004E-2</v>
      </c>
      <c r="AY4" s="23" t="s">
        <v>3</v>
      </c>
      <c r="AZ4" s="23"/>
      <c r="BA4" s="15">
        <f>AVERAGE(BA6:BA293)</f>
        <v>2.6853644642718755</v>
      </c>
      <c r="BB4" s="23" t="s">
        <v>3</v>
      </c>
      <c r="BC4" s="23"/>
      <c r="BD4" s="15">
        <f>AVERAGE(BD6:BD293)</f>
        <v>2.6555507324062498E-2</v>
      </c>
      <c r="BE4" s="23" t="s">
        <v>3</v>
      </c>
      <c r="BF4" s="23"/>
      <c r="BG4" s="15">
        <f>AVERAGE(BG6:BG293)</f>
        <v>0.23126838855531248</v>
      </c>
      <c r="BH4" s="23" t="s">
        <v>3</v>
      </c>
      <c r="BI4" s="23"/>
      <c r="BJ4" s="15">
        <f>AVERAGE(BJ6:BJ293)</f>
        <v>0.11135723234562502</v>
      </c>
      <c r="BK4" s="23" t="s">
        <v>3</v>
      </c>
      <c r="BL4" s="23"/>
      <c r="BM4" s="15">
        <f>AVERAGE(BM6:BM293)</f>
        <v>0.14214995766562499</v>
      </c>
      <c r="BN4" s="23" t="s">
        <v>3</v>
      </c>
      <c r="BO4" s="23"/>
      <c r="BP4" s="15">
        <f>AVERAGE(BP6:BP293)</f>
        <v>0.17381588684625005</v>
      </c>
      <c r="BQ4" s="23" t="s">
        <v>3</v>
      </c>
      <c r="BR4" s="23"/>
      <c r="BS4" s="15">
        <f>AVERAGE(BS6:BS293)</f>
        <v>6.635580977125001E-2</v>
      </c>
      <c r="BT4" s="23" t="s">
        <v>3</v>
      </c>
      <c r="BU4" s="23"/>
      <c r="BV4" s="15">
        <f>AVERAGE(BV6:BV293)</f>
        <v>3.5146128824999998E-2</v>
      </c>
      <c r="BW4" s="23" t="s">
        <v>3</v>
      </c>
      <c r="BX4" s="23"/>
      <c r="BY4" s="15">
        <f>AVERAGE(BY6:BY293)</f>
        <v>1.2205258362499999E-2</v>
      </c>
    </row>
    <row r="5" spans="1:85" x14ac:dyDescent="0.2">
      <c r="C5" s="1" t="s">
        <v>38</v>
      </c>
      <c r="D5" s="1" t="s">
        <v>1</v>
      </c>
      <c r="E5" s="2" t="s">
        <v>39</v>
      </c>
      <c r="F5" s="1" t="s">
        <v>38</v>
      </c>
      <c r="G5" s="1" t="s">
        <v>1</v>
      </c>
      <c r="H5" s="2" t="s">
        <v>39</v>
      </c>
      <c r="I5" s="1" t="s">
        <v>38</v>
      </c>
      <c r="J5" s="1" t="s">
        <v>1</v>
      </c>
      <c r="K5" s="2" t="s">
        <v>39</v>
      </c>
      <c r="L5" s="1" t="s">
        <v>38</v>
      </c>
      <c r="M5" s="1" t="s">
        <v>1</v>
      </c>
      <c r="N5" s="2" t="s">
        <v>39</v>
      </c>
      <c r="O5" s="1" t="s">
        <v>38</v>
      </c>
      <c r="P5" s="1" t="s">
        <v>1</v>
      </c>
      <c r="Q5" s="2" t="s">
        <v>39</v>
      </c>
      <c r="R5" s="1" t="s">
        <v>38</v>
      </c>
      <c r="S5" s="1" t="s">
        <v>1</v>
      </c>
      <c r="T5" s="2" t="s">
        <v>39</v>
      </c>
      <c r="U5" s="1" t="s">
        <v>38</v>
      </c>
      <c r="V5" s="1" t="s">
        <v>1</v>
      </c>
      <c r="W5" s="2" t="s">
        <v>39</v>
      </c>
      <c r="X5" s="1" t="s">
        <v>38</v>
      </c>
      <c r="Y5" s="1" t="s">
        <v>1</v>
      </c>
      <c r="Z5" s="2" t="s">
        <v>39</v>
      </c>
      <c r="AA5" s="1" t="s">
        <v>38</v>
      </c>
      <c r="AB5" s="1" t="s">
        <v>1</v>
      </c>
      <c r="AC5" s="2" t="s">
        <v>39</v>
      </c>
      <c r="AD5" s="1" t="s">
        <v>38</v>
      </c>
      <c r="AE5" s="1" t="s">
        <v>1</v>
      </c>
      <c r="AF5" s="2" t="s">
        <v>39</v>
      </c>
      <c r="AG5" s="1" t="s">
        <v>38</v>
      </c>
      <c r="AH5" s="1" t="s">
        <v>1</v>
      </c>
      <c r="AI5" s="2" t="s">
        <v>39</v>
      </c>
      <c r="AJ5" s="1" t="s">
        <v>38</v>
      </c>
      <c r="AK5" s="1" t="s">
        <v>1</v>
      </c>
      <c r="AL5" s="2" t="s">
        <v>39</v>
      </c>
      <c r="AM5" s="1" t="s">
        <v>38</v>
      </c>
      <c r="AN5" s="1" t="s">
        <v>1</v>
      </c>
      <c r="AO5" s="2" t="s">
        <v>39</v>
      </c>
      <c r="AP5" s="1" t="s">
        <v>38</v>
      </c>
      <c r="AQ5" s="1" t="s">
        <v>1</v>
      </c>
      <c r="AR5" s="2" t="s">
        <v>39</v>
      </c>
      <c r="AS5" s="1" t="s">
        <v>38</v>
      </c>
      <c r="AT5" s="1" t="s">
        <v>1</v>
      </c>
      <c r="AU5" s="2" t="s">
        <v>39</v>
      </c>
      <c r="AV5" s="1" t="s">
        <v>38</v>
      </c>
      <c r="AW5" s="1" t="s">
        <v>1</v>
      </c>
      <c r="AX5" s="2" t="s">
        <v>39</v>
      </c>
      <c r="AY5" s="1" t="s">
        <v>38</v>
      </c>
      <c r="AZ5" s="1" t="s">
        <v>1</v>
      </c>
      <c r="BA5" s="2" t="s">
        <v>39</v>
      </c>
      <c r="BB5" s="1" t="s">
        <v>38</v>
      </c>
      <c r="BC5" s="1" t="s">
        <v>1</v>
      </c>
      <c r="BD5" s="14" t="s">
        <v>39</v>
      </c>
      <c r="BE5" s="1" t="s">
        <v>38</v>
      </c>
      <c r="BF5" s="1" t="s">
        <v>1</v>
      </c>
      <c r="BG5" s="14" t="s">
        <v>39</v>
      </c>
      <c r="BH5" s="1" t="s">
        <v>38</v>
      </c>
      <c r="BI5" s="1" t="s">
        <v>1</v>
      </c>
      <c r="BJ5" s="14" t="s">
        <v>39</v>
      </c>
      <c r="BK5" s="1" t="s">
        <v>38</v>
      </c>
      <c r="BL5" s="1" t="s">
        <v>1</v>
      </c>
      <c r="BM5" s="14" t="s">
        <v>39</v>
      </c>
      <c r="BN5" s="1" t="s">
        <v>38</v>
      </c>
      <c r="BO5" s="1" t="s">
        <v>1</v>
      </c>
      <c r="BP5" s="14" t="s">
        <v>39</v>
      </c>
      <c r="BQ5" s="1" t="s">
        <v>38</v>
      </c>
      <c r="BR5" s="1" t="s">
        <v>1</v>
      </c>
      <c r="BS5" s="14" t="s">
        <v>39</v>
      </c>
      <c r="BT5" s="1" t="s">
        <v>38</v>
      </c>
      <c r="BU5" s="1" t="s">
        <v>1</v>
      </c>
      <c r="BV5" s="14" t="s">
        <v>39</v>
      </c>
      <c r="BW5" s="1" t="s">
        <v>38</v>
      </c>
      <c r="BX5" s="1" t="s">
        <v>1</v>
      </c>
      <c r="BY5" s="14" t="s">
        <v>39</v>
      </c>
    </row>
    <row r="6" spans="1:85" x14ac:dyDescent="0.2">
      <c r="C6" s="1">
        <v>310.81</v>
      </c>
      <c r="D6" s="1">
        <v>15.62</v>
      </c>
      <c r="E6" s="2">
        <f t="shared" ref="E6:E37" si="0">(C6*D6*D6)/1600000</f>
        <v>4.7395494602499991E-2</v>
      </c>
      <c r="F6" s="1">
        <v>338.05</v>
      </c>
      <c r="G6" s="1">
        <v>15.89</v>
      </c>
      <c r="H6" s="2">
        <f t="shared" ref="H6:H34" si="1">(F6*G6*G6)/1600000</f>
        <v>5.334684650312501E-2</v>
      </c>
      <c r="I6" s="1">
        <v>412.85</v>
      </c>
      <c r="J6" s="1">
        <v>16.22</v>
      </c>
      <c r="K6" s="2">
        <f t="shared" ref="K6:K37" si="2">(I6*J6*J6)/1600000</f>
        <v>6.788502871249999E-2</v>
      </c>
      <c r="L6" s="1">
        <v>292.52999999999997</v>
      </c>
      <c r="M6" s="1">
        <v>14.26</v>
      </c>
      <c r="N6" s="2">
        <f t="shared" ref="N6:N31" si="3">(L6*M6*M6)/1600000</f>
        <v>3.7178295892499998E-2</v>
      </c>
      <c r="O6" s="1">
        <v>289.85000000000002</v>
      </c>
      <c r="P6" s="1">
        <v>18.36</v>
      </c>
      <c r="Q6" s="2">
        <f t="shared" ref="Q6:Q7" si="4">(O6*P6*P6)/1600000</f>
        <v>6.1065887850000007E-2</v>
      </c>
      <c r="R6" s="1">
        <v>487.88</v>
      </c>
      <c r="S6" s="1">
        <v>14.13</v>
      </c>
      <c r="T6" s="2">
        <f t="shared" ref="T6:T16" si="5">(R6*S6*S6)/1600000</f>
        <v>6.088038023250001E-2</v>
      </c>
      <c r="U6" s="1">
        <v>274.5</v>
      </c>
      <c r="V6" s="1">
        <v>17.63</v>
      </c>
      <c r="W6" s="2">
        <f t="shared" ref="W6:W37" si="6">(U6*V6*V6)/1600000</f>
        <v>5.332452440624999E-2</v>
      </c>
      <c r="X6" s="1">
        <v>1200.53</v>
      </c>
      <c r="Y6" s="1">
        <v>28.4</v>
      </c>
      <c r="Z6" s="2">
        <f t="shared" ref="Z6" si="7">(X6*Y6*Y6)/1600000</f>
        <v>0.60518717299999991</v>
      </c>
      <c r="AA6" s="1">
        <v>565.08000000000004</v>
      </c>
      <c r="AB6" s="1">
        <v>24.43</v>
      </c>
      <c r="AC6" s="2">
        <f t="shared" ref="AC6:AC7" si="8">(AA6*AB6*AB6)/1600000</f>
        <v>0.21078363405750003</v>
      </c>
      <c r="AD6" s="1">
        <v>368.18</v>
      </c>
      <c r="AE6" s="1">
        <v>15.47</v>
      </c>
      <c r="AF6" s="2">
        <f t="shared" ref="AF6:AF18" si="9">(AD6*AE6*AE6)/1600000</f>
        <v>5.5070730601250006E-2</v>
      </c>
      <c r="AG6" s="1">
        <v>565.25</v>
      </c>
      <c r="AH6" s="1">
        <v>26.88</v>
      </c>
      <c r="AI6" s="2">
        <f t="shared" ref="AI6:AI7" si="10">(AG6*AH6*AH6)/1600000</f>
        <v>0.25525785600000001</v>
      </c>
      <c r="AJ6" s="1">
        <v>1106.78</v>
      </c>
      <c r="AK6" s="1">
        <v>35.31</v>
      </c>
      <c r="AL6" s="2">
        <f t="shared" ref="AL6" si="11">(AJ6*AK6*AK6)/1600000</f>
        <v>0.86245561722374997</v>
      </c>
      <c r="AM6" s="1">
        <v>338.42</v>
      </c>
      <c r="AN6" s="1">
        <v>10.029999999999999</v>
      </c>
      <c r="AO6" s="2">
        <f t="shared" ref="AO6" si="12">(AM6*AN6*AN6)/1600000</f>
        <v>2.1278347861249998E-2</v>
      </c>
      <c r="AP6" s="1">
        <v>347.76</v>
      </c>
      <c r="AQ6" s="1">
        <v>14.79</v>
      </c>
      <c r="AR6" s="2">
        <f t="shared" ref="AR6:AR14" si="13">(AP6*AQ6*AQ6)/1600000</f>
        <v>4.7544030134999991E-2</v>
      </c>
      <c r="AS6" s="1">
        <v>818.16</v>
      </c>
      <c r="AT6" s="1">
        <v>39.9</v>
      </c>
      <c r="AU6" s="2">
        <f t="shared" ref="AU6" si="14">(AS6*AT6*AT6)/1600000</f>
        <v>0.81407431350000004</v>
      </c>
      <c r="AV6" s="1">
        <v>353.81</v>
      </c>
      <c r="AW6" s="1">
        <v>13.09</v>
      </c>
      <c r="AX6" s="14">
        <f t="shared" ref="AX6" si="15">(AV6*AW6*AW6)/1600000</f>
        <v>3.7890419538125004E-2</v>
      </c>
      <c r="AY6" s="1">
        <v>1868.44</v>
      </c>
      <c r="AZ6" s="1">
        <v>64.38</v>
      </c>
      <c r="BA6" s="2">
        <f t="shared" ref="BA6:BA8" si="16">(AY6*AZ6*AZ6)/1600000</f>
        <v>4.8401756027099996</v>
      </c>
      <c r="BB6" s="1">
        <v>209.04</v>
      </c>
      <c r="BC6" s="1">
        <v>15.04</v>
      </c>
      <c r="BD6" s="2">
        <f t="shared" ref="BD6:BD7" si="17">(BB6*BC6*BC6)/1600000</f>
        <v>2.9553239039999995E-2</v>
      </c>
      <c r="BE6" s="1">
        <v>358.46</v>
      </c>
      <c r="BF6" s="1">
        <v>16.8</v>
      </c>
      <c r="BG6" s="2">
        <f t="shared" ref="BG6:BG7" si="18">(BE6*BF6*BF6)/1600000</f>
        <v>6.3232343999999996E-2</v>
      </c>
      <c r="BH6" s="1">
        <v>353.22</v>
      </c>
      <c r="BI6" s="1">
        <v>16.239999999999998</v>
      </c>
      <c r="BJ6" s="2">
        <f t="shared" ref="BJ6:BJ8" si="19">(BH6*BI6*BI6)/1600000</f>
        <v>5.8223371920000003E-2</v>
      </c>
      <c r="BK6" s="1">
        <v>395.85</v>
      </c>
      <c r="BL6" s="1">
        <v>23.97</v>
      </c>
      <c r="BM6" s="2">
        <f t="shared" ref="BM6" si="20">(BK6*BL6*BL6)/1600000</f>
        <v>0.14214995766562499</v>
      </c>
      <c r="BN6" s="1">
        <v>591.14</v>
      </c>
      <c r="BO6" s="1">
        <v>21.69</v>
      </c>
      <c r="BP6" s="2">
        <f t="shared" ref="BP6" si="21">(BN6*BO6*BO6)/1600000</f>
        <v>0.17381588684625005</v>
      </c>
      <c r="BQ6" s="1">
        <v>411.77</v>
      </c>
      <c r="BR6" s="1">
        <v>17.78</v>
      </c>
      <c r="BS6" s="2">
        <f t="shared" ref="BS6:BS7" si="22">(BQ6*BR6*BR6)/1600000</f>
        <v>8.1357619542500009E-2</v>
      </c>
      <c r="BT6" s="1">
        <v>349.2</v>
      </c>
      <c r="BU6" s="1">
        <v>12.69</v>
      </c>
      <c r="BV6" s="14">
        <f t="shared" ref="BV6" si="23">(BT6*BU6*BU6)/1600000</f>
        <v>3.5146128824999998E-2</v>
      </c>
      <c r="BW6" s="1">
        <v>275.45</v>
      </c>
      <c r="BX6" s="1">
        <v>8.42</v>
      </c>
      <c r="BY6" s="2">
        <f t="shared" ref="BY6" si="24">(BW6*BX6*BX6)/1600000</f>
        <v>1.2205258362499999E-2</v>
      </c>
    </row>
    <row r="7" spans="1:85" x14ac:dyDescent="0.2">
      <c r="C7" s="1">
        <v>382.09</v>
      </c>
      <c r="D7" s="1">
        <v>13.18</v>
      </c>
      <c r="E7" s="2">
        <f t="shared" si="0"/>
        <v>4.1483606822499998E-2</v>
      </c>
      <c r="F7" s="1">
        <v>476.95</v>
      </c>
      <c r="G7" s="1">
        <v>17.36</v>
      </c>
      <c r="H7" s="2">
        <f t="shared" si="1"/>
        <v>8.9836394199999975E-2</v>
      </c>
      <c r="I7" s="1">
        <v>402.66</v>
      </c>
      <c r="J7" s="1">
        <v>17.190000000000001</v>
      </c>
      <c r="K7" s="2">
        <f t="shared" si="2"/>
        <v>7.436528726625001E-2</v>
      </c>
      <c r="L7" s="1">
        <v>347.1</v>
      </c>
      <c r="M7" s="1">
        <v>16.61</v>
      </c>
      <c r="N7" s="2">
        <f t="shared" si="3"/>
        <v>5.9851342443749997E-2</v>
      </c>
      <c r="O7" s="1">
        <v>442.05</v>
      </c>
      <c r="P7" s="1">
        <v>20.18</v>
      </c>
      <c r="Q7" s="2">
        <f t="shared" si="4"/>
        <v>0.11251067651249999</v>
      </c>
      <c r="R7" s="1">
        <v>504.63</v>
      </c>
      <c r="S7" s="1">
        <v>15.45</v>
      </c>
      <c r="T7" s="2">
        <f t="shared" si="5"/>
        <v>7.5285276609374993E-2</v>
      </c>
      <c r="U7" s="1">
        <v>318.77999999999997</v>
      </c>
      <c r="V7" s="1">
        <v>16.03</v>
      </c>
      <c r="W7" s="2">
        <f t="shared" si="6"/>
        <v>5.1196247313749998E-2</v>
      </c>
      <c r="Z7" s="2"/>
      <c r="AA7" s="1">
        <v>522.48</v>
      </c>
      <c r="AB7" s="1">
        <v>21.93</v>
      </c>
      <c r="AC7" s="2">
        <f t="shared" si="8"/>
        <v>0.15704602609499999</v>
      </c>
      <c r="AD7" s="1">
        <v>304.29000000000002</v>
      </c>
      <c r="AE7" s="1">
        <v>13.34</v>
      </c>
      <c r="AF7" s="2">
        <f t="shared" si="9"/>
        <v>3.3843818452500007E-2</v>
      </c>
      <c r="AG7" s="1">
        <v>332.89</v>
      </c>
      <c r="AH7" s="1">
        <v>17.2</v>
      </c>
      <c r="AI7" s="2">
        <f t="shared" si="10"/>
        <v>6.1551360999999999E-2</v>
      </c>
      <c r="AL7" s="2"/>
      <c r="AO7" s="2"/>
      <c r="AP7" s="1">
        <v>937.02</v>
      </c>
      <c r="AQ7" s="1">
        <v>27.78</v>
      </c>
      <c r="AR7" s="2">
        <f t="shared" si="13"/>
        <v>0.45195309085500007</v>
      </c>
      <c r="AU7" s="2"/>
      <c r="AX7" s="2"/>
      <c r="AY7" s="1">
        <v>1355.32</v>
      </c>
      <c r="AZ7" s="1">
        <v>41.43</v>
      </c>
      <c r="BA7" s="2">
        <f t="shared" si="16"/>
        <v>1.4539575636675</v>
      </c>
      <c r="BB7" s="1">
        <v>200.53</v>
      </c>
      <c r="BC7" s="1">
        <v>13.71</v>
      </c>
      <c r="BD7" s="2">
        <f t="shared" si="17"/>
        <v>2.3557775608125001E-2</v>
      </c>
      <c r="BE7" s="1">
        <v>663.53</v>
      </c>
      <c r="BF7" s="1">
        <v>31.03</v>
      </c>
      <c r="BG7" s="2">
        <f t="shared" si="18"/>
        <v>0.39930443311062497</v>
      </c>
      <c r="BH7" s="1">
        <v>252.27</v>
      </c>
      <c r="BI7" s="1">
        <v>14.17</v>
      </c>
      <c r="BJ7" s="2">
        <f t="shared" si="19"/>
        <v>3.1658134876875001E-2</v>
      </c>
      <c r="BM7" s="2"/>
      <c r="BP7" s="2"/>
      <c r="BQ7" s="1">
        <v>396.25</v>
      </c>
      <c r="BR7" s="1">
        <v>14.4</v>
      </c>
      <c r="BS7" s="2">
        <f t="shared" si="22"/>
        <v>5.1354000000000004E-2</v>
      </c>
      <c r="BV7" s="2"/>
      <c r="BY7" s="2"/>
    </row>
    <row r="8" spans="1:85" x14ac:dyDescent="0.2">
      <c r="C8" s="1">
        <v>400.62</v>
      </c>
      <c r="D8" s="1">
        <v>15.51</v>
      </c>
      <c r="E8" s="2">
        <f t="shared" si="0"/>
        <v>6.0233242038750003E-2</v>
      </c>
      <c r="F8" s="1">
        <v>604.03</v>
      </c>
      <c r="G8" s="1">
        <v>21.16</v>
      </c>
      <c r="H8" s="2">
        <f t="shared" si="1"/>
        <v>0.16903235923000001</v>
      </c>
      <c r="I8" s="1">
        <v>409.16</v>
      </c>
      <c r="J8" s="1">
        <v>12.22</v>
      </c>
      <c r="K8" s="2">
        <f t="shared" si="2"/>
        <v>3.8187005090000004E-2</v>
      </c>
      <c r="L8" s="1">
        <v>255.09</v>
      </c>
      <c r="M8" s="1">
        <v>14.37</v>
      </c>
      <c r="N8" s="2">
        <f t="shared" si="3"/>
        <v>3.2922058888125001E-2</v>
      </c>
      <c r="Q8" s="2"/>
      <c r="R8" s="1">
        <v>401.82</v>
      </c>
      <c r="S8" s="1">
        <v>12.03</v>
      </c>
      <c r="T8" s="2">
        <f t="shared" si="5"/>
        <v>3.6344845023749996E-2</v>
      </c>
      <c r="U8" s="1">
        <v>352.78</v>
      </c>
      <c r="V8" s="1">
        <v>16.03</v>
      </c>
      <c r="W8" s="2">
        <f t="shared" si="6"/>
        <v>5.665666643875001E-2</v>
      </c>
      <c r="Z8" s="2"/>
      <c r="AC8" s="2"/>
      <c r="AD8" s="1">
        <v>461.85</v>
      </c>
      <c r="AE8" s="1">
        <v>18.59</v>
      </c>
      <c r="AF8" s="2">
        <f t="shared" si="9"/>
        <v>9.9756164990625021E-2</v>
      </c>
      <c r="AI8" s="2"/>
      <c r="AL8" s="2"/>
      <c r="AO8" s="2"/>
      <c r="AP8" s="1">
        <v>862.54</v>
      </c>
      <c r="AQ8" s="1">
        <v>24.83</v>
      </c>
      <c r="AR8" s="2">
        <f t="shared" si="13"/>
        <v>0.33236302337874996</v>
      </c>
      <c r="AU8" s="2"/>
      <c r="AX8" s="2"/>
      <c r="AY8" s="1">
        <v>1491.89</v>
      </c>
      <c r="AZ8" s="1">
        <v>43.47</v>
      </c>
      <c r="BA8" s="2">
        <f t="shared" si="16"/>
        <v>1.7619602264381253</v>
      </c>
      <c r="BD8" s="2"/>
      <c r="BG8" s="2"/>
      <c r="BH8" s="1">
        <v>603.69000000000005</v>
      </c>
      <c r="BI8" s="1">
        <v>25.44</v>
      </c>
      <c r="BJ8" s="2">
        <f t="shared" si="19"/>
        <v>0.24419019024000005</v>
      </c>
      <c r="BM8" s="2"/>
      <c r="BP8" s="2"/>
      <c r="BS8" s="2"/>
      <c r="BV8" s="2"/>
      <c r="BY8" s="2"/>
    </row>
    <row r="9" spans="1:85" x14ac:dyDescent="0.2">
      <c r="C9" s="1">
        <v>330.48</v>
      </c>
      <c r="D9" s="1">
        <v>13.85</v>
      </c>
      <c r="E9" s="2">
        <f t="shared" si="0"/>
        <v>3.9620937374999998E-2</v>
      </c>
      <c r="F9" s="1">
        <v>486.84</v>
      </c>
      <c r="G9" s="1">
        <v>16.23</v>
      </c>
      <c r="H9" s="2">
        <f t="shared" si="1"/>
        <v>8.0149960147500005E-2</v>
      </c>
      <c r="I9" s="1">
        <v>371.28</v>
      </c>
      <c r="J9" s="1">
        <v>14.09</v>
      </c>
      <c r="K9" s="2">
        <f t="shared" si="2"/>
        <v>4.6068445604999994E-2</v>
      </c>
      <c r="L9" s="1">
        <v>322.3</v>
      </c>
      <c r="M9" s="1">
        <v>15</v>
      </c>
      <c r="N9" s="2">
        <f t="shared" si="3"/>
        <v>4.5323437500000001E-2</v>
      </c>
      <c r="Q9" s="2"/>
      <c r="R9" s="1">
        <v>267.81</v>
      </c>
      <c r="S9" s="1">
        <v>10.08</v>
      </c>
      <c r="T9" s="2">
        <f t="shared" si="5"/>
        <v>1.7007006240000001E-2</v>
      </c>
      <c r="U9" s="1">
        <v>352.76</v>
      </c>
      <c r="V9" s="1">
        <v>17.43</v>
      </c>
      <c r="W9" s="2">
        <f t="shared" si="6"/>
        <v>6.698138532749999E-2</v>
      </c>
      <c r="Z9" s="2"/>
      <c r="AC9" s="2"/>
      <c r="AD9" s="1">
        <v>223.62</v>
      </c>
      <c r="AE9" s="1">
        <v>11.93</v>
      </c>
      <c r="AF9" s="2">
        <f t="shared" si="9"/>
        <v>1.989168383625E-2</v>
      </c>
      <c r="AI9" s="2"/>
      <c r="AL9" s="2"/>
      <c r="AO9" s="2"/>
      <c r="AP9" s="1">
        <v>724.85</v>
      </c>
      <c r="AQ9" s="1">
        <v>24.17</v>
      </c>
      <c r="AR9" s="2">
        <f t="shared" si="13"/>
        <v>0.26465582760312506</v>
      </c>
      <c r="AU9" s="2"/>
      <c r="AX9" s="2"/>
      <c r="BA9" s="2"/>
      <c r="BD9" s="2"/>
      <c r="BG9" s="2"/>
      <c r="BJ9" s="2"/>
      <c r="BM9" s="2"/>
      <c r="BP9" s="2"/>
      <c r="BS9" s="2"/>
      <c r="BV9" s="2"/>
      <c r="BY9" s="2"/>
    </row>
    <row r="10" spans="1:85" x14ac:dyDescent="0.2">
      <c r="C10" s="1">
        <v>331.71</v>
      </c>
      <c r="D10" s="1">
        <v>16.739999999999998</v>
      </c>
      <c r="E10" s="2">
        <f t="shared" si="0"/>
        <v>5.809643574749998E-2</v>
      </c>
      <c r="F10" s="1">
        <v>585.85</v>
      </c>
      <c r="G10" s="1">
        <v>25.19</v>
      </c>
      <c r="H10" s="2">
        <f t="shared" si="1"/>
        <v>0.23233935886562504</v>
      </c>
      <c r="I10" s="1">
        <v>395.77</v>
      </c>
      <c r="J10" s="1">
        <v>15.71</v>
      </c>
      <c r="K10" s="2">
        <f t="shared" si="2"/>
        <v>6.1048536660625007E-2</v>
      </c>
      <c r="L10" s="1">
        <v>281.55</v>
      </c>
      <c r="M10" s="1">
        <v>13.57</v>
      </c>
      <c r="N10" s="2">
        <f t="shared" si="3"/>
        <v>3.2403747871874999E-2</v>
      </c>
      <c r="Q10" s="2"/>
      <c r="R10" s="1">
        <v>431.75</v>
      </c>
      <c r="S10" s="1">
        <v>12.62</v>
      </c>
      <c r="T10" s="2">
        <f t="shared" si="5"/>
        <v>4.2976502937499987E-2</v>
      </c>
      <c r="U10" s="1">
        <v>299.81</v>
      </c>
      <c r="V10" s="1">
        <v>16.059999999999999</v>
      </c>
      <c r="W10" s="2">
        <f t="shared" si="6"/>
        <v>4.8330046572499993E-2</v>
      </c>
      <c r="Z10" s="2"/>
      <c r="AC10" s="2"/>
      <c r="AD10" s="1">
        <v>255.96</v>
      </c>
      <c r="AE10" s="1">
        <v>13.15</v>
      </c>
      <c r="AF10" s="2">
        <f t="shared" si="9"/>
        <v>2.7663276937500005E-2</v>
      </c>
      <c r="AI10" s="2"/>
      <c r="AL10" s="2"/>
      <c r="AO10" s="2"/>
      <c r="AP10" s="1">
        <v>1018.54</v>
      </c>
      <c r="AQ10" s="1">
        <v>28.43</v>
      </c>
      <c r="AR10" s="2">
        <f t="shared" si="13"/>
        <v>0.51453133202875001</v>
      </c>
      <c r="AU10" s="2"/>
      <c r="AX10" s="2"/>
      <c r="BA10" s="2"/>
      <c r="BD10" s="2"/>
      <c r="BG10" s="2"/>
      <c r="BJ10" s="2"/>
      <c r="BM10" s="2"/>
      <c r="BP10" s="2"/>
      <c r="BS10" s="2"/>
      <c r="BV10" s="2"/>
      <c r="BY10" s="2"/>
    </row>
    <row r="11" spans="1:85" x14ac:dyDescent="0.2">
      <c r="C11" s="1">
        <v>445.36</v>
      </c>
      <c r="D11" s="1">
        <v>16.989999999999998</v>
      </c>
      <c r="E11" s="2">
        <f t="shared" si="0"/>
        <v>8.0348538834999983E-2</v>
      </c>
      <c r="F11" s="1">
        <v>445.23</v>
      </c>
      <c r="G11" s="1">
        <v>18.29</v>
      </c>
      <c r="H11" s="2">
        <f t="shared" si="1"/>
        <v>9.308760315187499E-2</v>
      </c>
      <c r="I11" s="1">
        <v>364.54</v>
      </c>
      <c r="J11" s="1">
        <v>14.21</v>
      </c>
      <c r="K11" s="2">
        <f t="shared" si="2"/>
        <v>4.6005882133750002E-2</v>
      </c>
      <c r="L11" s="1">
        <v>357.06</v>
      </c>
      <c r="M11" s="1">
        <v>15.37</v>
      </c>
      <c r="N11" s="2">
        <f t="shared" si="3"/>
        <v>5.2719217196250001E-2</v>
      </c>
      <c r="Q11" s="2"/>
      <c r="R11" s="1">
        <v>355.69</v>
      </c>
      <c r="S11" s="1">
        <v>10.06</v>
      </c>
      <c r="T11" s="2">
        <f t="shared" si="5"/>
        <v>2.2498192802500004E-2</v>
      </c>
      <c r="U11" s="1">
        <v>245.42</v>
      </c>
      <c r="V11" s="1">
        <v>16.739999999999998</v>
      </c>
      <c r="W11" s="2">
        <f t="shared" si="6"/>
        <v>4.2983410994999992E-2</v>
      </c>
      <c r="Z11" s="2"/>
      <c r="AC11" s="2"/>
      <c r="AD11" s="1">
        <v>282.16000000000003</v>
      </c>
      <c r="AE11" s="1">
        <v>12.57</v>
      </c>
      <c r="AF11" s="2">
        <f t="shared" si="9"/>
        <v>2.7864164115000003E-2</v>
      </c>
      <c r="AI11" s="2"/>
      <c r="AL11" s="2"/>
      <c r="AO11" s="2"/>
      <c r="AP11" s="1">
        <v>996.04</v>
      </c>
      <c r="AQ11" s="1">
        <v>29.74</v>
      </c>
      <c r="AR11" s="2">
        <f t="shared" si="13"/>
        <v>0.55060319268999991</v>
      </c>
      <c r="AU11" s="2"/>
      <c r="AX11" s="2"/>
      <c r="BA11" s="2"/>
      <c r="BD11" s="2"/>
      <c r="BG11" s="2"/>
      <c r="BJ11" s="2"/>
      <c r="BM11" s="2"/>
      <c r="BP11" s="2"/>
      <c r="BS11" s="2"/>
      <c r="BV11" s="2"/>
      <c r="BY11" s="2"/>
    </row>
    <row r="12" spans="1:85" x14ac:dyDescent="0.2">
      <c r="C12" s="1">
        <v>429.49</v>
      </c>
      <c r="D12" s="1">
        <v>14.92</v>
      </c>
      <c r="E12" s="2">
        <f t="shared" si="0"/>
        <v>5.9754514210000005E-2</v>
      </c>
      <c r="F12" s="1">
        <v>442.43</v>
      </c>
      <c r="G12" s="1">
        <v>16.82</v>
      </c>
      <c r="H12" s="2">
        <f t="shared" si="1"/>
        <v>7.823058320750001E-2</v>
      </c>
      <c r="I12" s="1">
        <v>385.7</v>
      </c>
      <c r="J12" s="1">
        <v>14.78</v>
      </c>
      <c r="K12" s="2">
        <f t="shared" si="2"/>
        <v>5.2659717425000002E-2</v>
      </c>
      <c r="L12" s="1">
        <v>450.17</v>
      </c>
      <c r="M12" s="1">
        <v>19.600000000000001</v>
      </c>
      <c r="N12" s="2">
        <f t="shared" si="3"/>
        <v>0.108085817</v>
      </c>
      <c r="Q12" s="2"/>
      <c r="R12" s="1">
        <v>514.07000000000005</v>
      </c>
      <c r="S12" s="1">
        <v>16.13</v>
      </c>
      <c r="T12" s="2">
        <f t="shared" si="5"/>
        <v>8.3593211864374989E-2</v>
      </c>
      <c r="U12" s="1">
        <v>293.23</v>
      </c>
      <c r="V12" s="1">
        <v>14.77</v>
      </c>
      <c r="W12" s="2">
        <f t="shared" si="6"/>
        <v>3.9980609291874997E-2</v>
      </c>
      <c r="Z12" s="2"/>
      <c r="AC12" s="2"/>
      <c r="AD12" s="1">
        <v>280.89</v>
      </c>
      <c r="AE12" s="1">
        <v>14.05</v>
      </c>
      <c r="AF12" s="2">
        <f t="shared" si="9"/>
        <v>3.4655242640625E-2</v>
      </c>
      <c r="AI12" s="2"/>
      <c r="AL12" s="2"/>
      <c r="AO12" s="2"/>
      <c r="AP12" s="1">
        <v>960.44</v>
      </c>
      <c r="AQ12" s="1">
        <v>33.15</v>
      </c>
      <c r="AR12" s="2">
        <f t="shared" si="13"/>
        <v>0.65965570368749993</v>
      </c>
      <c r="AU12" s="2"/>
      <c r="AX12" s="2"/>
      <c r="BA12" s="2"/>
      <c r="BD12" s="2"/>
      <c r="BG12" s="2"/>
      <c r="BJ12" s="2"/>
      <c r="BM12" s="2"/>
      <c r="BP12" s="2"/>
      <c r="BS12" s="2"/>
      <c r="BV12" s="2"/>
      <c r="BY12" s="2"/>
    </row>
    <row r="13" spans="1:85" x14ac:dyDescent="0.2">
      <c r="C13" s="1">
        <v>393.5</v>
      </c>
      <c r="D13" s="1">
        <v>15.59</v>
      </c>
      <c r="E13" s="2">
        <f t="shared" si="0"/>
        <v>5.9774642093749997E-2</v>
      </c>
      <c r="F13" s="1">
        <v>481.05</v>
      </c>
      <c r="G13" s="1">
        <v>18.54</v>
      </c>
      <c r="H13" s="2">
        <f t="shared" si="1"/>
        <v>0.10334505386249999</v>
      </c>
      <c r="I13" s="1">
        <v>372.1</v>
      </c>
      <c r="J13" s="1">
        <v>17.21</v>
      </c>
      <c r="K13" s="2">
        <f t="shared" si="2"/>
        <v>6.8881314756250006E-2</v>
      </c>
      <c r="L13" s="1">
        <v>338.1</v>
      </c>
      <c r="M13" s="1">
        <v>15.31</v>
      </c>
      <c r="N13" s="2">
        <f t="shared" si="3"/>
        <v>4.9530825881250011E-2</v>
      </c>
      <c r="Q13" s="2"/>
      <c r="R13" s="1">
        <v>314.16000000000003</v>
      </c>
      <c r="S13" s="1">
        <v>12.36</v>
      </c>
      <c r="T13" s="2">
        <f t="shared" si="5"/>
        <v>2.9996310960000001E-2</v>
      </c>
      <c r="U13" s="1">
        <v>396.44</v>
      </c>
      <c r="V13" s="1">
        <v>19.55</v>
      </c>
      <c r="W13" s="2">
        <f t="shared" si="6"/>
        <v>9.4700224437499994E-2</v>
      </c>
      <c r="Z13" s="2"/>
      <c r="AC13" s="2"/>
      <c r="AD13" s="1">
        <v>270.83</v>
      </c>
      <c r="AE13" s="1">
        <v>13.63</v>
      </c>
      <c r="AF13" s="2">
        <f t="shared" si="9"/>
        <v>3.1446223641875E-2</v>
      </c>
      <c r="AI13" s="2"/>
      <c r="AL13" s="2"/>
      <c r="AO13" s="2"/>
      <c r="AP13" s="1">
        <v>554.25</v>
      </c>
      <c r="AQ13" s="1">
        <v>22.13</v>
      </c>
      <c r="AR13" s="2">
        <f t="shared" si="13"/>
        <v>0.16964792301562498</v>
      </c>
      <c r="AU13" s="2"/>
      <c r="AX13" s="2"/>
      <c r="BA13" s="2"/>
      <c r="BD13" s="2"/>
      <c r="BG13" s="2"/>
      <c r="BJ13" s="2"/>
      <c r="BM13" s="2"/>
      <c r="BP13" s="2"/>
      <c r="BS13" s="2"/>
      <c r="BV13" s="2"/>
      <c r="BY13" s="2"/>
    </row>
    <row r="14" spans="1:85" x14ac:dyDescent="0.2">
      <c r="C14" s="1">
        <v>300.86</v>
      </c>
      <c r="D14" s="1">
        <v>13.38</v>
      </c>
      <c r="E14" s="2">
        <f t="shared" si="0"/>
        <v>3.3663300615000009E-2</v>
      </c>
      <c r="F14" s="1">
        <v>532.37</v>
      </c>
      <c r="G14" s="1">
        <v>17.64</v>
      </c>
      <c r="H14" s="2">
        <f t="shared" si="1"/>
        <v>0.10353584997000002</v>
      </c>
      <c r="I14" s="1">
        <v>246.75</v>
      </c>
      <c r="J14" s="1">
        <v>14.76</v>
      </c>
      <c r="K14" s="2">
        <f t="shared" si="2"/>
        <v>3.3597726749999994E-2</v>
      </c>
      <c r="L14" s="1">
        <v>246.68</v>
      </c>
      <c r="M14" s="1">
        <v>13.18</v>
      </c>
      <c r="N14" s="2">
        <f t="shared" si="3"/>
        <v>2.678210927E-2</v>
      </c>
      <c r="Q14" s="2"/>
      <c r="R14" s="1">
        <v>554.57000000000005</v>
      </c>
      <c r="S14" s="1">
        <v>19.84</v>
      </c>
      <c r="T14" s="2">
        <f t="shared" si="5"/>
        <v>0.13643309312000002</v>
      </c>
      <c r="U14" s="1">
        <v>402.36</v>
      </c>
      <c r="V14" s="1">
        <v>19.14</v>
      </c>
      <c r="W14" s="2">
        <f t="shared" si="6"/>
        <v>9.2125250910000012E-2</v>
      </c>
      <c r="Z14" s="2"/>
      <c r="AC14" s="2"/>
      <c r="AD14" s="1">
        <v>348.38</v>
      </c>
      <c r="AE14" s="1">
        <v>14.94</v>
      </c>
      <c r="AF14" s="2">
        <f t="shared" si="9"/>
        <v>4.8599793854999997E-2</v>
      </c>
      <c r="AI14" s="2"/>
      <c r="AL14" s="2"/>
      <c r="AO14" s="2"/>
      <c r="AP14" s="1">
        <v>345.38</v>
      </c>
      <c r="AQ14" s="1">
        <v>12.58</v>
      </c>
      <c r="AR14" s="2">
        <f t="shared" si="13"/>
        <v>3.4161622145000001E-2</v>
      </c>
      <c r="AU14" s="2"/>
      <c r="AX14" s="2"/>
      <c r="BA14" s="2"/>
      <c r="BD14" s="2"/>
      <c r="BG14" s="2"/>
      <c r="BJ14" s="2"/>
      <c r="BM14" s="2"/>
      <c r="BP14" s="2"/>
      <c r="BS14" s="2"/>
      <c r="BV14" s="2"/>
      <c r="BY14" s="2"/>
    </row>
    <row r="15" spans="1:85" x14ac:dyDescent="0.2">
      <c r="C15" s="1">
        <v>398.89</v>
      </c>
      <c r="D15" s="1">
        <v>16.579999999999998</v>
      </c>
      <c r="E15" s="2">
        <f t="shared" si="0"/>
        <v>6.8533390622499982E-2</v>
      </c>
      <c r="F15" s="1">
        <v>640.76</v>
      </c>
      <c r="G15" s="1">
        <v>21.1</v>
      </c>
      <c r="H15" s="2">
        <f t="shared" si="1"/>
        <v>0.17829547475000004</v>
      </c>
      <c r="I15" s="1">
        <v>416.88</v>
      </c>
      <c r="J15" s="1">
        <v>14.49</v>
      </c>
      <c r="K15" s="2">
        <f t="shared" si="2"/>
        <v>5.4705104055000002E-2</v>
      </c>
      <c r="L15" s="1">
        <v>320.64</v>
      </c>
      <c r="M15" s="1">
        <v>14.41</v>
      </c>
      <c r="N15" s="2">
        <f t="shared" si="3"/>
        <v>4.1612679239999999E-2</v>
      </c>
      <c r="Q15" s="2"/>
      <c r="R15" s="1">
        <v>189.13</v>
      </c>
      <c r="S15" s="1">
        <v>9.9700000000000006</v>
      </c>
      <c r="T15" s="2">
        <f t="shared" si="5"/>
        <v>1.1749807635625002E-2</v>
      </c>
      <c r="U15" s="1">
        <v>253.86</v>
      </c>
      <c r="V15" s="1">
        <v>16.850000000000001</v>
      </c>
      <c r="W15" s="2">
        <f t="shared" si="6"/>
        <v>4.5047853656250011E-2</v>
      </c>
      <c r="Z15" s="2"/>
      <c r="AC15" s="2"/>
      <c r="AD15" s="1">
        <v>251.11</v>
      </c>
      <c r="AE15" s="1">
        <v>16.03</v>
      </c>
      <c r="AF15" s="2">
        <f t="shared" si="9"/>
        <v>4.032840724937501E-2</v>
      </c>
      <c r="AI15" s="2"/>
      <c r="AL15" s="2"/>
      <c r="AO15" s="2"/>
      <c r="AR15" s="2"/>
      <c r="AU15" s="2"/>
      <c r="AX15" s="2"/>
      <c r="BA15" s="2"/>
      <c r="BD15" s="2"/>
      <c r="BG15" s="2"/>
      <c r="BJ15" s="2"/>
      <c r="BM15" s="2"/>
      <c r="BP15" s="2"/>
      <c r="BS15" s="2"/>
      <c r="BV15" s="2"/>
      <c r="BY15" s="2"/>
    </row>
    <row r="16" spans="1:85" x14ac:dyDescent="0.2">
      <c r="C16" s="1">
        <v>381.41</v>
      </c>
      <c r="D16" s="1">
        <v>14.26</v>
      </c>
      <c r="E16" s="2">
        <f t="shared" si="0"/>
        <v>4.84742550725E-2</v>
      </c>
      <c r="F16" s="1">
        <v>485.21</v>
      </c>
      <c r="G16" s="1">
        <v>18.05</v>
      </c>
      <c r="H16" s="2">
        <f t="shared" si="1"/>
        <v>9.8801644390624985E-2</v>
      </c>
      <c r="I16" s="1">
        <v>395.39</v>
      </c>
      <c r="J16" s="1">
        <v>16.7</v>
      </c>
      <c r="K16" s="2">
        <f t="shared" si="2"/>
        <v>6.8918948187499995E-2</v>
      </c>
      <c r="L16" s="1">
        <v>299.33</v>
      </c>
      <c r="M16" s="1">
        <v>16.62</v>
      </c>
      <c r="N16" s="2">
        <f t="shared" si="3"/>
        <v>5.1676406032499997E-2</v>
      </c>
      <c r="Q16" s="2"/>
      <c r="R16" s="1">
        <v>535.91999999999996</v>
      </c>
      <c r="S16" s="1">
        <v>11.98</v>
      </c>
      <c r="T16" s="2">
        <f t="shared" si="5"/>
        <v>4.8072157979999995E-2</v>
      </c>
      <c r="U16" s="1">
        <v>237.14500000000001</v>
      </c>
      <c r="V16" s="1">
        <v>14.65</v>
      </c>
      <c r="W16" s="2">
        <f t="shared" si="6"/>
        <v>3.1810407976562503E-2</v>
      </c>
      <c r="Z16" s="2"/>
      <c r="AC16" s="2"/>
      <c r="AD16" s="1">
        <v>374.37</v>
      </c>
      <c r="AE16" s="1">
        <v>14.61</v>
      </c>
      <c r="AF16" s="2">
        <f t="shared" si="9"/>
        <v>4.9943789173124996E-2</v>
      </c>
      <c r="AI16" s="2"/>
      <c r="AL16" s="2"/>
      <c r="AO16" s="2"/>
      <c r="AR16" s="2"/>
      <c r="AU16" s="2"/>
      <c r="AX16" s="2"/>
      <c r="BA16" s="2"/>
      <c r="BD16" s="2"/>
      <c r="BG16" s="2"/>
      <c r="BJ16" s="2"/>
      <c r="BM16" s="2"/>
      <c r="BP16" s="2"/>
      <c r="BS16" s="2"/>
      <c r="BV16" s="2"/>
      <c r="BY16" s="2"/>
    </row>
    <row r="17" spans="3:77" x14ac:dyDescent="0.2">
      <c r="C17" s="1">
        <v>422.93</v>
      </c>
      <c r="D17" s="1">
        <v>16.260000000000002</v>
      </c>
      <c r="E17" s="2">
        <f t="shared" si="0"/>
        <v>6.9885904792500009E-2</v>
      </c>
      <c r="F17" s="1">
        <v>290.19</v>
      </c>
      <c r="G17" s="1">
        <v>13.44</v>
      </c>
      <c r="H17" s="2">
        <f t="shared" si="1"/>
        <v>3.2761290239999991E-2</v>
      </c>
      <c r="I17" s="1">
        <v>240.67</v>
      </c>
      <c r="J17" s="1">
        <v>14.55</v>
      </c>
      <c r="K17" s="2">
        <f t="shared" si="2"/>
        <v>3.1844025421875005E-2</v>
      </c>
      <c r="L17" s="1">
        <v>305.48</v>
      </c>
      <c r="M17" s="1">
        <v>15.51</v>
      </c>
      <c r="N17" s="2">
        <f t="shared" si="3"/>
        <v>4.5928937092500004E-2</v>
      </c>
      <c r="Q17" s="2"/>
      <c r="T17" s="2"/>
      <c r="U17" s="1">
        <v>240.44</v>
      </c>
      <c r="V17" s="1">
        <v>15.61</v>
      </c>
      <c r="W17" s="2">
        <f t="shared" si="6"/>
        <v>3.6617824827499999E-2</v>
      </c>
      <c r="Z17" s="2"/>
      <c r="AC17" s="2"/>
      <c r="AD17" s="1">
        <v>300.68</v>
      </c>
      <c r="AE17" s="1">
        <v>13.67</v>
      </c>
      <c r="AF17" s="2">
        <f t="shared" si="9"/>
        <v>3.5117338032500001E-2</v>
      </c>
      <c r="AI17" s="2"/>
      <c r="AL17" s="2"/>
      <c r="AO17" s="2"/>
      <c r="AR17" s="2"/>
      <c r="AU17" s="2"/>
      <c r="AX17" s="2"/>
      <c r="BA17" s="2"/>
      <c r="BD17" s="2"/>
      <c r="BG17" s="2"/>
      <c r="BJ17" s="2"/>
      <c r="BM17" s="2"/>
      <c r="BP17" s="2"/>
      <c r="BS17" s="2"/>
      <c r="BV17" s="2"/>
      <c r="BY17" s="2"/>
    </row>
    <row r="18" spans="3:77" x14ac:dyDescent="0.2">
      <c r="C18" s="1">
        <v>376.17</v>
      </c>
      <c r="D18" s="1">
        <v>15.35</v>
      </c>
      <c r="E18" s="2">
        <f t="shared" si="0"/>
        <v>5.5396322390625002E-2</v>
      </c>
      <c r="F18" s="1">
        <v>558.79999999999995</v>
      </c>
      <c r="G18" s="1">
        <v>18.07</v>
      </c>
      <c r="H18" s="2">
        <f t="shared" si="1"/>
        <v>0.11403882132499998</v>
      </c>
      <c r="I18" s="1">
        <v>387.93</v>
      </c>
      <c r="J18" s="1">
        <v>17.059999999999999</v>
      </c>
      <c r="K18" s="2">
        <f t="shared" si="2"/>
        <v>7.0565339842499991E-2</v>
      </c>
      <c r="L18" s="1">
        <v>345.18</v>
      </c>
      <c r="M18" s="1">
        <v>16.45</v>
      </c>
      <c r="N18" s="2">
        <f t="shared" si="3"/>
        <v>5.8379106843749994E-2</v>
      </c>
      <c r="Q18" s="2"/>
      <c r="T18" s="2"/>
      <c r="U18" s="1">
        <v>357.02</v>
      </c>
      <c r="V18" s="1">
        <v>17.71</v>
      </c>
      <c r="W18" s="2">
        <f t="shared" si="6"/>
        <v>6.998576036375001E-2</v>
      </c>
      <c r="Z18" s="2"/>
      <c r="AC18" s="2"/>
      <c r="AD18" s="1">
        <v>269.94</v>
      </c>
      <c r="AE18" s="1">
        <v>10.86</v>
      </c>
      <c r="AF18" s="2">
        <f t="shared" si="9"/>
        <v>1.9897884764999995E-2</v>
      </c>
      <c r="AI18" s="2"/>
      <c r="AL18" s="2"/>
      <c r="AO18" s="2"/>
      <c r="AR18" s="2"/>
      <c r="AU18" s="2"/>
      <c r="AX18" s="2"/>
      <c r="BA18" s="2"/>
      <c r="BD18" s="2"/>
      <c r="BG18" s="2"/>
      <c r="BJ18" s="2"/>
      <c r="BM18" s="2"/>
      <c r="BP18" s="2"/>
      <c r="BS18" s="2"/>
      <c r="BV18" s="2"/>
      <c r="BY18" s="2"/>
    </row>
    <row r="19" spans="3:77" x14ac:dyDescent="0.2">
      <c r="C19" s="1">
        <v>354.05</v>
      </c>
      <c r="D19" s="1">
        <v>16.239999999999998</v>
      </c>
      <c r="E19" s="2">
        <f t="shared" si="0"/>
        <v>5.8360185799999992E-2</v>
      </c>
      <c r="F19" s="1">
        <v>531.77</v>
      </c>
      <c r="G19" s="1">
        <v>18.04</v>
      </c>
      <c r="H19" s="2">
        <f t="shared" si="1"/>
        <v>0.10816254976999999</v>
      </c>
      <c r="I19" s="1">
        <v>422.23</v>
      </c>
      <c r="J19" s="1">
        <v>16.71</v>
      </c>
      <c r="K19" s="2">
        <f t="shared" si="2"/>
        <v>7.3685494839375004E-2</v>
      </c>
      <c r="L19" s="1">
        <v>337.77</v>
      </c>
      <c r="M19" s="1">
        <v>17.07</v>
      </c>
      <c r="N19" s="2">
        <f t="shared" si="3"/>
        <v>6.1513173545625008E-2</v>
      </c>
      <c r="Q19" s="2"/>
      <c r="T19" s="2"/>
      <c r="U19" s="1">
        <v>359.59</v>
      </c>
      <c r="V19" s="1">
        <v>16.170000000000002</v>
      </c>
      <c r="W19" s="2">
        <f t="shared" si="6"/>
        <v>5.8763501094375004E-2</v>
      </c>
      <c r="Z19" s="2"/>
      <c r="AC19" s="2"/>
      <c r="AF19" s="2"/>
      <c r="AI19" s="2"/>
      <c r="AL19" s="2"/>
      <c r="AO19" s="2"/>
      <c r="AR19" s="2"/>
      <c r="AU19" s="2"/>
      <c r="AX19" s="2"/>
      <c r="BA19" s="2"/>
      <c r="BD19" s="2"/>
      <c r="BG19" s="2"/>
      <c r="BJ19" s="2"/>
      <c r="BM19" s="2"/>
      <c r="BP19" s="2"/>
      <c r="BS19" s="2"/>
      <c r="BV19" s="2"/>
      <c r="BY19" s="2"/>
    </row>
    <row r="20" spans="3:77" x14ac:dyDescent="0.2">
      <c r="C20" s="1">
        <v>384.03</v>
      </c>
      <c r="D20" s="1">
        <v>16.75</v>
      </c>
      <c r="E20" s="2">
        <f t="shared" si="0"/>
        <v>6.7340260546875003E-2</v>
      </c>
      <c r="F20" s="1">
        <v>576.6</v>
      </c>
      <c r="G20" s="1">
        <v>19.82</v>
      </c>
      <c r="H20" s="2">
        <f t="shared" si="1"/>
        <v>0.14156697615000002</v>
      </c>
      <c r="I20" s="1">
        <v>389.48</v>
      </c>
      <c r="J20" s="1">
        <v>14.63</v>
      </c>
      <c r="K20" s="2">
        <f t="shared" si="2"/>
        <v>5.2101932382500007E-2</v>
      </c>
      <c r="L20" s="1">
        <v>345.67</v>
      </c>
      <c r="M20" s="1">
        <v>17.95</v>
      </c>
      <c r="N20" s="2">
        <f t="shared" si="3"/>
        <v>6.9609836359374996E-2</v>
      </c>
      <c r="Q20" s="2"/>
      <c r="T20" s="2"/>
      <c r="U20" s="1">
        <v>291.39</v>
      </c>
      <c r="V20" s="1">
        <v>15.7</v>
      </c>
      <c r="W20" s="2">
        <f t="shared" si="6"/>
        <v>4.4890450687499986E-2</v>
      </c>
      <c r="Z20" s="2"/>
      <c r="AC20" s="2"/>
      <c r="AF20" s="2"/>
      <c r="AI20" s="2"/>
      <c r="AL20" s="2"/>
      <c r="AO20" s="2"/>
      <c r="AR20" s="2"/>
      <c r="AU20" s="2"/>
      <c r="AX20" s="2"/>
      <c r="BA20" s="2"/>
      <c r="BD20" s="2"/>
      <c r="BG20" s="2"/>
      <c r="BJ20" s="2"/>
      <c r="BM20" s="2"/>
      <c r="BP20" s="2"/>
      <c r="BS20" s="2"/>
      <c r="BV20" s="2"/>
      <c r="BY20" s="2"/>
    </row>
    <row r="21" spans="3:77" x14ac:dyDescent="0.2">
      <c r="C21" s="1">
        <v>359.03</v>
      </c>
      <c r="D21" s="1">
        <v>15.85</v>
      </c>
      <c r="E21" s="2">
        <f t="shared" si="0"/>
        <v>5.637275885937499E-2</v>
      </c>
      <c r="F21" s="1">
        <v>394.46</v>
      </c>
      <c r="G21" s="1">
        <v>15.9</v>
      </c>
      <c r="H21" s="2">
        <f t="shared" si="1"/>
        <v>6.2327145374999997E-2</v>
      </c>
      <c r="I21" s="1">
        <v>349.76</v>
      </c>
      <c r="J21" s="1">
        <v>12.81</v>
      </c>
      <c r="K21" s="2">
        <f t="shared" si="2"/>
        <v>3.5871407460000004E-2</v>
      </c>
      <c r="L21" s="1">
        <v>333.05</v>
      </c>
      <c r="M21" s="1">
        <v>15.63</v>
      </c>
      <c r="N21" s="2">
        <f t="shared" si="3"/>
        <v>5.0851926590624999E-2</v>
      </c>
      <c r="Q21" s="2"/>
      <c r="T21" s="2"/>
      <c r="U21" s="1">
        <v>295.7</v>
      </c>
      <c r="V21" s="1">
        <v>16.61</v>
      </c>
      <c r="W21" s="2">
        <f t="shared" si="6"/>
        <v>5.0988308731249987E-2</v>
      </c>
      <c r="Z21" s="2"/>
      <c r="AC21" s="2"/>
      <c r="AF21" s="2"/>
      <c r="AI21" s="2"/>
      <c r="AL21" s="2"/>
      <c r="AO21" s="2"/>
      <c r="AR21" s="2"/>
      <c r="AU21" s="2"/>
      <c r="AX21" s="2"/>
      <c r="BA21" s="2"/>
      <c r="BD21" s="2"/>
      <c r="BG21" s="2"/>
      <c r="BJ21" s="2"/>
      <c r="BM21" s="2"/>
      <c r="BP21" s="2"/>
      <c r="BS21" s="2"/>
      <c r="BV21" s="2"/>
      <c r="BY21" s="2"/>
    </row>
    <row r="22" spans="3:77" x14ac:dyDescent="0.2">
      <c r="C22" s="1">
        <v>377.77</v>
      </c>
      <c r="D22" s="1">
        <v>16.309999999999999</v>
      </c>
      <c r="E22" s="2">
        <f t="shared" si="0"/>
        <v>6.2808063810624995E-2</v>
      </c>
      <c r="F22" s="1">
        <v>430.34</v>
      </c>
      <c r="G22" s="1">
        <v>16.079999999999998</v>
      </c>
      <c r="H22" s="2">
        <f t="shared" si="1"/>
        <v>6.954466535999998E-2</v>
      </c>
      <c r="I22" s="1">
        <v>431.05</v>
      </c>
      <c r="J22" s="1">
        <v>17.09</v>
      </c>
      <c r="K22" s="2">
        <f t="shared" si="2"/>
        <v>7.8684971565624998E-2</v>
      </c>
      <c r="L22" s="1">
        <v>237.69</v>
      </c>
      <c r="M22" s="1">
        <v>13.15</v>
      </c>
      <c r="N22" s="2">
        <f t="shared" si="3"/>
        <v>2.5688718140625001E-2</v>
      </c>
      <c r="Q22" s="2"/>
      <c r="T22" s="2"/>
      <c r="U22" s="1">
        <v>268.02999999999997</v>
      </c>
      <c r="V22" s="1">
        <v>15.11</v>
      </c>
      <c r="W22" s="2">
        <f t="shared" si="6"/>
        <v>3.8246557601874995E-2</v>
      </c>
      <c r="Z22" s="2"/>
      <c r="AC22" s="2"/>
      <c r="AF22" s="2"/>
      <c r="AI22" s="2"/>
      <c r="AL22" s="2"/>
      <c r="AO22" s="2"/>
      <c r="AR22" s="2"/>
      <c r="AU22" s="2"/>
      <c r="AX22" s="2"/>
      <c r="BA22" s="2"/>
      <c r="BD22" s="2"/>
      <c r="BG22" s="2"/>
      <c r="BJ22" s="2"/>
      <c r="BM22" s="2"/>
      <c r="BP22" s="2"/>
      <c r="BS22" s="2"/>
      <c r="BV22" s="2"/>
      <c r="BY22" s="2"/>
    </row>
    <row r="23" spans="3:77" x14ac:dyDescent="0.2">
      <c r="C23" s="1">
        <v>432.24</v>
      </c>
      <c r="D23" s="1">
        <v>16.600000000000001</v>
      </c>
      <c r="E23" s="2">
        <f t="shared" si="0"/>
        <v>7.4442534000000019E-2</v>
      </c>
      <c r="F23" s="1">
        <v>566.20000000000005</v>
      </c>
      <c r="G23" s="1">
        <v>17.7</v>
      </c>
      <c r="H23" s="2">
        <f t="shared" si="1"/>
        <v>0.11086549874999999</v>
      </c>
      <c r="I23" s="1">
        <v>404.35</v>
      </c>
      <c r="J23" s="1">
        <v>15.28</v>
      </c>
      <c r="K23" s="2">
        <f t="shared" si="2"/>
        <v>5.9004369399999999E-2</v>
      </c>
      <c r="L23" s="1">
        <v>346.81</v>
      </c>
      <c r="M23" s="1">
        <v>22.79</v>
      </c>
      <c r="N23" s="2">
        <f t="shared" si="3"/>
        <v>0.11257974982562501</v>
      </c>
      <c r="Q23" s="2"/>
      <c r="T23" s="2"/>
      <c r="U23" s="1">
        <v>295.95999999999998</v>
      </c>
      <c r="V23" s="1">
        <v>17.89</v>
      </c>
      <c r="W23" s="2">
        <f t="shared" si="6"/>
        <v>5.9201637197500004E-2</v>
      </c>
      <c r="Z23" s="2"/>
      <c r="AC23" s="2"/>
      <c r="AF23" s="2"/>
      <c r="AI23" s="2"/>
      <c r="AL23" s="2"/>
      <c r="AO23" s="2"/>
      <c r="AR23" s="2"/>
      <c r="AU23" s="2"/>
      <c r="AX23" s="2"/>
      <c r="BA23" s="2"/>
      <c r="BD23" s="2"/>
      <c r="BG23" s="2"/>
      <c r="BJ23" s="2"/>
      <c r="BM23" s="2"/>
      <c r="BP23" s="2"/>
      <c r="BS23" s="2"/>
      <c r="BV23" s="2"/>
      <c r="BY23" s="2"/>
    </row>
    <row r="24" spans="3:77" x14ac:dyDescent="0.2">
      <c r="C24" s="1">
        <v>397.58</v>
      </c>
      <c r="D24" s="1">
        <v>16.75</v>
      </c>
      <c r="E24" s="2">
        <f t="shared" si="0"/>
        <v>6.9716274218749999E-2</v>
      </c>
      <c r="F24" s="1">
        <v>487.38</v>
      </c>
      <c r="G24" s="1">
        <v>16.600000000000001</v>
      </c>
      <c r="H24" s="2">
        <f t="shared" si="1"/>
        <v>8.3939020500000003E-2</v>
      </c>
      <c r="I24" s="1">
        <v>423.16</v>
      </c>
      <c r="J24" s="1">
        <v>13.38</v>
      </c>
      <c r="K24" s="2">
        <f t="shared" si="2"/>
        <v>4.7347478190000014E-2</v>
      </c>
      <c r="L24" s="1">
        <v>368.11</v>
      </c>
      <c r="M24" s="1">
        <v>17.5</v>
      </c>
      <c r="N24" s="2">
        <f t="shared" si="3"/>
        <v>7.0458554687499994E-2</v>
      </c>
      <c r="Q24" s="2"/>
      <c r="T24" s="2"/>
      <c r="U24" s="1">
        <v>269.76</v>
      </c>
      <c r="V24" s="1">
        <v>18.02</v>
      </c>
      <c r="W24" s="2">
        <f t="shared" si="6"/>
        <v>5.4747859439999991E-2</v>
      </c>
      <c r="Z24" s="2"/>
      <c r="AC24" s="2"/>
      <c r="AF24" s="2"/>
      <c r="AI24" s="2"/>
      <c r="AL24" s="2"/>
      <c r="AO24" s="2"/>
      <c r="AR24" s="2"/>
      <c r="AU24" s="2"/>
      <c r="AX24" s="2"/>
      <c r="BA24" s="2"/>
      <c r="BD24" s="2"/>
      <c r="BG24" s="2"/>
      <c r="BJ24" s="2"/>
      <c r="BM24" s="2"/>
      <c r="BP24" s="2"/>
      <c r="BS24" s="2"/>
      <c r="BV24" s="2"/>
      <c r="BY24" s="2"/>
    </row>
    <row r="25" spans="3:77" x14ac:dyDescent="0.2">
      <c r="C25" s="1">
        <v>380.45</v>
      </c>
      <c r="D25" s="1">
        <v>17.18</v>
      </c>
      <c r="E25" s="2">
        <f t="shared" si="0"/>
        <v>7.0181706612499992E-2</v>
      </c>
      <c r="F25" s="1">
        <v>452.09</v>
      </c>
      <c r="G25" s="1">
        <v>17.66</v>
      </c>
      <c r="H25" s="2">
        <f t="shared" si="1"/>
        <v>8.8122400002500004E-2</v>
      </c>
      <c r="I25" s="1">
        <v>441.23</v>
      </c>
      <c r="J25" s="1">
        <v>17.149999999999999</v>
      </c>
      <c r="K25" s="2">
        <f t="shared" si="2"/>
        <v>8.1109794171874985E-2</v>
      </c>
      <c r="L25" s="1">
        <v>377.56</v>
      </c>
      <c r="M25" s="1">
        <v>18.28</v>
      </c>
      <c r="N25" s="2">
        <f t="shared" si="3"/>
        <v>7.8853028440000014E-2</v>
      </c>
      <c r="Q25" s="2"/>
      <c r="T25" s="2"/>
      <c r="U25" s="1">
        <v>220.15</v>
      </c>
      <c r="V25" s="1">
        <v>14.99</v>
      </c>
      <c r="W25" s="2">
        <f t="shared" si="6"/>
        <v>3.0917329384375001E-2</v>
      </c>
      <c r="Z25" s="2"/>
      <c r="AC25" s="2"/>
      <c r="AF25" s="2"/>
      <c r="AI25" s="2"/>
      <c r="AL25" s="2"/>
      <c r="AO25" s="2"/>
      <c r="AR25" s="2"/>
      <c r="AU25" s="2"/>
      <c r="AX25" s="2"/>
      <c r="BA25" s="2"/>
      <c r="BD25" s="2"/>
      <c r="BG25" s="2"/>
      <c r="BJ25" s="2"/>
      <c r="BM25" s="2"/>
      <c r="BP25" s="2"/>
      <c r="BS25" s="2"/>
      <c r="BV25" s="2"/>
      <c r="BY25" s="2"/>
    </row>
    <row r="26" spans="3:77" x14ac:dyDescent="0.2">
      <c r="C26" s="1">
        <v>302.58999999999997</v>
      </c>
      <c r="D26" s="1">
        <v>17.78</v>
      </c>
      <c r="E26" s="2">
        <f t="shared" si="0"/>
        <v>5.9785807847499997E-2</v>
      </c>
      <c r="F26" s="1">
        <v>478.11</v>
      </c>
      <c r="G26" s="1">
        <v>18.420000000000002</v>
      </c>
      <c r="H26" s="2">
        <f t="shared" si="1"/>
        <v>0.10138812612750002</v>
      </c>
      <c r="I26" s="1">
        <v>407.58</v>
      </c>
      <c r="J26" s="1">
        <v>15.16</v>
      </c>
      <c r="K26" s="2">
        <f t="shared" si="2"/>
        <v>5.8545198780000002E-2</v>
      </c>
      <c r="L26" s="1">
        <v>278.23</v>
      </c>
      <c r="M26" s="1">
        <v>14.91</v>
      </c>
      <c r="N26" s="2">
        <f t="shared" si="3"/>
        <v>3.8657989164375003E-2</v>
      </c>
      <c r="Q26" s="2"/>
      <c r="T26" s="2"/>
      <c r="U26" s="1">
        <v>207.45</v>
      </c>
      <c r="V26" s="1">
        <v>14.89</v>
      </c>
      <c r="W26" s="2">
        <f t="shared" si="6"/>
        <v>2.8746359465624999E-2</v>
      </c>
      <c r="Z26" s="2"/>
      <c r="AC26" s="2"/>
      <c r="AF26" s="2"/>
      <c r="AI26" s="2"/>
      <c r="AL26" s="2"/>
      <c r="AO26" s="2"/>
      <c r="AR26" s="2"/>
      <c r="AU26" s="2"/>
      <c r="AX26" s="2"/>
      <c r="BA26" s="2"/>
      <c r="BD26" s="2"/>
      <c r="BG26" s="2"/>
      <c r="BJ26" s="2"/>
      <c r="BM26" s="2"/>
      <c r="BP26" s="2"/>
      <c r="BS26" s="2"/>
      <c r="BV26" s="2"/>
      <c r="BY26" s="2"/>
    </row>
    <row r="27" spans="3:77" x14ac:dyDescent="0.2">
      <c r="C27" s="1">
        <v>360.78</v>
      </c>
      <c r="D27" s="1">
        <v>20.09</v>
      </c>
      <c r="E27" s="2">
        <f t="shared" si="0"/>
        <v>9.1008581448749987E-2</v>
      </c>
      <c r="F27" s="1">
        <v>397.69</v>
      </c>
      <c r="G27" s="1">
        <v>17.84</v>
      </c>
      <c r="H27" s="2">
        <f t="shared" si="1"/>
        <v>7.9106904039999995E-2</v>
      </c>
      <c r="I27" s="1">
        <v>426.57</v>
      </c>
      <c r="J27" s="1">
        <v>14.75</v>
      </c>
      <c r="K27" s="2">
        <f t="shared" si="2"/>
        <v>5.8003522265625003E-2</v>
      </c>
      <c r="L27" s="1">
        <v>345.87</v>
      </c>
      <c r="M27" s="1">
        <v>16.55</v>
      </c>
      <c r="N27" s="2">
        <f t="shared" si="3"/>
        <v>5.9209161046875007E-2</v>
      </c>
      <c r="Q27" s="2"/>
      <c r="T27" s="2"/>
      <c r="U27" s="1">
        <v>342.55</v>
      </c>
      <c r="V27" s="1">
        <v>17.190000000000001</v>
      </c>
      <c r="W27" s="2">
        <f t="shared" si="6"/>
        <v>6.3263868159375E-2</v>
      </c>
      <c r="Z27" s="2"/>
      <c r="AC27" s="2"/>
      <c r="AF27" s="2"/>
      <c r="AI27" s="2"/>
      <c r="AL27" s="2"/>
      <c r="AO27" s="2"/>
      <c r="AR27" s="2"/>
      <c r="AU27" s="2"/>
      <c r="AX27" s="2"/>
      <c r="BA27" s="2"/>
      <c r="BD27" s="2"/>
      <c r="BG27" s="2"/>
      <c r="BJ27" s="2"/>
      <c r="BM27" s="2"/>
      <c r="BP27" s="2"/>
      <c r="BS27" s="2"/>
      <c r="BV27" s="2"/>
      <c r="BY27" s="2"/>
    </row>
    <row r="28" spans="3:77" x14ac:dyDescent="0.2">
      <c r="C28" s="1">
        <v>389.7</v>
      </c>
      <c r="D28" s="1">
        <v>15.08</v>
      </c>
      <c r="E28" s="2">
        <f t="shared" si="0"/>
        <v>5.538767129999999E-2</v>
      </c>
      <c r="F28" s="1">
        <v>454.35</v>
      </c>
      <c r="G28" s="1">
        <v>16.16</v>
      </c>
      <c r="H28" s="2">
        <f t="shared" si="1"/>
        <v>7.4157189600000006E-2</v>
      </c>
      <c r="I28" s="1">
        <v>361.52</v>
      </c>
      <c r="J28" s="1">
        <v>15.81</v>
      </c>
      <c r="K28" s="2">
        <f t="shared" si="2"/>
        <v>5.6477580795000003E-2</v>
      </c>
      <c r="L28" s="1">
        <v>419.39</v>
      </c>
      <c r="M28" s="1">
        <v>15.71</v>
      </c>
      <c r="N28" s="2">
        <f t="shared" si="3"/>
        <v>6.4691982186874997E-2</v>
      </c>
      <c r="Q28" s="2"/>
      <c r="T28" s="2"/>
      <c r="U28" s="1">
        <v>297.63</v>
      </c>
      <c r="V28" s="1">
        <v>18.600000000000001</v>
      </c>
      <c r="W28" s="2">
        <f t="shared" si="6"/>
        <v>6.4355046750000006E-2</v>
      </c>
      <c r="Z28" s="2"/>
      <c r="AC28" s="2"/>
      <c r="AF28" s="2"/>
      <c r="AI28" s="2"/>
      <c r="AL28" s="2"/>
      <c r="AO28" s="2"/>
      <c r="AR28" s="2"/>
      <c r="AU28" s="2"/>
      <c r="AX28" s="2"/>
      <c r="BA28" s="2"/>
      <c r="BD28" s="2"/>
      <c r="BG28" s="2"/>
      <c r="BJ28" s="2"/>
      <c r="BM28" s="2"/>
      <c r="BP28" s="2"/>
      <c r="BS28" s="2"/>
      <c r="BV28" s="2"/>
      <c r="BY28" s="2"/>
    </row>
    <row r="29" spans="3:77" x14ac:dyDescent="0.2">
      <c r="C29" s="1">
        <v>309.31</v>
      </c>
      <c r="D29" s="1">
        <v>16.36</v>
      </c>
      <c r="E29" s="2">
        <f t="shared" si="0"/>
        <v>5.1741686109999997E-2</v>
      </c>
      <c r="F29" s="1">
        <v>459.89</v>
      </c>
      <c r="G29" s="1">
        <v>16.670000000000002</v>
      </c>
      <c r="H29" s="2">
        <f t="shared" si="1"/>
        <v>7.9873953888125016E-2</v>
      </c>
      <c r="I29" s="1">
        <v>383.6</v>
      </c>
      <c r="J29" s="1">
        <v>17.309999999999999</v>
      </c>
      <c r="K29" s="2">
        <f t="shared" si="2"/>
        <v>7.1837754975000001E-2</v>
      </c>
      <c r="L29" s="1">
        <v>234.82</v>
      </c>
      <c r="M29" s="1">
        <v>14</v>
      </c>
      <c r="N29" s="2">
        <f t="shared" si="3"/>
        <v>2.8765450000000001E-2</v>
      </c>
      <c r="Q29" s="2"/>
      <c r="T29" s="2"/>
      <c r="U29" s="1">
        <v>217.34</v>
      </c>
      <c r="V29" s="1">
        <v>13.87</v>
      </c>
      <c r="W29" s="2">
        <f t="shared" si="6"/>
        <v>2.6131997153749999E-2</v>
      </c>
      <c r="Z29" s="2"/>
      <c r="AC29" s="2"/>
      <c r="AF29" s="2"/>
      <c r="AI29" s="2"/>
      <c r="AL29" s="2"/>
      <c r="AO29" s="2"/>
      <c r="AR29" s="2"/>
      <c r="AU29" s="2"/>
      <c r="AX29" s="2"/>
      <c r="BA29" s="2"/>
      <c r="BD29" s="2"/>
      <c r="BG29" s="2"/>
      <c r="BJ29" s="2"/>
      <c r="BM29" s="2"/>
      <c r="BP29" s="2"/>
      <c r="BS29" s="2"/>
      <c r="BV29" s="2"/>
      <c r="BY29" s="2"/>
    </row>
    <row r="30" spans="3:77" x14ac:dyDescent="0.2">
      <c r="C30" s="1">
        <v>374.8</v>
      </c>
      <c r="D30" s="1">
        <v>16.850000000000001</v>
      </c>
      <c r="E30" s="2">
        <f t="shared" si="0"/>
        <v>6.6508845625000007E-2</v>
      </c>
      <c r="F30" s="1">
        <v>856.07</v>
      </c>
      <c r="G30" s="1">
        <v>30.64</v>
      </c>
      <c r="H30" s="2">
        <f t="shared" si="1"/>
        <v>0.50230420892000005</v>
      </c>
      <c r="I30" s="1">
        <v>400.05</v>
      </c>
      <c r="J30" s="1">
        <v>17</v>
      </c>
      <c r="K30" s="2">
        <f t="shared" si="2"/>
        <v>7.2259031250000008E-2</v>
      </c>
      <c r="L30" s="1">
        <v>242.83</v>
      </c>
      <c r="M30" s="1">
        <v>11.63</v>
      </c>
      <c r="N30" s="2">
        <f t="shared" si="3"/>
        <v>2.0527770641875005E-2</v>
      </c>
      <c r="Q30" s="2"/>
      <c r="T30" s="2"/>
      <c r="U30" s="1">
        <v>276.02</v>
      </c>
      <c r="V30" s="1">
        <v>16.2</v>
      </c>
      <c r="W30" s="2">
        <f t="shared" si="6"/>
        <v>4.527418049999999E-2</v>
      </c>
      <c r="Z30" s="2"/>
      <c r="AC30" s="2"/>
      <c r="AF30" s="2"/>
      <c r="AI30" s="2"/>
      <c r="AL30" s="2"/>
      <c r="AO30" s="2"/>
      <c r="AR30" s="2"/>
      <c r="AU30" s="2"/>
      <c r="AX30" s="2"/>
      <c r="BA30" s="2"/>
      <c r="BD30" s="2"/>
      <c r="BG30" s="2"/>
      <c r="BJ30" s="2"/>
      <c r="BM30" s="2"/>
      <c r="BP30" s="2"/>
      <c r="BS30" s="2"/>
      <c r="BV30" s="2"/>
      <c r="BY30" s="2"/>
    </row>
    <row r="31" spans="3:77" x14ac:dyDescent="0.2">
      <c r="C31" s="1">
        <v>378.04</v>
      </c>
      <c r="D31" s="1">
        <v>14.54</v>
      </c>
      <c r="E31" s="2">
        <f t="shared" si="0"/>
        <v>4.9951275789999999E-2</v>
      </c>
      <c r="F31" s="1">
        <v>517.61</v>
      </c>
      <c r="G31" s="1">
        <v>20.260000000000002</v>
      </c>
      <c r="H31" s="2">
        <f t="shared" si="1"/>
        <v>0.13278883402250002</v>
      </c>
      <c r="I31" s="1">
        <v>348.6</v>
      </c>
      <c r="J31" s="1">
        <v>17.510000000000002</v>
      </c>
      <c r="K31" s="2">
        <f t="shared" si="2"/>
        <v>6.6800496787500011E-2</v>
      </c>
      <c r="L31" s="1">
        <v>249.12</v>
      </c>
      <c r="M31" s="1">
        <v>14.84</v>
      </c>
      <c r="N31" s="2">
        <f t="shared" si="3"/>
        <v>3.4289125919999996E-2</v>
      </c>
      <c r="Q31" s="2"/>
      <c r="T31" s="2"/>
      <c r="U31" s="1">
        <v>294.02</v>
      </c>
      <c r="V31" s="1">
        <v>16.920000000000002</v>
      </c>
      <c r="W31" s="2">
        <f t="shared" si="6"/>
        <v>5.2608704580000006E-2</v>
      </c>
      <c r="Z31" s="2"/>
      <c r="AC31" s="2"/>
      <c r="AF31" s="2"/>
      <c r="AI31" s="2"/>
      <c r="AL31" s="2"/>
      <c r="AO31" s="2"/>
      <c r="AR31" s="2"/>
      <c r="AU31" s="2"/>
      <c r="AX31" s="2"/>
      <c r="BA31" s="2"/>
      <c r="BD31" s="2"/>
      <c r="BG31" s="2"/>
      <c r="BJ31" s="2"/>
      <c r="BM31" s="2"/>
      <c r="BP31" s="2"/>
      <c r="BS31" s="2"/>
      <c r="BV31" s="2"/>
      <c r="BY31" s="2"/>
    </row>
    <row r="32" spans="3:77" x14ac:dyDescent="0.2">
      <c r="C32" s="1">
        <v>404.95</v>
      </c>
      <c r="D32" s="1">
        <v>19.34</v>
      </c>
      <c r="E32" s="2">
        <f t="shared" si="0"/>
        <v>9.4666072637500001E-2</v>
      </c>
      <c r="F32" s="1">
        <v>509.1</v>
      </c>
      <c r="G32" s="1">
        <v>18.02</v>
      </c>
      <c r="H32" s="2">
        <f t="shared" si="1"/>
        <v>0.10332197227499999</v>
      </c>
      <c r="I32" s="1">
        <v>415.97</v>
      </c>
      <c r="J32" s="1">
        <v>18.57</v>
      </c>
      <c r="K32" s="2">
        <f t="shared" si="2"/>
        <v>8.9653208158125011E-2</v>
      </c>
      <c r="N32" s="2"/>
      <c r="Q32" s="2"/>
      <c r="T32" s="2"/>
      <c r="U32" s="1">
        <v>293.47000000000003</v>
      </c>
      <c r="V32" s="1">
        <v>17.68</v>
      </c>
      <c r="W32" s="2">
        <f t="shared" si="6"/>
        <v>5.7333473080000003E-2</v>
      </c>
      <c r="Z32" s="2"/>
      <c r="AC32" s="2"/>
      <c r="AF32" s="2"/>
      <c r="AI32" s="2"/>
      <c r="AL32" s="2"/>
      <c r="AO32" s="2"/>
      <c r="AR32" s="2"/>
      <c r="AU32" s="2"/>
      <c r="AX32" s="2"/>
      <c r="BA32" s="2"/>
      <c r="BD32" s="2"/>
      <c r="BG32" s="2"/>
      <c r="BJ32" s="2"/>
      <c r="BM32" s="2"/>
      <c r="BP32" s="2"/>
      <c r="BS32" s="2"/>
      <c r="BV32" s="2"/>
      <c r="BY32" s="2"/>
    </row>
    <row r="33" spans="3:77" x14ac:dyDescent="0.2">
      <c r="C33" s="1">
        <v>400.93</v>
      </c>
      <c r="D33" s="1">
        <v>17.04</v>
      </c>
      <c r="E33" s="2">
        <f t="shared" si="0"/>
        <v>7.2759172679999998E-2</v>
      </c>
      <c r="F33" s="1">
        <v>693.6</v>
      </c>
      <c r="G33" s="1">
        <v>17.399999999999999</v>
      </c>
      <c r="H33" s="2">
        <f t="shared" si="1"/>
        <v>0.13124645999999998</v>
      </c>
      <c r="I33" s="1">
        <v>407.15</v>
      </c>
      <c r="J33" s="1">
        <v>16.43</v>
      </c>
      <c r="K33" s="2">
        <f t="shared" si="2"/>
        <v>6.8692541271874991E-2</v>
      </c>
      <c r="N33" s="2"/>
      <c r="Q33" s="2"/>
      <c r="T33" s="2"/>
      <c r="U33" s="1">
        <v>328.38</v>
      </c>
      <c r="V33" s="1">
        <v>19.07</v>
      </c>
      <c r="W33" s="2">
        <f t="shared" si="6"/>
        <v>7.4637674913750007E-2</v>
      </c>
      <c r="Z33" s="2"/>
      <c r="AC33" s="2"/>
      <c r="AF33" s="2"/>
      <c r="AI33" s="2"/>
      <c r="AL33" s="2"/>
      <c r="AO33" s="2"/>
      <c r="AR33" s="2"/>
      <c r="AU33" s="2"/>
      <c r="AX33" s="2"/>
      <c r="BA33" s="2"/>
      <c r="BD33" s="2"/>
      <c r="BG33" s="2"/>
      <c r="BJ33" s="2"/>
      <c r="BM33" s="2"/>
      <c r="BP33" s="2"/>
      <c r="BS33" s="2"/>
      <c r="BV33" s="2"/>
      <c r="BY33" s="2"/>
    </row>
    <row r="34" spans="3:77" x14ac:dyDescent="0.2">
      <c r="C34" s="1">
        <v>403.82</v>
      </c>
      <c r="D34" s="1">
        <v>15.18</v>
      </c>
      <c r="E34" s="2">
        <f t="shared" si="0"/>
        <v>5.8158257355E-2</v>
      </c>
      <c r="F34" s="1">
        <v>469.86</v>
      </c>
      <c r="G34" s="1">
        <v>14.45</v>
      </c>
      <c r="H34" s="2">
        <f t="shared" si="1"/>
        <v>6.1317464156250001E-2</v>
      </c>
      <c r="I34" s="1">
        <v>352.81</v>
      </c>
      <c r="J34" s="1">
        <v>11.92</v>
      </c>
      <c r="K34" s="2">
        <f t="shared" si="2"/>
        <v>3.1330939240000001E-2</v>
      </c>
      <c r="N34" s="2"/>
      <c r="Q34" s="2"/>
      <c r="T34" s="2"/>
      <c r="U34" s="1">
        <v>421.23</v>
      </c>
      <c r="V34" s="1">
        <v>23.27</v>
      </c>
      <c r="W34" s="2">
        <f t="shared" si="6"/>
        <v>0.14255815891687501</v>
      </c>
      <c r="Z34" s="2"/>
      <c r="AC34" s="2"/>
      <c r="AF34" s="2"/>
      <c r="AI34" s="2"/>
      <c r="AL34" s="2"/>
      <c r="AO34" s="2"/>
      <c r="AR34" s="2"/>
      <c r="AU34" s="2"/>
      <c r="AX34" s="2"/>
      <c r="BA34" s="2"/>
      <c r="BD34" s="2"/>
      <c r="BG34" s="2"/>
      <c r="BJ34" s="2"/>
      <c r="BM34" s="2"/>
      <c r="BP34" s="2"/>
      <c r="BS34" s="2"/>
      <c r="BV34" s="2"/>
      <c r="BY34" s="2"/>
    </row>
    <row r="35" spans="3:77" x14ac:dyDescent="0.2">
      <c r="C35" s="1">
        <v>398.37</v>
      </c>
      <c r="D35" s="1">
        <v>15.22</v>
      </c>
      <c r="E35" s="2">
        <f t="shared" si="0"/>
        <v>5.7676108192500006E-2</v>
      </c>
      <c r="H35" s="2"/>
      <c r="I35" s="1">
        <v>400.4</v>
      </c>
      <c r="J35" s="1">
        <v>16.25</v>
      </c>
      <c r="K35" s="2">
        <f t="shared" si="2"/>
        <v>6.6081640624999993E-2</v>
      </c>
      <c r="N35" s="2"/>
      <c r="Q35" s="2"/>
      <c r="T35" s="2"/>
      <c r="U35" s="1">
        <v>289.83999999999997</v>
      </c>
      <c r="V35" s="1">
        <v>18.07</v>
      </c>
      <c r="W35" s="2">
        <f t="shared" si="6"/>
        <v>5.9149985634999992E-2</v>
      </c>
      <c r="Z35" s="2"/>
      <c r="AC35" s="2"/>
      <c r="AF35" s="2"/>
      <c r="AI35" s="2"/>
      <c r="AL35" s="2"/>
      <c r="AO35" s="2"/>
      <c r="AR35" s="2"/>
      <c r="AU35" s="2"/>
      <c r="AX35" s="2"/>
      <c r="BA35" s="2"/>
      <c r="BD35" s="2"/>
      <c r="BG35" s="2"/>
      <c r="BJ35" s="2"/>
      <c r="BM35" s="2"/>
      <c r="BP35" s="2"/>
      <c r="BS35" s="2"/>
      <c r="BV35" s="2"/>
      <c r="BY35" s="2"/>
    </row>
    <row r="36" spans="3:77" x14ac:dyDescent="0.2">
      <c r="C36" s="1">
        <v>390.65</v>
      </c>
      <c r="D36" s="1">
        <v>16.43</v>
      </c>
      <c r="E36" s="2">
        <f t="shared" si="0"/>
        <v>6.5908734490624996E-2</v>
      </c>
      <c r="H36" s="2"/>
      <c r="I36" s="1">
        <v>394.18</v>
      </c>
      <c r="J36" s="1">
        <v>16.89</v>
      </c>
      <c r="K36" s="2">
        <f t="shared" si="2"/>
        <v>7.0280347736249998E-2</v>
      </c>
      <c r="N36" s="2"/>
      <c r="Q36" s="2"/>
      <c r="T36" s="2"/>
      <c r="U36" s="1">
        <v>293.38</v>
      </c>
      <c r="V36" s="1">
        <v>17.239999999999998</v>
      </c>
      <c r="W36" s="2">
        <f t="shared" si="6"/>
        <v>5.4498562179999988E-2</v>
      </c>
      <c r="Z36" s="2"/>
      <c r="AC36" s="2"/>
      <c r="AF36" s="2"/>
      <c r="AI36" s="2"/>
      <c r="AL36" s="2"/>
      <c r="AO36" s="2"/>
      <c r="AR36" s="2"/>
      <c r="AU36" s="2"/>
      <c r="AX36" s="2"/>
      <c r="BA36" s="2"/>
      <c r="BD36" s="2"/>
      <c r="BG36" s="2"/>
      <c r="BJ36" s="2"/>
      <c r="BM36" s="2"/>
      <c r="BP36" s="2"/>
      <c r="BS36" s="2"/>
      <c r="BV36" s="2"/>
      <c r="BY36" s="2"/>
    </row>
    <row r="37" spans="3:77" x14ac:dyDescent="0.2">
      <c r="C37" s="1">
        <v>400.36</v>
      </c>
      <c r="D37" s="1">
        <v>17.690000000000001</v>
      </c>
      <c r="E37" s="2">
        <f t="shared" si="0"/>
        <v>7.8304435622500029E-2</v>
      </c>
      <c r="H37" s="2"/>
      <c r="I37" s="1">
        <v>399.63</v>
      </c>
      <c r="J37" s="1">
        <v>14.37</v>
      </c>
      <c r="K37" s="2">
        <f t="shared" si="2"/>
        <v>5.1576472591874992E-2</v>
      </c>
      <c r="N37" s="2"/>
      <c r="Q37" s="2"/>
      <c r="T37" s="2"/>
      <c r="U37" s="1">
        <v>358.94</v>
      </c>
      <c r="V37" s="1">
        <v>19.079999999999998</v>
      </c>
      <c r="W37" s="2">
        <f t="shared" si="6"/>
        <v>8.1669259259999974E-2</v>
      </c>
      <c r="Z37" s="2"/>
      <c r="AC37" s="2"/>
      <c r="AF37" s="2"/>
      <c r="AI37" s="2"/>
      <c r="AL37" s="2"/>
      <c r="AO37" s="2"/>
      <c r="AR37" s="2"/>
      <c r="AU37" s="2"/>
      <c r="AX37" s="2"/>
      <c r="BA37" s="2"/>
      <c r="BD37" s="2"/>
      <c r="BG37" s="2"/>
      <c r="BJ37" s="2"/>
      <c r="BM37" s="2"/>
      <c r="BP37" s="2"/>
      <c r="BS37" s="2"/>
      <c r="BV37" s="2"/>
      <c r="BY37" s="2"/>
    </row>
    <row r="38" spans="3:77" x14ac:dyDescent="0.2">
      <c r="C38" s="1">
        <v>389.14</v>
      </c>
      <c r="D38" s="1">
        <v>17.54</v>
      </c>
      <c r="E38" s="2">
        <f t="shared" ref="E38:E43" si="25">(C38*D38*D38)/1600000</f>
        <v>7.4824714764999994E-2</v>
      </c>
      <c r="H38" s="2"/>
      <c r="I38" s="1">
        <v>429.71</v>
      </c>
      <c r="J38" s="1">
        <v>15.86</v>
      </c>
      <c r="K38" s="2">
        <f t="shared" ref="K38:K50" si="26">(I38*J38*J38)/1600000</f>
        <v>6.7555675947499991E-2</v>
      </c>
      <c r="N38" s="2"/>
      <c r="Q38" s="2"/>
      <c r="T38" s="2"/>
      <c r="U38" s="1">
        <v>254.53</v>
      </c>
      <c r="V38" s="1">
        <v>14.57</v>
      </c>
      <c r="W38" s="2">
        <f t="shared" ref="W38:W57" si="27">(U38*V38*V38)/1600000</f>
        <v>3.3770547248125005E-2</v>
      </c>
      <c r="Z38" s="2"/>
      <c r="AC38" s="2"/>
      <c r="AF38" s="2"/>
      <c r="AI38" s="2"/>
      <c r="AL38" s="2"/>
      <c r="AO38" s="2"/>
      <c r="AR38" s="2"/>
      <c r="AU38" s="2"/>
      <c r="AX38" s="2"/>
      <c r="BA38" s="2"/>
      <c r="BD38" s="2"/>
      <c r="BG38" s="2"/>
      <c r="BJ38" s="2"/>
      <c r="BM38" s="2"/>
      <c r="BP38" s="2"/>
      <c r="BS38" s="2"/>
      <c r="BV38" s="2"/>
      <c r="BY38" s="2"/>
    </row>
    <row r="39" spans="3:77" x14ac:dyDescent="0.2">
      <c r="C39" s="1">
        <v>366.15</v>
      </c>
      <c r="D39" s="1">
        <v>18.2</v>
      </c>
      <c r="E39" s="2">
        <f t="shared" si="25"/>
        <v>7.5802203749999991E-2</v>
      </c>
      <c r="H39" s="2"/>
      <c r="I39" s="1">
        <v>390.22</v>
      </c>
      <c r="J39" s="1">
        <v>16.2</v>
      </c>
      <c r="K39" s="2">
        <f t="shared" si="26"/>
        <v>6.4005835499999997E-2</v>
      </c>
      <c r="N39" s="2"/>
      <c r="Q39" s="2"/>
      <c r="T39" s="2"/>
      <c r="U39" s="1">
        <v>379.86</v>
      </c>
      <c r="V39" s="1">
        <v>20.2</v>
      </c>
      <c r="W39" s="2">
        <f t="shared" si="27"/>
        <v>9.6873796499999984E-2</v>
      </c>
      <c r="Z39" s="2"/>
      <c r="AC39" s="2"/>
      <c r="AF39" s="2"/>
      <c r="AI39" s="2"/>
      <c r="AL39" s="2"/>
      <c r="AO39" s="2"/>
      <c r="AR39" s="2"/>
      <c r="AU39" s="2"/>
      <c r="AX39" s="2"/>
      <c r="BA39" s="2"/>
      <c r="BD39" s="2"/>
      <c r="BG39" s="2"/>
      <c r="BJ39" s="2"/>
      <c r="BM39" s="2"/>
      <c r="BP39" s="2"/>
      <c r="BS39" s="2"/>
      <c r="BV39" s="2"/>
      <c r="BY39" s="2"/>
    </row>
    <row r="40" spans="3:77" x14ac:dyDescent="0.2">
      <c r="C40" s="1">
        <v>300.77</v>
      </c>
      <c r="D40" s="1">
        <v>15.17</v>
      </c>
      <c r="E40" s="2">
        <f t="shared" si="25"/>
        <v>4.3259918283124997E-2</v>
      </c>
      <c r="H40" s="2"/>
      <c r="I40" s="1">
        <v>392.28</v>
      </c>
      <c r="J40" s="1">
        <v>16.52</v>
      </c>
      <c r="K40" s="2">
        <f t="shared" si="26"/>
        <v>6.6910807319999988E-2</v>
      </c>
      <c r="N40" s="2"/>
      <c r="Q40" s="2"/>
      <c r="T40" s="2"/>
      <c r="U40" s="1">
        <v>325.54000000000002</v>
      </c>
      <c r="V40" s="1">
        <v>18.7</v>
      </c>
      <c r="W40" s="2">
        <f t="shared" si="27"/>
        <v>7.1148801624999994E-2</v>
      </c>
      <c r="Z40" s="2"/>
      <c r="AC40" s="2"/>
      <c r="AF40" s="2"/>
      <c r="AI40" s="2"/>
      <c r="AL40" s="2"/>
      <c r="AO40" s="2"/>
      <c r="AR40" s="2"/>
      <c r="AU40" s="2"/>
      <c r="AX40" s="2"/>
      <c r="BA40" s="2"/>
      <c r="BD40" s="2"/>
      <c r="BG40" s="2"/>
      <c r="BJ40" s="2"/>
      <c r="BM40" s="2"/>
      <c r="BP40" s="2"/>
      <c r="BS40" s="2"/>
      <c r="BV40" s="2"/>
      <c r="BY40" s="2"/>
    </row>
    <row r="41" spans="3:77" x14ac:dyDescent="0.2">
      <c r="C41" s="1">
        <v>392.95</v>
      </c>
      <c r="D41" s="1">
        <v>16.97</v>
      </c>
      <c r="E41" s="2">
        <f t="shared" si="25"/>
        <v>7.0726309159374987E-2</v>
      </c>
      <c r="H41" s="2"/>
      <c r="I41" s="1">
        <v>403.4</v>
      </c>
      <c r="J41" s="1">
        <v>18.93</v>
      </c>
      <c r="K41" s="2">
        <f t="shared" si="26"/>
        <v>9.0347707912499992E-2</v>
      </c>
      <c r="N41" s="2"/>
      <c r="Q41" s="2"/>
      <c r="T41" s="2"/>
      <c r="U41" s="1">
        <v>380.14</v>
      </c>
      <c r="V41" s="1">
        <v>22.73</v>
      </c>
      <c r="W41" s="2">
        <f t="shared" si="27"/>
        <v>0.12275027087875001</v>
      </c>
      <c r="Z41" s="2"/>
      <c r="AC41" s="2"/>
      <c r="AF41" s="2"/>
      <c r="AI41" s="2"/>
      <c r="AL41" s="2"/>
      <c r="AO41" s="2"/>
      <c r="AR41" s="2"/>
      <c r="AU41" s="2"/>
      <c r="AX41" s="2"/>
      <c r="BA41" s="2"/>
      <c r="BD41" s="2"/>
      <c r="BG41" s="2"/>
      <c r="BJ41" s="2"/>
      <c r="BM41" s="2"/>
      <c r="BP41" s="2"/>
      <c r="BS41" s="2"/>
      <c r="BV41" s="2"/>
      <c r="BY41" s="2"/>
    </row>
    <row r="42" spans="3:77" x14ac:dyDescent="0.2">
      <c r="C42" s="1">
        <v>367.57</v>
      </c>
      <c r="D42" s="1">
        <v>17.899999999999999</v>
      </c>
      <c r="E42" s="2">
        <f t="shared" si="25"/>
        <v>7.3608189812499988E-2</v>
      </c>
      <c r="H42" s="2"/>
      <c r="I42" s="1">
        <v>360.3</v>
      </c>
      <c r="J42" s="1">
        <v>14.37</v>
      </c>
      <c r="K42" s="2">
        <f t="shared" si="26"/>
        <v>4.6500520668749996E-2</v>
      </c>
      <c r="N42" s="2"/>
      <c r="Q42" s="2"/>
      <c r="T42" s="2"/>
      <c r="U42" s="1">
        <v>262.39</v>
      </c>
      <c r="V42" s="1">
        <v>15.99</v>
      </c>
      <c r="W42" s="2">
        <f t="shared" si="27"/>
        <v>4.1929938399375005E-2</v>
      </c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  <c r="BJ42" s="2"/>
      <c r="BM42" s="2"/>
      <c r="BP42" s="2"/>
      <c r="BS42" s="2"/>
      <c r="BV42" s="2"/>
      <c r="BY42" s="2"/>
    </row>
    <row r="43" spans="3:77" x14ac:dyDescent="0.2">
      <c r="C43" s="1">
        <v>360.87</v>
      </c>
      <c r="D43" s="1">
        <v>16.309999999999999</v>
      </c>
      <c r="E43" s="2">
        <f t="shared" si="25"/>
        <v>5.9998268754374987E-2</v>
      </c>
      <c r="H43" s="2"/>
      <c r="I43" s="1">
        <v>396.38</v>
      </c>
      <c r="J43" s="1">
        <v>20.309999999999999</v>
      </c>
      <c r="K43" s="2">
        <f t="shared" si="26"/>
        <v>0.10219075257375</v>
      </c>
      <c r="N43" s="2"/>
      <c r="Q43" s="2"/>
      <c r="T43" s="2"/>
      <c r="U43" s="1">
        <v>378.73</v>
      </c>
      <c r="V43" s="1">
        <v>23.16</v>
      </c>
      <c r="W43" s="2">
        <f t="shared" si="27"/>
        <v>0.12696582393</v>
      </c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  <c r="BJ43" s="2"/>
      <c r="BM43" s="2"/>
      <c r="BP43" s="2"/>
      <c r="BS43" s="2"/>
      <c r="BV43" s="2"/>
      <c r="BY43" s="2"/>
    </row>
    <row r="44" spans="3:77" x14ac:dyDescent="0.2">
      <c r="E44" s="2"/>
      <c r="H44" s="2"/>
      <c r="I44" s="1">
        <v>394.6</v>
      </c>
      <c r="J44" s="1">
        <v>14.76</v>
      </c>
      <c r="K44" s="2">
        <f t="shared" si="26"/>
        <v>5.3729130600000001E-2</v>
      </c>
      <c r="N44" s="2"/>
      <c r="Q44" s="2"/>
      <c r="T44" s="2"/>
      <c r="U44" s="1">
        <v>255.69</v>
      </c>
      <c r="V44" s="1">
        <v>18.14</v>
      </c>
      <c r="W44" s="2">
        <f t="shared" si="27"/>
        <v>5.2585780702499994E-2</v>
      </c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  <c r="BJ44" s="2"/>
      <c r="BM44" s="2"/>
      <c r="BP44" s="2"/>
      <c r="BS44" s="2"/>
      <c r="BV44" s="2"/>
      <c r="BY44" s="2"/>
    </row>
    <row r="45" spans="3:77" x14ac:dyDescent="0.2">
      <c r="E45" s="2"/>
      <c r="H45" s="2"/>
      <c r="I45" s="1">
        <v>421.07</v>
      </c>
      <c r="J45" s="1">
        <v>14.06</v>
      </c>
      <c r="K45" s="2">
        <f t="shared" si="26"/>
        <v>5.2024145907500007E-2</v>
      </c>
      <c r="N45" s="2"/>
      <c r="Q45" s="2"/>
      <c r="T45" s="2"/>
      <c r="U45" s="1">
        <v>242.63</v>
      </c>
      <c r="V45" s="1">
        <v>13.17</v>
      </c>
      <c r="W45" s="2">
        <f t="shared" si="27"/>
        <v>2.6302441629375003E-2</v>
      </c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  <c r="BJ45" s="2"/>
      <c r="BM45" s="2"/>
      <c r="BP45" s="2"/>
      <c r="BS45" s="2"/>
      <c r="BV45" s="2"/>
      <c r="BY45" s="2"/>
    </row>
    <row r="46" spans="3:77" x14ac:dyDescent="0.2">
      <c r="E46" s="2"/>
      <c r="H46" s="2"/>
      <c r="I46" s="1">
        <v>403.47</v>
      </c>
      <c r="J46" s="1">
        <v>17.25</v>
      </c>
      <c r="K46" s="2">
        <f t="shared" si="26"/>
        <v>7.5035963671874997E-2</v>
      </c>
      <c r="N46" s="2"/>
      <c r="Q46" s="2"/>
      <c r="T46" s="2"/>
      <c r="U46" s="1">
        <v>389.58</v>
      </c>
      <c r="V46" s="1">
        <v>21.89</v>
      </c>
      <c r="W46" s="2">
        <f t="shared" si="27"/>
        <v>0.11667241669875</v>
      </c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  <c r="BJ46" s="2"/>
      <c r="BM46" s="2"/>
      <c r="BP46" s="2"/>
      <c r="BS46" s="2"/>
      <c r="BV46" s="2"/>
      <c r="BY46" s="2"/>
    </row>
    <row r="47" spans="3:77" x14ac:dyDescent="0.2">
      <c r="E47" s="2"/>
      <c r="H47" s="2"/>
      <c r="I47" s="1">
        <v>401.11</v>
      </c>
      <c r="J47" s="1">
        <v>18.12</v>
      </c>
      <c r="K47" s="2">
        <f t="shared" si="26"/>
        <v>8.2311381990000015E-2</v>
      </c>
      <c r="N47" s="2"/>
      <c r="Q47" s="2"/>
      <c r="T47" s="2"/>
      <c r="U47" s="1">
        <v>326.39999999999998</v>
      </c>
      <c r="V47" s="1">
        <v>15.96</v>
      </c>
      <c r="W47" s="2">
        <f t="shared" si="27"/>
        <v>5.1963206399999996E-2</v>
      </c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  <c r="BJ47" s="2"/>
      <c r="BM47" s="2"/>
      <c r="BP47" s="2"/>
      <c r="BS47" s="2"/>
      <c r="BV47" s="2"/>
      <c r="BY47" s="2"/>
    </row>
    <row r="48" spans="3:77" x14ac:dyDescent="0.2">
      <c r="E48" s="2"/>
      <c r="H48" s="2"/>
      <c r="I48" s="1">
        <v>442.41</v>
      </c>
      <c r="J48" s="1">
        <v>18.16</v>
      </c>
      <c r="K48" s="2">
        <f t="shared" si="26"/>
        <v>9.1187779560000001E-2</v>
      </c>
      <c r="N48" s="2"/>
      <c r="Q48" s="2"/>
      <c r="T48" s="2"/>
      <c r="U48" s="1">
        <v>457.41</v>
      </c>
      <c r="V48" s="1">
        <v>29.54</v>
      </c>
      <c r="W48" s="2">
        <f t="shared" si="27"/>
        <v>0.2494632949725</v>
      </c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  <c r="BJ48" s="2"/>
      <c r="BM48" s="2"/>
      <c r="BP48" s="2"/>
      <c r="BS48" s="2"/>
      <c r="BV48" s="2"/>
      <c r="BY48" s="2"/>
    </row>
    <row r="49" spans="5:77" x14ac:dyDescent="0.2">
      <c r="E49" s="2"/>
      <c r="H49" s="2"/>
      <c r="I49" s="1">
        <v>411.07</v>
      </c>
      <c r="J49" s="1">
        <v>17.57</v>
      </c>
      <c r="K49" s="2">
        <f t="shared" si="26"/>
        <v>7.9312077026874997E-2</v>
      </c>
      <c r="N49" s="2"/>
      <c r="Q49" s="2"/>
      <c r="T49" s="2"/>
      <c r="U49" s="1">
        <v>297.01</v>
      </c>
      <c r="V49" s="1">
        <v>18.03</v>
      </c>
      <c r="W49" s="2">
        <f t="shared" si="27"/>
        <v>6.0345173818125007E-2</v>
      </c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  <c r="BJ49" s="2"/>
      <c r="BM49" s="2"/>
      <c r="BP49" s="2"/>
      <c r="BS49" s="2"/>
      <c r="BV49" s="2"/>
      <c r="BY49" s="2"/>
    </row>
    <row r="50" spans="5:77" x14ac:dyDescent="0.2">
      <c r="E50" s="2"/>
      <c r="H50" s="2"/>
      <c r="I50" s="1">
        <v>392.42</v>
      </c>
      <c r="J50" s="1">
        <v>14.83</v>
      </c>
      <c r="K50" s="2">
        <f t="shared" si="26"/>
        <v>5.3940311836250004E-2</v>
      </c>
      <c r="N50" s="2"/>
      <c r="Q50" s="2"/>
      <c r="T50" s="2"/>
      <c r="U50" s="1">
        <v>304.91000000000003</v>
      </c>
      <c r="V50" s="1">
        <v>18.05</v>
      </c>
      <c r="W50" s="2">
        <f t="shared" si="27"/>
        <v>6.2087775171875012E-2</v>
      </c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  <c r="BM50" s="2"/>
      <c r="BP50" s="2"/>
      <c r="BS50" s="2"/>
      <c r="BV50" s="2"/>
      <c r="BY50" s="2"/>
    </row>
    <row r="51" spans="5:77" x14ac:dyDescent="0.2">
      <c r="E51" s="2"/>
      <c r="H51" s="2"/>
      <c r="K51" s="2"/>
      <c r="N51" s="2"/>
      <c r="Q51" s="2"/>
      <c r="T51" s="2"/>
      <c r="U51" s="1">
        <v>299.43</v>
      </c>
      <c r="V51" s="1">
        <v>18.28</v>
      </c>
      <c r="W51" s="2">
        <f t="shared" si="27"/>
        <v>6.2535656070000015E-2</v>
      </c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  <c r="BM51" s="2"/>
      <c r="BP51" s="2"/>
      <c r="BS51" s="2"/>
      <c r="BV51" s="2"/>
      <c r="BY51" s="2"/>
    </row>
    <row r="52" spans="5:77" x14ac:dyDescent="0.2">
      <c r="E52" s="2"/>
      <c r="H52" s="2"/>
      <c r="K52" s="2"/>
      <c r="N52" s="2"/>
      <c r="Q52" s="2"/>
      <c r="T52" s="2"/>
      <c r="U52" s="1">
        <v>326.23</v>
      </c>
      <c r="V52" s="1">
        <v>12.66</v>
      </c>
      <c r="W52" s="2">
        <f t="shared" si="27"/>
        <v>3.2679193117500005E-2</v>
      </c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  <c r="BM52" s="2"/>
      <c r="BP52" s="2"/>
      <c r="BS52" s="2"/>
      <c r="BV52" s="2"/>
      <c r="BY52" s="2"/>
    </row>
    <row r="53" spans="5:77" x14ac:dyDescent="0.2">
      <c r="E53" s="2"/>
      <c r="H53" s="2"/>
      <c r="K53" s="2"/>
      <c r="N53" s="2"/>
      <c r="Q53" s="2"/>
      <c r="T53" s="2"/>
      <c r="U53" s="1">
        <v>393.38</v>
      </c>
      <c r="V53" s="1">
        <v>24.45</v>
      </c>
      <c r="W53" s="2">
        <f t="shared" si="27"/>
        <v>0.14697721715624998</v>
      </c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  <c r="BM53" s="2"/>
      <c r="BP53" s="2"/>
      <c r="BS53" s="2"/>
      <c r="BV53" s="2"/>
      <c r="BY53" s="2"/>
    </row>
    <row r="54" spans="5:77" x14ac:dyDescent="0.2">
      <c r="E54" s="2"/>
      <c r="H54" s="2"/>
      <c r="K54" s="2"/>
      <c r="N54" s="2"/>
      <c r="Q54" s="2"/>
      <c r="T54" s="2"/>
      <c r="U54" s="1">
        <v>412.21</v>
      </c>
      <c r="V54" s="1">
        <v>20.65</v>
      </c>
      <c r="W54" s="2">
        <f t="shared" si="27"/>
        <v>0.10985976170312498</v>
      </c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  <c r="BM54" s="2"/>
      <c r="BP54" s="2"/>
      <c r="BS54" s="2"/>
      <c r="BV54" s="2"/>
      <c r="BY54" s="2"/>
    </row>
    <row r="55" spans="5:77" x14ac:dyDescent="0.2">
      <c r="E55" s="2"/>
      <c r="H55" s="2"/>
      <c r="K55" s="2"/>
      <c r="N55" s="2"/>
      <c r="Q55" s="2"/>
      <c r="T55" s="2"/>
      <c r="U55" s="1">
        <v>329.43</v>
      </c>
      <c r="V55" s="1">
        <v>15.98</v>
      </c>
      <c r="W55" s="2">
        <f t="shared" si="27"/>
        <v>5.2577110357500005E-2</v>
      </c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  <c r="BM55" s="2"/>
      <c r="BP55" s="2"/>
      <c r="BS55" s="2"/>
      <c r="BV55" s="2"/>
      <c r="BY55" s="2"/>
    </row>
    <row r="56" spans="5:77" x14ac:dyDescent="0.2">
      <c r="E56" s="2"/>
      <c r="H56" s="2"/>
      <c r="K56" s="2"/>
      <c r="N56" s="2"/>
      <c r="Q56" s="2"/>
      <c r="T56" s="2"/>
      <c r="U56" s="1">
        <v>246.37</v>
      </c>
      <c r="V56" s="1">
        <v>14.05</v>
      </c>
      <c r="W56" s="2">
        <f t="shared" si="27"/>
        <v>3.0396283703125006E-2</v>
      </c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  <c r="BM56" s="2"/>
      <c r="BP56" s="2"/>
      <c r="BS56" s="2"/>
      <c r="BV56" s="2"/>
      <c r="BY56" s="2"/>
    </row>
    <row r="57" spans="5:77" x14ac:dyDescent="0.2">
      <c r="E57" s="2"/>
      <c r="H57" s="2"/>
      <c r="K57" s="2"/>
      <c r="N57" s="2"/>
      <c r="Q57" s="2"/>
      <c r="T57" s="2"/>
      <c r="U57" s="1">
        <v>330.28</v>
      </c>
      <c r="V57" s="1">
        <v>17.899999999999999</v>
      </c>
      <c r="W57" s="2">
        <f t="shared" si="27"/>
        <v>6.6140634249999983E-2</v>
      </c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  <c r="BM57" s="2"/>
      <c r="BP57" s="2"/>
      <c r="BS57" s="2"/>
      <c r="BV57" s="2"/>
      <c r="BY57" s="2"/>
    </row>
    <row r="58" spans="5:77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  <c r="BM58" s="2"/>
      <c r="BP58" s="2"/>
      <c r="BS58" s="2"/>
      <c r="BV58" s="2"/>
      <c r="BY58" s="2"/>
    </row>
    <row r="59" spans="5:77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  <c r="BM59" s="2"/>
      <c r="BP59" s="2"/>
      <c r="BS59" s="2"/>
      <c r="BV59" s="2"/>
      <c r="BY59" s="2"/>
    </row>
    <row r="60" spans="5:77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  <c r="BM60" s="2"/>
      <c r="BP60" s="2"/>
      <c r="BS60" s="2"/>
      <c r="BV60" s="2"/>
      <c r="BY60" s="2"/>
    </row>
    <row r="61" spans="5:77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  <c r="BM61" s="2"/>
      <c r="BP61" s="2"/>
      <c r="BS61" s="2"/>
      <c r="BV61" s="2"/>
      <c r="BY61" s="2"/>
    </row>
    <row r="62" spans="5:77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  <c r="BM62" s="2"/>
      <c r="BP62" s="2"/>
      <c r="BS62" s="2"/>
      <c r="BV62" s="2"/>
      <c r="BY62" s="2"/>
    </row>
    <row r="63" spans="5:77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  <c r="BM63" s="2"/>
      <c r="BP63" s="2"/>
      <c r="BS63" s="2"/>
      <c r="BV63" s="2"/>
      <c r="BY63" s="2"/>
    </row>
    <row r="64" spans="5:77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  <c r="BM64" s="2"/>
      <c r="BP64" s="2"/>
      <c r="BS64" s="2"/>
      <c r="BV64" s="2"/>
      <c r="BY64" s="2"/>
    </row>
    <row r="65" spans="5:77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  <c r="BM65" s="2"/>
      <c r="BP65" s="2"/>
      <c r="BS65" s="2"/>
      <c r="BV65" s="2"/>
      <c r="BY65" s="2"/>
    </row>
    <row r="66" spans="5:77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  <c r="BM66" s="2"/>
      <c r="BP66" s="2"/>
      <c r="BS66" s="2"/>
      <c r="BV66" s="2"/>
      <c r="BY66" s="2"/>
    </row>
    <row r="67" spans="5:77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  <c r="BM67" s="2"/>
      <c r="BP67" s="2"/>
      <c r="BS67" s="2"/>
      <c r="BV67" s="2"/>
      <c r="BY67" s="2"/>
    </row>
    <row r="68" spans="5:77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  <c r="BM68" s="2"/>
      <c r="BP68" s="2"/>
      <c r="BS68" s="2"/>
      <c r="BV68" s="2"/>
      <c r="BY68" s="2"/>
    </row>
    <row r="69" spans="5:77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  <c r="BM69" s="2"/>
      <c r="BP69" s="2"/>
      <c r="BS69" s="2"/>
      <c r="BV69" s="2"/>
      <c r="BY69" s="2"/>
    </row>
    <row r="70" spans="5:77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  <c r="BM70" s="2"/>
      <c r="BP70" s="2"/>
      <c r="BS70" s="2"/>
      <c r="BV70" s="2"/>
      <c r="BY70" s="2"/>
    </row>
    <row r="71" spans="5:77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  <c r="BM71" s="2"/>
      <c r="BP71" s="2"/>
      <c r="BS71" s="2"/>
      <c r="BV71" s="2"/>
      <c r="BY71" s="2"/>
    </row>
    <row r="72" spans="5:77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  <c r="BM72" s="2"/>
      <c r="BP72" s="2"/>
      <c r="BS72" s="2"/>
      <c r="BV72" s="2"/>
      <c r="BY72" s="2"/>
    </row>
    <row r="73" spans="5:77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  <c r="BP73" s="2"/>
      <c r="BS73" s="2"/>
      <c r="BV73" s="2"/>
      <c r="BY73" s="2"/>
    </row>
    <row r="74" spans="5:77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  <c r="BP74" s="2"/>
      <c r="BS74" s="2"/>
      <c r="BV74" s="2"/>
      <c r="BY74" s="2"/>
    </row>
    <row r="75" spans="5:77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  <c r="BP75" s="2"/>
      <c r="BS75" s="2"/>
      <c r="BV75" s="2"/>
      <c r="BY75" s="2"/>
    </row>
    <row r="76" spans="5:77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  <c r="BP76" s="2"/>
      <c r="BS76" s="2"/>
      <c r="BV76" s="2"/>
      <c r="BY76" s="2"/>
    </row>
    <row r="77" spans="5:77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  <c r="BP77" s="2"/>
      <c r="BS77" s="2"/>
      <c r="BV77" s="2"/>
      <c r="BY77" s="2"/>
    </row>
    <row r="78" spans="5:77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  <c r="BP78" s="2"/>
      <c r="BS78" s="2"/>
      <c r="BV78" s="2"/>
      <c r="BY78" s="2"/>
    </row>
    <row r="79" spans="5:77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  <c r="BP79" s="2"/>
      <c r="BS79" s="2"/>
      <c r="BV79" s="2"/>
      <c r="BY79" s="2"/>
    </row>
    <row r="80" spans="5:77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  <c r="BP80" s="2"/>
      <c r="BS80" s="2"/>
      <c r="BV80" s="2"/>
      <c r="BY80" s="2"/>
    </row>
    <row r="81" spans="5:77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  <c r="BP81" s="2"/>
      <c r="BS81" s="2"/>
      <c r="BV81" s="2"/>
      <c r="BY81" s="2"/>
    </row>
    <row r="82" spans="5:77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  <c r="BP82" s="2"/>
      <c r="BS82" s="2"/>
      <c r="BV82" s="2"/>
      <c r="BY82" s="2"/>
    </row>
    <row r="83" spans="5:77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  <c r="BP83" s="2"/>
      <c r="BS83" s="2"/>
      <c r="BV83" s="2"/>
      <c r="BY83" s="2"/>
    </row>
    <row r="84" spans="5:77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  <c r="BP84" s="2"/>
      <c r="BS84" s="2"/>
      <c r="BV84" s="2"/>
      <c r="BY84" s="2"/>
    </row>
    <row r="85" spans="5:77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  <c r="BP85" s="2"/>
      <c r="BS85" s="2"/>
      <c r="BV85" s="2"/>
      <c r="BY85" s="2"/>
    </row>
    <row r="86" spans="5:77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  <c r="BP86" s="2"/>
      <c r="BS86" s="2"/>
      <c r="BV86" s="2"/>
      <c r="BY86" s="2"/>
    </row>
    <row r="87" spans="5:77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  <c r="BP87" s="2"/>
      <c r="BS87" s="2"/>
      <c r="BV87" s="2"/>
      <c r="BY87" s="2"/>
    </row>
    <row r="88" spans="5:77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  <c r="BP88" s="2"/>
      <c r="BS88" s="2"/>
      <c r="BV88" s="2"/>
      <c r="BY88" s="2"/>
    </row>
    <row r="89" spans="5:77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  <c r="BP89" s="2"/>
      <c r="BS89" s="2"/>
      <c r="BV89" s="2"/>
      <c r="BY89" s="2"/>
    </row>
    <row r="90" spans="5:77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  <c r="BP90" s="2"/>
      <c r="BS90" s="2"/>
      <c r="BV90" s="2"/>
      <c r="BY90" s="2"/>
    </row>
    <row r="91" spans="5:77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  <c r="BP91" s="2"/>
      <c r="BS91" s="2"/>
      <c r="BV91" s="2"/>
      <c r="BY91" s="2"/>
    </row>
    <row r="92" spans="5:77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  <c r="BP92" s="2"/>
      <c r="BS92" s="2"/>
      <c r="BV92" s="2"/>
      <c r="BY92" s="2"/>
    </row>
    <row r="93" spans="5:77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  <c r="BP93" s="2"/>
      <c r="BS93" s="2"/>
      <c r="BV93" s="2"/>
      <c r="BY93" s="2"/>
    </row>
    <row r="94" spans="5:77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  <c r="BP94" s="2"/>
      <c r="BS94" s="2"/>
      <c r="BV94" s="2"/>
      <c r="BY94" s="2"/>
    </row>
    <row r="95" spans="5:77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  <c r="BP95" s="2"/>
      <c r="BS95" s="2"/>
      <c r="BV95" s="2"/>
      <c r="BY95" s="2"/>
    </row>
    <row r="96" spans="5:77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  <c r="BP96" s="2"/>
      <c r="BS96" s="2"/>
      <c r="BV96" s="2"/>
      <c r="BY96" s="2"/>
    </row>
    <row r="97" spans="5:77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  <c r="BP97" s="2"/>
      <c r="BS97" s="2"/>
      <c r="BV97" s="2"/>
      <c r="BY97" s="2"/>
    </row>
    <row r="98" spans="5:77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  <c r="BP98" s="2"/>
      <c r="BS98" s="2"/>
      <c r="BV98" s="2"/>
      <c r="BY98" s="2"/>
    </row>
    <row r="99" spans="5:77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  <c r="BP99" s="2"/>
      <c r="BS99" s="2"/>
      <c r="BV99" s="2"/>
      <c r="BY99" s="2"/>
    </row>
    <row r="100" spans="5:77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  <c r="BP100" s="2"/>
      <c r="BS100" s="2"/>
      <c r="BV100" s="2"/>
      <c r="BY100" s="2"/>
    </row>
    <row r="101" spans="5:77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  <c r="BP101" s="2"/>
      <c r="BS101" s="2"/>
      <c r="BV101" s="2"/>
      <c r="BY101" s="2"/>
    </row>
    <row r="102" spans="5:77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  <c r="BP102" s="2"/>
      <c r="BS102" s="2"/>
      <c r="BV102" s="2"/>
      <c r="BY102" s="2"/>
    </row>
    <row r="103" spans="5:77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  <c r="BP103" s="2"/>
      <c r="BS103" s="2"/>
      <c r="BV103" s="2"/>
      <c r="BY103" s="2"/>
    </row>
    <row r="104" spans="5:77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  <c r="BP104" s="2"/>
      <c r="BS104" s="2"/>
      <c r="BV104" s="2"/>
      <c r="BY104" s="2"/>
    </row>
    <row r="105" spans="5:77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  <c r="BP105" s="2"/>
      <c r="BS105" s="2"/>
      <c r="BV105" s="2"/>
      <c r="BY105" s="2"/>
    </row>
    <row r="106" spans="5:77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  <c r="BP106" s="2"/>
      <c r="BS106" s="2"/>
      <c r="BV106" s="2"/>
      <c r="BY106" s="2"/>
    </row>
    <row r="107" spans="5:77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  <c r="BP107" s="2"/>
      <c r="BS107" s="2"/>
      <c r="BV107" s="2"/>
      <c r="BY107" s="2"/>
    </row>
    <row r="108" spans="5:77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  <c r="BP108" s="2"/>
      <c r="BS108" s="2"/>
      <c r="BV108" s="2"/>
      <c r="BY108" s="2"/>
    </row>
    <row r="109" spans="5:77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  <c r="BP109" s="2"/>
      <c r="BS109" s="2"/>
      <c r="BV109" s="2"/>
      <c r="BY109" s="2"/>
    </row>
    <row r="110" spans="5:77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  <c r="BP110" s="2"/>
      <c r="BS110" s="2"/>
      <c r="BV110" s="2"/>
      <c r="BY110" s="2"/>
    </row>
    <row r="111" spans="5:77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  <c r="BP111" s="2"/>
      <c r="BS111" s="2"/>
      <c r="BV111" s="2"/>
      <c r="BY111" s="2"/>
    </row>
    <row r="112" spans="5:77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  <c r="BP112" s="2"/>
      <c r="BS112" s="2"/>
      <c r="BV112" s="2"/>
      <c r="BY112" s="2"/>
    </row>
    <row r="113" spans="5:77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  <c r="BP113" s="2"/>
      <c r="BS113" s="2"/>
      <c r="BV113" s="2"/>
      <c r="BY113" s="2"/>
    </row>
    <row r="114" spans="5:77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  <c r="BP114" s="2"/>
      <c r="BS114" s="2"/>
      <c r="BV114" s="2"/>
      <c r="BY114" s="2"/>
    </row>
    <row r="115" spans="5:77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  <c r="BP115" s="2"/>
      <c r="BS115" s="2"/>
      <c r="BV115" s="2"/>
      <c r="BY115" s="2"/>
    </row>
    <row r="116" spans="5:77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  <c r="BP116" s="2"/>
      <c r="BS116" s="2"/>
      <c r="BV116" s="2"/>
      <c r="BY116" s="2"/>
    </row>
    <row r="117" spans="5:77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  <c r="BP117" s="2"/>
      <c r="BS117" s="2"/>
      <c r="BV117" s="2"/>
      <c r="BY117" s="2"/>
    </row>
    <row r="118" spans="5:77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  <c r="BP118" s="2"/>
      <c r="BS118" s="2"/>
      <c r="BV118" s="2"/>
      <c r="BY118" s="2"/>
    </row>
    <row r="119" spans="5:77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  <c r="BP119" s="2"/>
      <c r="BS119" s="2"/>
      <c r="BV119" s="2"/>
      <c r="BY119" s="2"/>
    </row>
    <row r="120" spans="5:77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  <c r="BP120" s="2"/>
      <c r="BS120" s="2"/>
      <c r="BV120" s="2"/>
      <c r="BY120" s="2"/>
    </row>
    <row r="121" spans="5:77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  <c r="BP121" s="2"/>
      <c r="BS121" s="2"/>
      <c r="BV121" s="2"/>
      <c r="BY121" s="2"/>
    </row>
    <row r="122" spans="5:77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  <c r="BM122" s="2"/>
      <c r="BP122" s="2"/>
      <c r="BS122" s="2"/>
      <c r="BV122" s="2"/>
      <c r="BY122" s="2"/>
    </row>
    <row r="123" spans="5:77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  <c r="BM123" s="2"/>
      <c r="BP123" s="2"/>
      <c r="BS123" s="2"/>
      <c r="BV123" s="2"/>
      <c r="BY123" s="2"/>
    </row>
    <row r="124" spans="5:77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  <c r="BM124" s="2"/>
      <c r="BP124" s="2"/>
      <c r="BS124" s="2"/>
      <c r="BV124" s="2"/>
      <c r="BY124" s="2"/>
    </row>
    <row r="125" spans="5:77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  <c r="BM125" s="2"/>
      <c r="BP125" s="2"/>
      <c r="BS125" s="2"/>
      <c r="BV125" s="2"/>
      <c r="BY125" s="2"/>
    </row>
    <row r="126" spans="5:77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  <c r="BM126" s="2"/>
      <c r="BP126" s="2"/>
      <c r="BS126" s="2"/>
      <c r="BV126" s="2"/>
      <c r="BY126" s="2"/>
    </row>
    <row r="127" spans="5:77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  <c r="BM127" s="2"/>
      <c r="BP127" s="2"/>
      <c r="BS127" s="2"/>
      <c r="BV127" s="2"/>
      <c r="BY127" s="2"/>
    </row>
    <row r="128" spans="5:77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  <c r="BM128" s="2"/>
      <c r="BP128" s="2"/>
      <c r="BS128" s="2"/>
      <c r="BV128" s="2"/>
      <c r="BY128" s="2"/>
    </row>
    <row r="129" spans="5:77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  <c r="BM129" s="2"/>
      <c r="BP129" s="2"/>
      <c r="BS129" s="2"/>
      <c r="BV129" s="2"/>
      <c r="BY129" s="2"/>
    </row>
    <row r="130" spans="5:77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  <c r="BM130" s="2"/>
      <c r="BP130" s="2"/>
      <c r="BS130" s="2"/>
      <c r="BV130" s="2"/>
      <c r="BY130" s="2"/>
    </row>
    <row r="131" spans="5:77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  <c r="BM131" s="2"/>
      <c r="BP131" s="2"/>
      <c r="BS131" s="2"/>
      <c r="BV131" s="2"/>
      <c r="BY131" s="2"/>
    </row>
    <row r="132" spans="5:77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  <c r="BM132" s="2"/>
      <c r="BP132" s="2"/>
      <c r="BS132" s="2"/>
      <c r="BV132" s="2"/>
      <c r="BY132" s="2"/>
    </row>
    <row r="133" spans="5:77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  <c r="BM133" s="2"/>
      <c r="BP133" s="2"/>
      <c r="BS133" s="2"/>
      <c r="BV133" s="2"/>
      <c r="BY133" s="2"/>
    </row>
    <row r="134" spans="5:77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  <c r="BM134" s="2"/>
      <c r="BP134" s="2"/>
      <c r="BS134" s="2"/>
      <c r="BV134" s="2"/>
      <c r="BY134" s="2"/>
    </row>
    <row r="135" spans="5:77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  <c r="BM135" s="2"/>
      <c r="BP135" s="2"/>
      <c r="BS135" s="2"/>
      <c r="BV135" s="2"/>
      <c r="BY135" s="2"/>
    </row>
    <row r="136" spans="5:77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  <c r="BM136" s="2"/>
      <c r="BP136" s="2"/>
      <c r="BS136" s="2"/>
      <c r="BV136" s="2"/>
      <c r="BY136" s="2"/>
    </row>
    <row r="137" spans="5:77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  <c r="BM137" s="2"/>
      <c r="BP137" s="2"/>
      <c r="BS137" s="2"/>
      <c r="BV137" s="2"/>
      <c r="BY137" s="2"/>
    </row>
    <row r="138" spans="5:77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  <c r="BM138" s="2"/>
      <c r="BP138" s="2"/>
      <c r="BS138" s="2"/>
      <c r="BV138" s="2"/>
      <c r="BY138" s="2"/>
    </row>
    <row r="139" spans="5:77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  <c r="BM139" s="2"/>
      <c r="BP139" s="2"/>
      <c r="BS139" s="2"/>
      <c r="BV139" s="2"/>
      <c r="BY139" s="2"/>
    </row>
    <row r="140" spans="5:77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  <c r="BM140" s="2"/>
      <c r="BP140" s="2"/>
      <c r="BS140" s="2"/>
      <c r="BV140" s="2"/>
      <c r="BY140" s="2"/>
    </row>
    <row r="141" spans="5:77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  <c r="BM141" s="2"/>
      <c r="BP141" s="2"/>
      <c r="BS141" s="2"/>
      <c r="BV141" s="2"/>
      <c r="BY141" s="2"/>
    </row>
    <row r="142" spans="5:77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  <c r="BM142" s="2"/>
      <c r="BP142" s="2"/>
      <c r="BS142" s="2"/>
      <c r="BV142" s="2"/>
      <c r="BY142" s="2"/>
    </row>
    <row r="143" spans="5:77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  <c r="BJ143" s="2"/>
      <c r="BM143" s="2"/>
      <c r="BP143" s="2"/>
      <c r="BS143" s="2"/>
      <c r="BV143" s="2"/>
      <c r="BY143" s="2"/>
    </row>
    <row r="144" spans="5:77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  <c r="BJ144" s="2"/>
      <c r="BM144" s="2"/>
      <c r="BP144" s="2"/>
      <c r="BS144" s="2"/>
      <c r="BV144" s="2"/>
      <c r="BY144" s="2"/>
    </row>
    <row r="145" spans="5:77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  <c r="BJ145" s="2"/>
      <c r="BM145" s="2"/>
      <c r="BP145" s="2"/>
      <c r="BS145" s="2"/>
      <c r="BV145" s="2"/>
      <c r="BY145" s="2"/>
    </row>
    <row r="146" spans="5:77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D146" s="2"/>
      <c r="BG146" s="2"/>
      <c r="BJ146" s="2"/>
      <c r="BM146" s="2"/>
      <c r="BP146" s="2"/>
      <c r="BS146" s="2"/>
      <c r="BV146" s="2"/>
      <c r="BY146" s="2"/>
    </row>
    <row r="147" spans="5:77" x14ac:dyDescent="0.2"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  <c r="AU147" s="2"/>
      <c r="AX147" s="2"/>
      <c r="BA147" s="2"/>
      <c r="BD147" s="2"/>
      <c r="BG147" s="2"/>
      <c r="BJ147" s="2"/>
      <c r="BM147" s="2"/>
      <c r="BP147" s="2"/>
      <c r="BS147" s="2"/>
      <c r="BV147" s="2"/>
      <c r="BY147" s="2"/>
    </row>
    <row r="148" spans="5:77" x14ac:dyDescent="0.2"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  <c r="AU148" s="2"/>
      <c r="AX148" s="2"/>
      <c r="BA148" s="2"/>
      <c r="BD148" s="2"/>
      <c r="BG148" s="2"/>
      <c r="BJ148" s="2"/>
      <c r="BM148" s="2"/>
      <c r="BP148" s="2"/>
      <c r="BS148" s="2"/>
      <c r="BV148" s="2"/>
      <c r="BY148" s="2"/>
    </row>
    <row r="149" spans="5:77" x14ac:dyDescent="0.2"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  <c r="AU149" s="2"/>
      <c r="AX149" s="2"/>
      <c r="BA149" s="2"/>
      <c r="BD149" s="2"/>
      <c r="BG149" s="2"/>
      <c r="BJ149" s="2"/>
      <c r="BM149" s="2"/>
      <c r="BP149" s="2"/>
      <c r="BS149" s="2"/>
      <c r="BV149" s="2"/>
      <c r="BY149" s="2"/>
    </row>
    <row r="150" spans="5:77" x14ac:dyDescent="0.2">
      <c r="E150" s="2"/>
      <c r="H150" s="2"/>
      <c r="K150" s="2"/>
      <c r="N150" s="2"/>
      <c r="Q150" s="2"/>
      <c r="T150" s="2"/>
      <c r="W150" s="2"/>
      <c r="Z150" s="2"/>
      <c r="AC150" s="2"/>
      <c r="AF150" s="2"/>
      <c r="AI150" s="2"/>
      <c r="AL150" s="2"/>
      <c r="AO150" s="2"/>
      <c r="AR150" s="2"/>
      <c r="AU150" s="2"/>
      <c r="AX150" s="2"/>
      <c r="BA150" s="2"/>
      <c r="BD150" s="2"/>
      <c r="BG150" s="2"/>
      <c r="BJ150" s="2"/>
      <c r="BM150" s="2"/>
      <c r="BP150" s="2"/>
      <c r="BS150" s="2"/>
      <c r="BV150" s="2"/>
      <c r="BY150" s="2"/>
    </row>
  </sheetData>
  <mergeCells count="104">
    <mergeCell ref="AD1:AF1"/>
    <mergeCell ref="AG1:AI1"/>
    <mergeCell ref="AJ1:AL1"/>
    <mergeCell ref="AM1:AO1"/>
    <mergeCell ref="AP1:AR1"/>
    <mergeCell ref="AS1:AU1"/>
    <mergeCell ref="O1:Q1"/>
    <mergeCell ref="BZ1:CA1"/>
    <mergeCell ref="CC1:CD1"/>
    <mergeCell ref="CF1:CG1"/>
    <mergeCell ref="BW1:BY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O2:P2"/>
    <mergeCell ref="R2:S2"/>
    <mergeCell ref="U2:V2"/>
    <mergeCell ref="X2:Y2"/>
    <mergeCell ref="AA2:AB2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R1:T1"/>
    <mergeCell ref="U1:W1"/>
    <mergeCell ref="X1:Z1"/>
    <mergeCell ref="AA1:AC1"/>
    <mergeCell ref="AD4:AE4"/>
    <mergeCell ref="AG4:AH4"/>
    <mergeCell ref="AJ4:AK4"/>
    <mergeCell ref="AS2:AT2"/>
    <mergeCell ref="AV2:AW2"/>
    <mergeCell ref="AY2:AZ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AJ3:AK3"/>
    <mergeCell ref="AM3:AN3"/>
    <mergeCell ref="AD2:AE2"/>
    <mergeCell ref="AG2:AH2"/>
    <mergeCell ref="AJ2:AK2"/>
    <mergeCell ref="AM2:AN2"/>
    <mergeCell ref="AP2:AQ2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M4:AN4"/>
    <mergeCell ref="AP4:AQ4"/>
    <mergeCell ref="AS4:AT4"/>
    <mergeCell ref="AV4:AW4"/>
    <mergeCell ref="AY4:AZ4"/>
    <mergeCell ref="AP3:AQ3"/>
    <mergeCell ref="AS3:AT3"/>
    <mergeCell ref="AV3:AW3"/>
    <mergeCell ref="AY3:AZ3"/>
    <mergeCell ref="BQ4:BR4"/>
    <mergeCell ref="BT2:BU2"/>
    <mergeCell ref="BW2:BX2"/>
    <mergeCell ref="BT3:BU3"/>
    <mergeCell ref="BW3:BX3"/>
    <mergeCell ref="BT4:BU4"/>
    <mergeCell ref="BW4:BX4"/>
    <mergeCell ref="BB4:BC4"/>
    <mergeCell ref="BE4:BF4"/>
    <mergeCell ref="BH4:BI4"/>
    <mergeCell ref="BK4:BL4"/>
    <mergeCell ref="BN4:BO4"/>
    <mergeCell ref="BQ2:BR2"/>
    <mergeCell ref="BB3:BC3"/>
    <mergeCell ref="BE3:BF3"/>
    <mergeCell ref="BH3:BI3"/>
    <mergeCell ref="BK3:BL3"/>
    <mergeCell ref="BN3:BO3"/>
    <mergeCell ref="BQ3:BR3"/>
    <mergeCell ref="BB2:BC2"/>
    <mergeCell ref="BE2:BF2"/>
    <mergeCell ref="BH2:BI2"/>
    <mergeCell ref="BK2:BL2"/>
    <mergeCell ref="BN2:BO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5E78-4C3A-4FDC-A2BA-4B7240588B02}">
  <dimension ref="A1:BJ145"/>
  <sheetViews>
    <sheetView topLeftCell="AR1" workbookViewId="0">
      <selection activeCell="BJ3" sqref="BJ3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"/>
    <col min="5" max="5" width="9" style="6"/>
    <col min="6" max="7" width="9" style="1"/>
    <col min="8" max="8" width="9" style="6"/>
    <col min="9" max="10" width="9" style="1"/>
    <col min="11" max="11" width="9" style="6"/>
    <col min="12" max="13" width="9" style="1"/>
    <col min="14" max="14" width="9" style="6"/>
    <col min="15" max="16" width="9" style="1"/>
    <col min="17" max="17" width="9" style="6"/>
    <col min="18" max="19" width="9" style="1"/>
    <col min="20" max="20" width="9" style="6"/>
    <col min="21" max="22" width="9" style="1"/>
    <col min="23" max="23" width="9" style="6"/>
    <col min="24" max="25" width="9" style="1"/>
    <col min="26" max="26" width="9" style="6"/>
    <col min="27" max="28" width="9" style="1"/>
    <col min="29" max="29" width="9" style="6"/>
    <col min="30" max="31" width="9" style="1"/>
    <col min="32" max="32" width="9" style="6"/>
    <col min="33" max="34" width="9" style="1"/>
    <col min="35" max="35" width="9" style="6"/>
    <col min="36" max="37" width="9" style="1"/>
    <col min="38" max="38" width="9" style="6"/>
    <col min="39" max="40" width="9" style="1"/>
    <col min="41" max="41" width="9" style="6"/>
    <col min="42" max="43" width="9" style="1"/>
    <col min="44" max="44" width="9" style="6"/>
    <col min="45" max="46" width="9" style="1"/>
    <col min="47" max="47" width="9" style="6"/>
    <col min="48" max="49" width="9" style="1"/>
    <col min="50" max="50" width="9" style="6"/>
    <col min="51" max="52" width="9" style="1"/>
    <col min="53" max="53" width="9" style="6"/>
    <col min="54" max="55" width="9" style="1"/>
    <col min="56" max="56" width="9" style="6"/>
    <col min="57" max="58" width="9" style="1"/>
    <col min="59" max="59" width="9" style="6"/>
    <col min="60" max="61" width="9" style="1"/>
    <col min="62" max="62" width="9" style="6"/>
    <col min="63" max="16384" width="9" style="1"/>
  </cols>
  <sheetData>
    <row r="1" spans="1:62" s="5" customFormat="1" x14ac:dyDescent="0.2">
      <c r="A1" s="22" t="s">
        <v>61</v>
      </c>
      <c r="B1" s="22"/>
      <c r="C1" s="18" t="s">
        <v>17</v>
      </c>
      <c r="D1" s="18"/>
      <c r="E1" s="18"/>
      <c r="F1" s="18" t="s">
        <v>34</v>
      </c>
      <c r="G1" s="18"/>
      <c r="H1" s="18"/>
      <c r="I1" s="18" t="s">
        <v>10</v>
      </c>
      <c r="J1" s="18"/>
      <c r="K1" s="18"/>
      <c r="L1" s="18" t="s">
        <v>46</v>
      </c>
      <c r="M1" s="18"/>
      <c r="N1" s="18"/>
      <c r="O1" s="18" t="s">
        <v>41</v>
      </c>
      <c r="P1" s="18"/>
      <c r="Q1" s="18"/>
      <c r="R1" s="18" t="s">
        <v>21</v>
      </c>
      <c r="S1" s="18"/>
      <c r="T1" s="18"/>
      <c r="U1" s="18" t="s">
        <v>12</v>
      </c>
      <c r="V1" s="18"/>
      <c r="W1" s="18"/>
      <c r="X1" s="18" t="s">
        <v>40</v>
      </c>
      <c r="Y1" s="18"/>
      <c r="Z1" s="18"/>
      <c r="AA1" s="18" t="s">
        <v>23</v>
      </c>
      <c r="AB1" s="18"/>
      <c r="AC1" s="13"/>
      <c r="AD1" s="18" t="s">
        <v>16</v>
      </c>
      <c r="AE1" s="18"/>
      <c r="AF1" s="18"/>
      <c r="AG1" s="18" t="s">
        <v>20</v>
      </c>
      <c r="AH1" s="18"/>
      <c r="AI1" s="18"/>
      <c r="AJ1" s="18" t="s">
        <v>18</v>
      </c>
      <c r="AK1" s="18"/>
      <c r="AL1" s="18"/>
      <c r="AM1" s="18" t="s">
        <v>13</v>
      </c>
      <c r="AN1" s="18"/>
      <c r="AO1" s="18"/>
      <c r="AP1" s="18" t="s">
        <v>19</v>
      </c>
      <c r="AQ1" s="18"/>
      <c r="AR1" s="18"/>
      <c r="AS1" s="18" t="s">
        <v>22</v>
      </c>
      <c r="AT1" s="18"/>
      <c r="AU1" s="18"/>
      <c r="AV1" s="18" t="s">
        <v>49</v>
      </c>
      <c r="AW1" s="18"/>
      <c r="AX1" s="18"/>
      <c r="AY1" s="18" t="s">
        <v>44</v>
      </c>
      <c r="AZ1" s="18"/>
      <c r="BA1" s="18"/>
      <c r="BB1" s="18" t="s">
        <v>28</v>
      </c>
      <c r="BC1" s="18"/>
      <c r="BD1" s="18"/>
      <c r="BE1" s="18" t="s">
        <v>66</v>
      </c>
      <c r="BF1" s="18"/>
      <c r="BG1" s="18"/>
      <c r="BH1" s="18" t="s">
        <v>33</v>
      </c>
      <c r="BI1" s="18"/>
      <c r="BJ1" s="18"/>
    </row>
    <row r="2" spans="1:62" s="10" customFormat="1" x14ac:dyDescent="0.2">
      <c r="A2" s="10" t="s">
        <v>5</v>
      </c>
      <c r="B2" s="10">
        <f>SUM(C2:VD2)</f>
        <v>250</v>
      </c>
      <c r="C2" s="23" t="s">
        <v>5</v>
      </c>
      <c r="D2" s="23"/>
      <c r="E2" s="15">
        <f>COUNT(E6:E280)</f>
        <v>38</v>
      </c>
      <c r="F2" s="23" t="s">
        <v>5</v>
      </c>
      <c r="G2" s="23"/>
      <c r="H2" s="15">
        <f>COUNT(H6:H280)</f>
        <v>13</v>
      </c>
      <c r="I2" s="23" t="s">
        <v>5</v>
      </c>
      <c r="J2" s="23"/>
      <c r="K2" s="15">
        <f>COUNT(K6:K280)</f>
        <v>36</v>
      </c>
      <c r="L2" s="23" t="s">
        <v>5</v>
      </c>
      <c r="M2" s="23"/>
      <c r="N2" s="15">
        <f>COUNT(N6:N280)</f>
        <v>7</v>
      </c>
      <c r="O2" s="23" t="s">
        <v>5</v>
      </c>
      <c r="P2" s="23"/>
      <c r="Q2" s="15">
        <f>COUNT(Q6:Q280)</f>
        <v>2</v>
      </c>
      <c r="R2" s="23" t="s">
        <v>5</v>
      </c>
      <c r="S2" s="23"/>
      <c r="T2" s="15">
        <f>COUNT(T6:T280)</f>
        <v>18</v>
      </c>
      <c r="U2" s="23" t="s">
        <v>5</v>
      </c>
      <c r="V2" s="23"/>
      <c r="W2" s="15">
        <f>COUNT(W6:W280)</f>
        <v>48</v>
      </c>
      <c r="X2" s="23" t="s">
        <v>5</v>
      </c>
      <c r="Y2" s="23"/>
      <c r="Z2" s="15">
        <f>COUNT(Z6:Z280)</f>
        <v>1</v>
      </c>
      <c r="AA2" s="23" t="s">
        <v>5</v>
      </c>
      <c r="AB2" s="23"/>
      <c r="AC2" s="15">
        <f>COUNT(AC6:AC280)</f>
        <v>2</v>
      </c>
      <c r="AD2" s="23" t="s">
        <v>5</v>
      </c>
      <c r="AE2" s="23"/>
      <c r="AF2" s="15">
        <f>COUNT(AF6:AF280)</f>
        <v>12</v>
      </c>
      <c r="AG2" s="23" t="s">
        <v>5</v>
      </c>
      <c r="AH2" s="23"/>
      <c r="AI2" s="15">
        <f>COUNT(AI6:AI280)</f>
        <v>44</v>
      </c>
      <c r="AJ2" s="23" t="s">
        <v>5</v>
      </c>
      <c r="AK2" s="23"/>
      <c r="AL2" s="15">
        <f>COUNT(AL6:AL280)</f>
        <v>6</v>
      </c>
      <c r="AM2" s="23" t="s">
        <v>5</v>
      </c>
      <c r="AN2" s="23"/>
      <c r="AO2" s="15">
        <f>COUNT(AO6:AO280)</f>
        <v>2</v>
      </c>
      <c r="AP2" s="23" t="s">
        <v>5</v>
      </c>
      <c r="AQ2" s="23"/>
      <c r="AR2" s="15">
        <f>COUNT(AR6:AR280)</f>
        <v>3</v>
      </c>
      <c r="AS2" s="23" t="s">
        <v>5</v>
      </c>
      <c r="AT2" s="23"/>
      <c r="AU2" s="15">
        <f>COUNT(AU6:AU280)</f>
        <v>2</v>
      </c>
      <c r="AV2" s="23" t="s">
        <v>5</v>
      </c>
      <c r="AW2" s="23"/>
      <c r="AX2" s="15">
        <f>COUNT(AX6:AX280)</f>
        <v>4</v>
      </c>
      <c r="AY2" s="23" t="s">
        <v>5</v>
      </c>
      <c r="AZ2" s="23"/>
      <c r="BA2" s="15">
        <f>COUNT(BA6:BA280)</f>
        <v>1</v>
      </c>
      <c r="BB2" s="23" t="s">
        <v>5</v>
      </c>
      <c r="BC2" s="23"/>
      <c r="BD2" s="15">
        <f>COUNT(BD6:BD280)</f>
        <v>8</v>
      </c>
      <c r="BE2" s="23" t="s">
        <v>5</v>
      </c>
      <c r="BF2" s="23"/>
      <c r="BG2" s="15">
        <f>COUNT(BG6:BG280)</f>
        <v>2</v>
      </c>
      <c r="BH2" s="23" t="s">
        <v>5</v>
      </c>
      <c r="BI2" s="23"/>
      <c r="BJ2" s="15">
        <f>COUNT(BJ6:BJ280)</f>
        <v>1</v>
      </c>
    </row>
    <row r="3" spans="1:62" s="10" customFormat="1" x14ac:dyDescent="0.2">
      <c r="A3" s="10" t="s">
        <v>4</v>
      </c>
      <c r="B3" s="10">
        <f>SUM(C3:VD3)</f>
        <v>53.721410106763251</v>
      </c>
      <c r="C3" s="23" t="s">
        <v>4</v>
      </c>
      <c r="D3" s="23"/>
      <c r="E3" s="15">
        <f>SUM(E6:E280)</f>
        <v>2.5041136997956261</v>
      </c>
      <c r="F3" s="23" t="s">
        <v>4</v>
      </c>
      <c r="G3" s="23"/>
      <c r="H3" s="15">
        <f>SUM(H6:H280)</f>
        <v>1.0155659482174999</v>
      </c>
      <c r="I3" s="23" t="s">
        <v>4</v>
      </c>
      <c r="J3" s="23"/>
      <c r="K3" s="15">
        <f>SUM(K6:K280)</f>
        <v>2.3253609734956253</v>
      </c>
      <c r="L3" s="23" t="s">
        <v>4</v>
      </c>
      <c r="M3" s="23"/>
      <c r="N3" s="15">
        <f>SUM(N6:N280)</f>
        <v>1.0312374629875001</v>
      </c>
      <c r="O3" s="23" t="s">
        <v>4</v>
      </c>
      <c r="P3" s="23"/>
      <c r="Q3" s="15">
        <f>SUM(Q6:Q280)</f>
        <v>0.20045610274937498</v>
      </c>
      <c r="R3" s="23" t="s">
        <v>4</v>
      </c>
      <c r="S3" s="23"/>
      <c r="T3" s="15">
        <f>SUM(T6:T280)</f>
        <v>1.2968625513526253</v>
      </c>
      <c r="U3" s="23" t="s">
        <v>4</v>
      </c>
      <c r="V3" s="23"/>
      <c r="W3" s="15">
        <f>SUM(W6:W280)</f>
        <v>4.2197371092312501</v>
      </c>
      <c r="X3" s="23" t="s">
        <v>4</v>
      </c>
      <c r="Y3" s="23"/>
      <c r="Z3" s="15">
        <f>SUM(Z6:Z280)</f>
        <v>0.41584549237812496</v>
      </c>
      <c r="AA3" s="23" t="s">
        <v>4</v>
      </c>
      <c r="AB3" s="23"/>
      <c r="AC3" s="15">
        <f>SUM(AC6:AC280)</f>
        <v>0.20735183375937502</v>
      </c>
      <c r="AD3" s="23" t="s">
        <v>4</v>
      </c>
      <c r="AE3" s="23"/>
      <c r="AF3" s="15">
        <f>SUM(AF6:AF280)</f>
        <v>6.5387369292199997</v>
      </c>
      <c r="AG3" s="23" t="s">
        <v>4</v>
      </c>
      <c r="AH3" s="23"/>
      <c r="AI3" s="15">
        <f>SUM(AI6:AI280)</f>
        <v>14.35696457233</v>
      </c>
      <c r="AJ3" s="23" t="s">
        <v>4</v>
      </c>
      <c r="AK3" s="23"/>
      <c r="AL3" s="15">
        <f>SUM(AL6:AL280)</f>
        <v>5.8527218165887502</v>
      </c>
      <c r="AM3" s="23" t="s">
        <v>4</v>
      </c>
      <c r="AN3" s="23"/>
      <c r="AO3" s="15">
        <f>SUM(AO6:AO280)</f>
        <v>11.652407474598748</v>
      </c>
      <c r="AP3" s="23" t="s">
        <v>4</v>
      </c>
      <c r="AQ3" s="23"/>
      <c r="AR3" s="15">
        <f>SUM(AR6:AR280)</f>
        <v>0.83030342229624998</v>
      </c>
      <c r="AS3" s="23" t="s">
        <v>4</v>
      </c>
      <c r="AT3" s="23"/>
      <c r="AU3" s="15">
        <f>SUM(AU6:AU280)</f>
        <v>5.1150809361250001E-2</v>
      </c>
      <c r="AV3" s="23" t="s">
        <v>4</v>
      </c>
      <c r="AW3" s="23"/>
      <c r="AX3" s="15">
        <f>SUM(AX6:AX280)</f>
        <v>0.22300344434625</v>
      </c>
      <c r="AY3" s="23" t="s">
        <v>4</v>
      </c>
      <c r="AZ3" s="23"/>
      <c r="BA3" s="15">
        <f>SUM(BA6:BA280)</f>
        <v>2.4290843198124999E-2</v>
      </c>
      <c r="BB3" s="23" t="s">
        <v>4</v>
      </c>
      <c r="BC3" s="23"/>
      <c r="BD3" s="15">
        <f>SUM(BD6:BD280)</f>
        <v>0.62308057536812511</v>
      </c>
      <c r="BE3" s="23" t="s">
        <v>4</v>
      </c>
      <c r="BF3" s="23"/>
      <c r="BG3" s="15">
        <f>SUM(BG6:BG280)</f>
        <v>8.714169951749999E-2</v>
      </c>
      <c r="BH3" s="23" t="s">
        <v>4</v>
      </c>
      <c r="BI3" s="23"/>
      <c r="BJ3" s="15">
        <f>SUM(BJ6:BJ280)</f>
        <v>0.26507734597125004</v>
      </c>
    </row>
    <row r="4" spans="1:62" s="10" customFormat="1" x14ac:dyDescent="0.2">
      <c r="C4" s="23" t="s">
        <v>3</v>
      </c>
      <c r="D4" s="23"/>
      <c r="E4" s="15">
        <f>AVERAGE(E6:E280)</f>
        <v>6.5897728941990155E-2</v>
      </c>
      <c r="F4" s="23" t="s">
        <v>3</v>
      </c>
      <c r="G4" s="23"/>
      <c r="H4" s="15">
        <f>AVERAGE(H6:H280)</f>
        <v>7.8120457555192299E-2</v>
      </c>
      <c r="I4" s="23" t="s">
        <v>3</v>
      </c>
      <c r="J4" s="23"/>
      <c r="K4" s="15">
        <f>AVERAGE(K6:K280)</f>
        <v>6.4593360374878478E-2</v>
      </c>
      <c r="L4" s="23" t="s">
        <v>3</v>
      </c>
      <c r="M4" s="23"/>
      <c r="N4" s="15">
        <f>AVERAGE(N6:N280)</f>
        <v>0.14731963756964286</v>
      </c>
      <c r="O4" s="23" t="s">
        <v>3</v>
      </c>
      <c r="P4" s="23"/>
      <c r="Q4" s="15">
        <f>AVERAGE(Q6:Q280)</f>
        <v>0.10022805137468749</v>
      </c>
      <c r="R4" s="23" t="s">
        <v>3</v>
      </c>
      <c r="S4" s="23"/>
      <c r="T4" s="15">
        <f>AVERAGE(T6:T280)</f>
        <v>7.2047919519590289E-2</v>
      </c>
      <c r="U4" s="23" t="s">
        <v>3</v>
      </c>
      <c r="V4" s="23"/>
      <c r="W4" s="15">
        <f>AVERAGE(W6:W280)</f>
        <v>8.7911189775651044E-2</v>
      </c>
      <c r="X4" s="23" t="s">
        <v>3</v>
      </c>
      <c r="Y4" s="23"/>
      <c r="Z4" s="15">
        <f>AVERAGE(Z6:Z280)</f>
        <v>0.41584549237812496</v>
      </c>
      <c r="AA4" s="23" t="s">
        <v>3</v>
      </c>
      <c r="AB4" s="23"/>
      <c r="AC4" s="15">
        <f>AVERAGE(AC6:AC280)</f>
        <v>0.10367591687968751</v>
      </c>
      <c r="AD4" s="23" t="s">
        <v>3</v>
      </c>
      <c r="AE4" s="23"/>
      <c r="AF4" s="15">
        <f>AVERAGE(AF6:AF280)</f>
        <v>0.54489474410166661</v>
      </c>
      <c r="AG4" s="23" t="s">
        <v>3</v>
      </c>
      <c r="AH4" s="23"/>
      <c r="AI4" s="15">
        <f>AVERAGE(AI6:AI280)</f>
        <v>0.32629464937113634</v>
      </c>
      <c r="AJ4" s="23" t="s">
        <v>3</v>
      </c>
      <c r="AK4" s="23"/>
      <c r="AL4" s="15">
        <f>AVERAGE(AL6:AL280)</f>
        <v>0.97545363609812508</v>
      </c>
      <c r="AM4" s="23" t="s">
        <v>3</v>
      </c>
      <c r="AN4" s="23"/>
      <c r="AO4" s="15">
        <f>AVERAGE(AO6:AO280)</f>
        <v>5.826203737299374</v>
      </c>
      <c r="AP4" s="23" t="s">
        <v>3</v>
      </c>
      <c r="AQ4" s="23"/>
      <c r="AR4" s="15">
        <f>AVERAGE(AR6:AR280)</f>
        <v>0.27676780743208335</v>
      </c>
      <c r="AS4" s="23" t="s">
        <v>3</v>
      </c>
      <c r="AT4" s="23"/>
      <c r="AU4" s="15">
        <f>AVERAGE(AU6:AU280)</f>
        <v>2.5575404680625E-2</v>
      </c>
      <c r="AV4" s="23" t="s">
        <v>3</v>
      </c>
      <c r="AW4" s="23"/>
      <c r="AX4" s="15">
        <f>AVERAGE(AX6:AX280)</f>
        <v>5.5750861086562499E-2</v>
      </c>
      <c r="AY4" s="23" t="s">
        <v>3</v>
      </c>
      <c r="AZ4" s="23"/>
      <c r="BA4" s="15">
        <f>AVERAGE(BA6:BA280)</f>
        <v>2.4290843198124999E-2</v>
      </c>
      <c r="BB4" s="23" t="s">
        <v>3</v>
      </c>
      <c r="BC4" s="23"/>
      <c r="BD4" s="15">
        <f>AVERAGE(BD6:BD280)</f>
        <v>7.7885071921015639E-2</v>
      </c>
      <c r="BE4" s="23" t="s">
        <v>3</v>
      </c>
      <c r="BF4" s="23"/>
      <c r="BG4" s="15">
        <f>AVERAGE(BG6:BG280)</f>
        <v>4.3570849758749995E-2</v>
      </c>
      <c r="BH4" s="23" t="s">
        <v>3</v>
      </c>
      <c r="BI4" s="23"/>
      <c r="BJ4" s="15">
        <f>AVERAGE(BJ6:BJ280)</f>
        <v>0.26507734597125004</v>
      </c>
    </row>
    <row r="5" spans="1:62" x14ac:dyDescent="0.2">
      <c r="C5" s="1" t="s">
        <v>38</v>
      </c>
      <c r="D5" s="1" t="s">
        <v>1</v>
      </c>
      <c r="E5" s="2" t="s">
        <v>39</v>
      </c>
      <c r="F5" s="1" t="s">
        <v>38</v>
      </c>
      <c r="G5" s="1" t="s">
        <v>1</v>
      </c>
      <c r="H5" s="2" t="s">
        <v>39</v>
      </c>
      <c r="I5" s="1" t="s">
        <v>38</v>
      </c>
      <c r="J5" s="1" t="s">
        <v>1</v>
      </c>
      <c r="K5" s="2" t="s">
        <v>39</v>
      </c>
      <c r="L5" s="1" t="s">
        <v>38</v>
      </c>
      <c r="M5" s="1" t="s">
        <v>1</v>
      </c>
      <c r="N5" s="2" t="s">
        <v>39</v>
      </c>
      <c r="O5" s="1" t="s">
        <v>38</v>
      </c>
      <c r="P5" s="1" t="s">
        <v>1</v>
      </c>
      <c r="Q5" s="2" t="s">
        <v>39</v>
      </c>
      <c r="R5" s="1" t="s">
        <v>38</v>
      </c>
      <c r="S5" s="1" t="s">
        <v>1</v>
      </c>
      <c r="T5" s="2" t="s">
        <v>39</v>
      </c>
      <c r="U5" s="1" t="s">
        <v>38</v>
      </c>
      <c r="V5" s="1" t="s">
        <v>1</v>
      </c>
      <c r="W5" s="2" t="s">
        <v>39</v>
      </c>
      <c r="X5" s="1" t="s">
        <v>38</v>
      </c>
      <c r="Y5" s="1" t="s">
        <v>1</v>
      </c>
      <c r="Z5" s="2" t="s">
        <v>39</v>
      </c>
      <c r="AA5" s="1" t="s">
        <v>38</v>
      </c>
      <c r="AB5" s="1" t="s">
        <v>1</v>
      </c>
      <c r="AC5" s="2" t="s">
        <v>39</v>
      </c>
      <c r="AD5" s="1" t="s">
        <v>38</v>
      </c>
      <c r="AE5" s="1" t="s">
        <v>1</v>
      </c>
      <c r="AF5" s="2" t="s">
        <v>39</v>
      </c>
      <c r="AG5" s="1" t="s">
        <v>38</v>
      </c>
      <c r="AH5" s="1" t="s">
        <v>1</v>
      </c>
      <c r="AI5" s="2" t="s">
        <v>39</v>
      </c>
      <c r="AJ5" s="1" t="s">
        <v>38</v>
      </c>
      <c r="AK5" s="1" t="s">
        <v>1</v>
      </c>
      <c r="AL5" s="2" t="s">
        <v>39</v>
      </c>
      <c r="AM5" s="1" t="s">
        <v>38</v>
      </c>
      <c r="AN5" s="1" t="s">
        <v>1</v>
      </c>
      <c r="AO5" s="2" t="s">
        <v>39</v>
      </c>
      <c r="AP5" s="1" t="s">
        <v>38</v>
      </c>
      <c r="AQ5" s="1" t="s">
        <v>1</v>
      </c>
      <c r="AR5" s="2" t="s">
        <v>39</v>
      </c>
      <c r="AS5" s="1" t="s">
        <v>38</v>
      </c>
      <c r="AT5" s="1" t="s">
        <v>1</v>
      </c>
      <c r="AU5" s="2" t="s">
        <v>39</v>
      </c>
      <c r="AV5" s="1" t="s">
        <v>38</v>
      </c>
      <c r="AW5" s="1" t="s">
        <v>1</v>
      </c>
      <c r="AX5" s="2" t="s">
        <v>39</v>
      </c>
      <c r="AY5" s="1" t="s">
        <v>38</v>
      </c>
      <c r="AZ5" s="1" t="s">
        <v>1</v>
      </c>
      <c r="BA5" s="14" t="s">
        <v>39</v>
      </c>
      <c r="BB5" s="1" t="s">
        <v>38</v>
      </c>
      <c r="BC5" s="1" t="s">
        <v>1</v>
      </c>
      <c r="BD5" s="14" t="s">
        <v>39</v>
      </c>
      <c r="BE5" s="1" t="s">
        <v>38</v>
      </c>
      <c r="BF5" s="1" t="s">
        <v>1</v>
      </c>
      <c r="BG5" s="14" t="s">
        <v>39</v>
      </c>
      <c r="BH5" s="1" t="s">
        <v>38</v>
      </c>
      <c r="BI5" s="1" t="s">
        <v>1</v>
      </c>
      <c r="BJ5" s="14" t="s">
        <v>39</v>
      </c>
    </row>
    <row r="6" spans="1:62" x14ac:dyDescent="0.2">
      <c r="C6" s="1">
        <v>391.41</v>
      </c>
      <c r="D6" s="1">
        <v>19.25</v>
      </c>
      <c r="E6" s="2">
        <f t="shared" ref="E6:E37" si="0">(C6*D6*D6)/1600000</f>
        <v>9.0651167578125011E-2</v>
      </c>
      <c r="F6" s="1">
        <v>397.19</v>
      </c>
      <c r="G6" s="1">
        <v>14.44</v>
      </c>
      <c r="H6" s="2">
        <f t="shared" ref="H6:H18" si="1">(F6*G6*G6)/1600000</f>
        <v>5.1762197989999995E-2</v>
      </c>
      <c r="I6" s="1">
        <v>401.65</v>
      </c>
      <c r="J6" s="1">
        <v>14.85</v>
      </c>
      <c r="K6" s="2">
        <f t="shared" ref="K6:K37" si="2">(I6*J6*J6)/1600000</f>
        <v>5.535803882812499E-2</v>
      </c>
      <c r="L6" s="1">
        <v>648.73</v>
      </c>
      <c r="M6" s="1">
        <v>29.97</v>
      </c>
      <c r="N6" s="2">
        <f t="shared" ref="N6:N12" si="3">(L6*M6*M6)/1600000</f>
        <v>0.364181168660625</v>
      </c>
      <c r="O6" s="1">
        <v>414.23</v>
      </c>
      <c r="P6" s="1">
        <v>20.27</v>
      </c>
      <c r="Q6" s="2">
        <f t="shared" ref="Q6:Q7" si="4">(O6*P6*P6)/1600000</f>
        <v>0.10637242585437499</v>
      </c>
      <c r="R6" s="1">
        <v>431.66</v>
      </c>
      <c r="S6" s="1">
        <v>13.59</v>
      </c>
      <c r="T6" s="2">
        <f t="shared" ref="T6:T23" si="5">(R6*S6*S6)/1600000</f>
        <v>4.9826540778749998E-2</v>
      </c>
      <c r="U6" s="1">
        <v>304.31</v>
      </c>
      <c r="V6" s="1">
        <v>15.76</v>
      </c>
      <c r="W6" s="2">
        <f t="shared" ref="W6:W37" si="6">(U6*V6*V6)/1600000</f>
        <v>4.7239867159999997E-2</v>
      </c>
      <c r="X6" s="1">
        <v>680.45</v>
      </c>
      <c r="Y6" s="1">
        <v>31.27</v>
      </c>
      <c r="Z6" s="2">
        <f t="shared" ref="Z6" si="7">(X6*Y6*Y6)/1600000</f>
        <v>0.41584549237812496</v>
      </c>
      <c r="AA6" s="1">
        <v>597.65</v>
      </c>
      <c r="AB6" s="1">
        <v>19.84</v>
      </c>
      <c r="AC6" s="2">
        <f t="shared" ref="AC6:AC7" si="8">(AA6*AB6*AB6)/1600000</f>
        <v>0.14703146240000001</v>
      </c>
      <c r="AD6" s="1">
        <v>522.66</v>
      </c>
      <c r="AE6" s="1">
        <v>25.92</v>
      </c>
      <c r="AF6" s="2">
        <f t="shared" ref="AF6:AF17" si="9">(AD6*AE6*AE6)/1600000</f>
        <v>0.21946702464000001</v>
      </c>
      <c r="AG6" s="1">
        <v>582.36</v>
      </c>
      <c r="AH6" s="1">
        <v>18.78</v>
      </c>
      <c r="AI6" s="2">
        <f t="shared" ref="AI6:AI37" si="10">(AG6*AH6*AH6)/1600000</f>
        <v>0.12836976039</v>
      </c>
      <c r="AJ6" s="1">
        <v>893.03</v>
      </c>
      <c r="AK6" s="1">
        <v>43.89</v>
      </c>
      <c r="AL6" s="2">
        <f t="shared" ref="AL6:AL11" si="11">(AJ6*AK6*AK6)/1600000</f>
        <v>1.0751702220393751</v>
      </c>
      <c r="AM6" s="1">
        <v>1045.9000000000001</v>
      </c>
      <c r="AN6" s="1">
        <v>39.33</v>
      </c>
      <c r="AO6" s="2">
        <f t="shared" ref="AO6:AO7" si="12">(AM6*AN6*AN6)/1600000</f>
        <v>1.01115579031875</v>
      </c>
      <c r="AP6" s="1">
        <v>546.54999999999995</v>
      </c>
      <c r="AQ6" s="1">
        <v>24.41</v>
      </c>
      <c r="AR6" s="2">
        <f t="shared" ref="AR6:AR8" si="13">(AP6*AQ6*AQ6)/1600000</f>
        <v>0.20353798690937497</v>
      </c>
      <c r="AS6" s="1">
        <v>280.14999999999998</v>
      </c>
      <c r="AT6" s="1">
        <v>13.74</v>
      </c>
      <c r="AU6" s="2">
        <f t="shared" ref="AU6:AU7" si="14">(AS6*AT6*AT6)/1600000</f>
        <v>3.3055528837500001E-2</v>
      </c>
      <c r="AV6" s="1">
        <v>405.03</v>
      </c>
      <c r="AW6" s="1">
        <v>15.34</v>
      </c>
      <c r="AX6" s="2">
        <f t="shared" ref="AX6:AX9" si="15">(AV6*AW6*AW6)/1600000</f>
        <v>5.9568673417499995E-2</v>
      </c>
      <c r="AY6" s="1">
        <v>328.93</v>
      </c>
      <c r="AZ6" s="1">
        <v>10.87</v>
      </c>
      <c r="BA6" s="2">
        <f t="shared" ref="BA6" si="16">(AY6*AZ6*AZ6)/1600000</f>
        <v>2.4290843198124999E-2</v>
      </c>
      <c r="BB6" s="1">
        <v>294.08999999999997</v>
      </c>
      <c r="BC6" s="1">
        <v>15.97</v>
      </c>
      <c r="BD6" s="2">
        <f t="shared" ref="BD6:BD13" si="17">(BB6*BC6*BC6)/1600000</f>
        <v>4.6878111425625001E-2</v>
      </c>
      <c r="BE6" s="1">
        <v>356.68</v>
      </c>
      <c r="BF6" s="1">
        <v>14.52</v>
      </c>
      <c r="BG6" s="2">
        <f t="shared" ref="BG6:BG7" si="18">(BE6*BF6*BF6)/1600000</f>
        <v>4.6999366919999994E-2</v>
      </c>
      <c r="BH6" s="1">
        <v>529.94000000000005</v>
      </c>
      <c r="BI6" s="1">
        <v>28.29</v>
      </c>
      <c r="BJ6" s="2">
        <f t="shared" ref="BJ6" si="19">(BH6*BI6*BI6)/1600000</f>
        <v>0.26507734597125004</v>
      </c>
    </row>
    <row r="7" spans="1:62" x14ac:dyDescent="0.2">
      <c r="C7" s="1">
        <v>330.33</v>
      </c>
      <c r="D7" s="1">
        <v>16.510000000000002</v>
      </c>
      <c r="E7" s="2">
        <f t="shared" si="0"/>
        <v>5.627586527062501E-2</v>
      </c>
      <c r="F7" s="1">
        <v>554.54999999999995</v>
      </c>
      <c r="G7" s="1">
        <v>19.12</v>
      </c>
      <c r="H7" s="2">
        <f t="shared" si="1"/>
        <v>0.1267058022</v>
      </c>
      <c r="I7" s="1">
        <v>319.81</v>
      </c>
      <c r="J7" s="1">
        <v>17.329999999999998</v>
      </c>
      <c r="K7" s="2">
        <f t="shared" si="2"/>
        <v>6.003011594312499E-2</v>
      </c>
      <c r="L7" s="1">
        <v>331.32</v>
      </c>
      <c r="M7" s="1">
        <v>15.01</v>
      </c>
      <c r="N7" s="2">
        <f t="shared" si="3"/>
        <v>4.6654018207499995E-2</v>
      </c>
      <c r="O7" s="1">
        <v>463.58</v>
      </c>
      <c r="P7" s="1">
        <v>18.02</v>
      </c>
      <c r="Q7" s="2">
        <f t="shared" si="4"/>
        <v>9.4083676894999996E-2</v>
      </c>
      <c r="R7" s="1">
        <v>199.94</v>
      </c>
      <c r="S7" s="1">
        <v>10.92</v>
      </c>
      <c r="T7" s="2">
        <f t="shared" si="5"/>
        <v>1.4901328259999997E-2</v>
      </c>
      <c r="U7" s="1">
        <v>304.5</v>
      </c>
      <c r="V7" s="1">
        <v>19.64</v>
      </c>
      <c r="W7" s="2">
        <f t="shared" si="6"/>
        <v>7.3409164500000013E-2</v>
      </c>
      <c r="Z7" s="2"/>
      <c r="AA7" s="1">
        <v>411.75</v>
      </c>
      <c r="AB7" s="1">
        <v>15.31</v>
      </c>
      <c r="AC7" s="2">
        <f t="shared" si="8"/>
        <v>6.0320371359375007E-2</v>
      </c>
      <c r="AD7" s="1">
        <v>473.64</v>
      </c>
      <c r="AE7" s="1">
        <v>22.76</v>
      </c>
      <c r="AF7" s="2">
        <f t="shared" si="9"/>
        <v>0.15334616004000004</v>
      </c>
      <c r="AG7" s="1">
        <v>827.11</v>
      </c>
      <c r="AH7" s="1">
        <v>28.2</v>
      </c>
      <c r="AI7" s="2">
        <f t="shared" si="10"/>
        <v>0.41109434775000003</v>
      </c>
      <c r="AJ7" s="1">
        <v>790.39</v>
      </c>
      <c r="AK7" s="1">
        <v>38.04</v>
      </c>
      <c r="AL7" s="2">
        <f t="shared" si="11"/>
        <v>0.71482950638999987</v>
      </c>
      <c r="AM7" s="1">
        <v>2122.6799999999998</v>
      </c>
      <c r="AN7" s="1">
        <v>89.56</v>
      </c>
      <c r="AO7" s="2">
        <f t="shared" si="12"/>
        <v>10.641251684279998</v>
      </c>
      <c r="AP7" s="1">
        <v>789.11</v>
      </c>
      <c r="AQ7" s="1">
        <v>33.14</v>
      </c>
      <c r="AR7" s="2">
        <f t="shared" si="13"/>
        <v>0.5416547705975</v>
      </c>
      <c r="AS7" s="1">
        <v>207.58</v>
      </c>
      <c r="AT7" s="1">
        <v>11.81</v>
      </c>
      <c r="AU7" s="2">
        <f t="shared" si="14"/>
        <v>1.809528052375E-2</v>
      </c>
      <c r="AV7" s="1">
        <v>388.46</v>
      </c>
      <c r="AW7" s="1">
        <v>14.03</v>
      </c>
      <c r="AX7" s="2">
        <f t="shared" si="15"/>
        <v>4.7790510008749995E-2</v>
      </c>
      <c r="BA7" s="2"/>
      <c r="BB7" s="1">
        <v>494.21</v>
      </c>
      <c r="BC7" s="1">
        <v>19.440000000000001</v>
      </c>
      <c r="BD7" s="2">
        <f t="shared" si="17"/>
        <v>0.11673042516000001</v>
      </c>
      <c r="BE7" s="1">
        <v>324.44</v>
      </c>
      <c r="BF7" s="1">
        <v>14.07</v>
      </c>
      <c r="BG7" s="2">
        <f t="shared" si="18"/>
        <v>4.0142332597499997E-2</v>
      </c>
      <c r="BJ7" s="2"/>
    </row>
    <row r="8" spans="1:62" x14ac:dyDescent="0.2">
      <c r="C8" s="1">
        <v>387.06</v>
      </c>
      <c r="D8" s="1">
        <v>17.05</v>
      </c>
      <c r="E8" s="2">
        <f t="shared" si="0"/>
        <v>7.0324568531250006E-2</v>
      </c>
      <c r="F8" s="1">
        <v>500.66</v>
      </c>
      <c r="G8" s="1">
        <v>18.079999999999998</v>
      </c>
      <c r="H8" s="2">
        <f t="shared" si="1"/>
        <v>0.10228684063999999</v>
      </c>
      <c r="I8" s="1">
        <v>434.85</v>
      </c>
      <c r="J8" s="1">
        <v>15.53</v>
      </c>
      <c r="K8" s="2">
        <f t="shared" si="2"/>
        <v>6.5548446478124994E-2</v>
      </c>
      <c r="L8" s="1">
        <v>448.54</v>
      </c>
      <c r="M8" s="1">
        <v>22</v>
      </c>
      <c r="N8" s="2">
        <f t="shared" si="3"/>
        <v>0.13568335000000001</v>
      </c>
      <c r="Q8" s="2"/>
      <c r="R8" s="1">
        <v>451.74</v>
      </c>
      <c r="S8" s="1">
        <v>16.27</v>
      </c>
      <c r="T8" s="2">
        <f t="shared" si="5"/>
        <v>7.473837840375E-2</v>
      </c>
      <c r="U8" s="1">
        <v>239.95</v>
      </c>
      <c r="V8" s="1">
        <v>15.69</v>
      </c>
      <c r="W8" s="2">
        <f t="shared" si="6"/>
        <v>3.6918721996874994E-2</v>
      </c>
      <c r="Z8" s="2"/>
      <c r="AC8" s="2"/>
      <c r="AD8" s="1">
        <v>706.78</v>
      </c>
      <c r="AE8" s="1">
        <v>43.81</v>
      </c>
      <c r="AF8" s="2">
        <f t="shared" si="9"/>
        <v>0.84783389572375001</v>
      </c>
      <c r="AG8" s="1">
        <v>602.91999999999996</v>
      </c>
      <c r="AH8" s="1">
        <v>23.34</v>
      </c>
      <c r="AI8" s="2">
        <f t="shared" si="10"/>
        <v>0.20527752896999998</v>
      </c>
      <c r="AJ8" s="1">
        <v>766.31</v>
      </c>
      <c r="AK8" s="1">
        <v>38.229999999999997</v>
      </c>
      <c r="AL8" s="2">
        <f t="shared" si="11"/>
        <v>0.69999204787437486</v>
      </c>
      <c r="AO8" s="2"/>
      <c r="AP8" s="1">
        <v>476.23</v>
      </c>
      <c r="AQ8" s="1">
        <v>16.91</v>
      </c>
      <c r="AR8" s="2">
        <f t="shared" si="13"/>
        <v>8.5110664789374998E-2</v>
      </c>
      <c r="AU8" s="2"/>
      <c r="AV8" s="1">
        <v>376.72</v>
      </c>
      <c r="AW8" s="1">
        <v>13.71</v>
      </c>
      <c r="AX8" s="2">
        <f t="shared" si="15"/>
        <v>4.425614734500001E-2</v>
      </c>
      <c r="BA8" s="2"/>
      <c r="BB8" s="1">
        <v>201.25</v>
      </c>
      <c r="BC8" s="1">
        <v>21.57</v>
      </c>
      <c r="BD8" s="2">
        <f t="shared" si="17"/>
        <v>5.8521600703124996E-2</v>
      </c>
      <c r="BG8" s="2"/>
      <c r="BJ8" s="2"/>
    </row>
    <row r="9" spans="1:62" x14ac:dyDescent="0.2">
      <c r="C9" s="1">
        <v>390.72</v>
      </c>
      <c r="D9" s="1">
        <v>15.55</v>
      </c>
      <c r="E9" s="2">
        <f t="shared" si="0"/>
        <v>5.9048170500000018E-2</v>
      </c>
      <c r="F9" s="1">
        <v>399.76</v>
      </c>
      <c r="G9" s="1">
        <v>15.5</v>
      </c>
      <c r="H9" s="2">
        <f t="shared" si="1"/>
        <v>6.0026462499999995E-2</v>
      </c>
      <c r="I9" s="1">
        <v>387.96</v>
      </c>
      <c r="J9" s="1">
        <v>17.440000000000001</v>
      </c>
      <c r="K9" s="2">
        <f t="shared" si="2"/>
        <v>7.3749644160000002E-2</v>
      </c>
      <c r="L9" s="1">
        <v>338.07</v>
      </c>
      <c r="M9" s="1">
        <v>18.559999999999999</v>
      </c>
      <c r="N9" s="2">
        <f t="shared" si="3"/>
        <v>7.2785118719999986E-2</v>
      </c>
      <c r="Q9" s="2"/>
      <c r="R9" s="1">
        <v>572.45000000000005</v>
      </c>
      <c r="S9" s="1">
        <v>18.52</v>
      </c>
      <c r="T9" s="2">
        <f t="shared" si="5"/>
        <v>0.12271553405000001</v>
      </c>
      <c r="U9" s="1">
        <v>280.55</v>
      </c>
      <c r="V9" s="1">
        <v>16.350000000000001</v>
      </c>
      <c r="W9" s="2">
        <f t="shared" si="6"/>
        <v>4.6873329609375007E-2</v>
      </c>
      <c r="Z9" s="2"/>
      <c r="AC9" s="2"/>
      <c r="AD9" s="1">
        <v>732.04</v>
      </c>
      <c r="AE9" s="1">
        <v>36.909999999999997</v>
      </c>
      <c r="AF9" s="2">
        <f t="shared" si="9"/>
        <v>0.62330831445249979</v>
      </c>
      <c r="AG9" s="1">
        <v>544.35</v>
      </c>
      <c r="AH9" s="1">
        <v>19.95</v>
      </c>
      <c r="AI9" s="2">
        <f t="shared" si="10"/>
        <v>0.13540791304687499</v>
      </c>
      <c r="AJ9" s="1">
        <v>855.68</v>
      </c>
      <c r="AK9" s="1">
        <v>37.93</v>
      </c>
      <c r="AL9" s="2">
        <f t="shared" si="11"/>
        <v>0.76940868452</v>
      </c>
      <c r="AO9" s="2"/>
      <c r="AR9" s="2"/>
      <c r="AU9" s="2"/>
      <c r="AV9" s="1">
        <v>394.3</v>
      </c>
      <c r="AW9" s="1">
        <v>17.02</v>
      </c>
      <c r="AX9" s="2">
        <f t="shared" si="15"/>
        <v>7.1388113574999995E-2</v>
      </c>
      <c r="BA9" s="2"/>
      <c r="BB9" s="1">
        <v>323.7</v>
      </c>
      <c r="BC9" s="1">
        <v>23.45</v>
      </c>
      <c r="BD9" s="2">
        <f t="shared" si="17"/>
        <v>0.11125214953124998</v>
      </c>
      <c r="BG9" s="2"/>
      <c r="BJ9" s="2"/>
    </row>
    <row r="10" spans="1:62" x14ac:dyDescent="0.2">
      <c r="C10" s="1">
        <v>392.22</v>
      </c>
      <c r="D10" s="1">
        <v>13.29</v>
      </c>
      <c r="E10" s="2">
        <f t="shared" si="0"/>
        <v>4.3297190313749997E-2</v>
      </c>
      <c r="F10" s="1">
        <v>307.73</v>
      </c>
      <c r="G10" s="1">
        <v>15.48</v>
      </c>
      <c r="H10" s="2">
        <f t="shared" si="1"/>
        <v>4.6088414370000011E-2</v>
      </c>
      <c r="I10" s="1">
        <v>368.22</v>
      </c>
      <c r="J10" s="1">
        <v>15.52</v>
      </c>
      <c r="K10" s="2">
        <f t="shared" si="2"/>
        <v>5.543331168E-2</v>
      </c>
      <c r="L10" s="1">
        <v>382.52</v>
      </c>
      <c r="M10" s="1">
        <v>20.79</v>
      </c>
      <c r="N10" s="2">
        <f t="shared" si="3"/>
        <v>0.10333397670749998</v>
      </c>
      <c r="Q10" s="2"/>
      <c r="R10" s="1">
        <v>459.26</v>
      </c>
      <c r="S10" s="1">
        <v>20.010000000000002</v>
      </c>
      <c r="T10" s="2">
        <f t="shared" si="5"/>
        <v>0.11492984370375001</v>
      </c>
      <c r="U10" s="1">
        <v>313.29000000000002</v>
      </c>
      <c r="V10" s="1">
        <v>15.92</v>
      </c>
      <c r="W10" s="2">
        <f t="shared" si="6"/>
        <v>4.9626389160000006E-2</v>
      </c>
      <c r="Z10" s="2"/>
      <c r="AC10" s="2"/>
      <c r="AD10" s="1">
        <v>671.21</v>
      </c>
      <c r="AE10" s="1">
        <v>34.44</v>
      </c>
      <c r="AF10" s="2">
        <f t="shared" si="9"/>
        <v>0.49758206840999991</v>
      </c>
      <c r="AG10" s="1">
        <v>913.17</v>
      </c>
      <c r="AH10" s="1">
        <v>30.96</v>
      </c>
      <c r="AI10" s="2">
        <f t="shared" si="10"/>
        <v>0.54705823092000005</v>
      </c>
      <c r="AJ10" s="1">
        <v>875.08</v>
      </c>
      <c r="AK10" s="1">
        <v>51.54</v>
      </c>
      <c r="AL10" s="2">
        <f t="shared" si="11"/>
        <v>1.45283603733</v>
      </c>
      <c r="AO10" s="2"/>
      <c r="AR10" s="2"/>
      <c r="AU10" s="2"/>
      <c r="AX10" s="2"/>
      <c r="BA10" s="2"/>
      <c r="BB10" s="1">
        <v>335.75</v>
      </c>
      <c r="BC10" s="1">
        <v>18.7</v>
      </c>
      <c r="BD10" s="2">
        <f t="shared" si="17"/>
        <v>7.3380260937499997E-2</v>
      </c>
      <c r="BG10" s="2"/>
      <c r="BJ10" s="2"/>
    </row>
    <row r="11" spans="1:62" x14ac:dyDescent="0.2">
      <c r="C11" s="1">
        <v>430.45</v>
      </c>
      <c r="D11" s="1">
        <v>18.600000000000001</v>
      </c>
      <c r="E11" s="2">
        <f t="shared" si="0"/>
        <v>9.3074051250000012E-2</v>
      </c>
      <c r="F11" s="1">
        <v>341.93</v>
      </c>
      <c r="G11" s="1">
        <v>16.43</v>
      </c>
      <c r="H11" s="2">
        <f t="shared" si="1"/>
        <v>5.7688912285624991E-2</v>
      </c>
      <c r="I11" s="1">
        <v>401.1</v>
      </c>
      <c r="J11" s="1">
        <v>14.31</v>
      </c>
      <c r="K11" s="2">
        <f t="shared" si="2"/>
        <v>5.1334808568750015E-2</v>
      </c>
      <c r="L11" s="1">
        <v>632.80999999999995</v>
      </c>
      <c r="M11" s="1">
        <v>22.55</v>
      </c>
      <c r="N11" s="2">
        <f t="shared" si="3"/>
        <v>0.20111591689062502</v>
      </c>
      <c r="Q11" s="2"/>
      <c r="R11" s="1">
        <v>396.13</v>
      </c>
      <c r="S11" s="1">
        <v>13.82</v>
      </c>
      <c r="T11" s="2">
        <f t="shared" si="5"/>
        <v>4.7286137132499996E-2</v>
      </c>
      <c r="U11" s="1">
        <v>285.12</v>
      </c>
      <c r="V11" s="1">
        <v>16.98</v>
      </c>
      <c r="W11" s="2">
        <f t="shared" si="6"/>
        <v>5.1378695280000004E-2</v>
      </c>
      <c r="Z11" s="2"/>
      <c r="AC11" s="2"/>
      <c r="AD11" s="1">
        <v>694.86</v>
      </c>
      <c r="AE11" s="1">
        <v>34.200000000000003</v>
      </c>
      <c r="AF11" s="2">
        <f t="shared" si="9"/>
        <v>0.50796003150000013</v>
      </c>
      <c r="AG11" s="1">
        <v>892.44</v>
      </c>
      <c r="AH11" s="1">
        <v>28.43</v>
      </c>
      <c r="AI11" s="2">
        <f t="shared" si="10"/>
        <v>0.45082995459750003</v>
      </c>
      <c r="AJ11" s="1">
        <v>887.66</v>
      </c>
      <c r="AK11" s="1">
        <v>45.34</v>
      </c>
      <c r="AL11" s="2">
        <f t="shared" si="11"/>
        <v>1.1404853184350001</v>
      </c>
      <c r="AO11" s="2"/>
      <c r="AR11" s="2"/>
      <c r="AU11" s="2"/>
      <c r="AX11" s="2"/>
      <c r="BA11" s="2"/>
      <c r="BB11" s="1">
        <v>208.49</v>
      </c>
      <c r="BC11" s="1">
        <v>20.170000000000002</v>
      </c>
      <c r="BD11" s="2">
        <f t="shared" si="17"/>
        <v>5.3012348350625009E-2</v>
      </c>
      <c r="BG11" s="2"/>
      <c r="BJ11" s="2"/>
    </row>
    <row r="12" spans="1:62" x14ac:dyDescent="0.2">
      <c r="C12" s="1">
        <v>406.88</v>
      </c>
      <c r="D12" s="1">
        <v>18.47</v>
      </c>
      <c r="E12" s="2">
        <f t="shared" si="0"/>
        <v>8.6752130869999985E-2</v>
      </c>
      <c r="F12" s="1">
        <v>302.64999999999998</v>
      </c>
      <c r="G12" s="1">
        <v>16.100000000000001</v>
      </c>
      <c r="H12" s="2">
        <f t="shared" si="1"/>
        <v>4.9031191562500007E-2</v>
      </c>
      <c r="I12" s="1">
        <v>370.83</v>
      </c>
      <c r="J12" s="1">
        <v>15.62</v>
      </c>
      <c r="K12" s="2">
        <f t="shared" si="2"/>
        <v>5.6547959407499994E-2</v>
      </c>
      <c r="L12" s="1">
        <v>408.82</v>
      </c>
      <c r="M12" s="1">
        <v>20.51</v>
      </c>
      <c r="N12" s="2">
        <f t="shared" si="3"/>
        <v>0.10748391380125</v>
      </c>
      <c r="Q12" s="2"/>
      <c r="R12" s="1">
        <v>422.47</v>
      </c>
      <c r="S12" s="1">
        <v>16.18</v>
      </c>
      <c r="T12" s="2">
        <f t="shared" si="5"/>
        <v>6.9124647017499999E-2</v>
      </c>
      <c r="U12" s="1">
        <v>342.44</v>
      </c>
      <c r="V12" s="1">
        <v>18.43</v>
      </c>
      <c r="W12" s="2">
        <f t="shared" si="6"/>
        <v>7.2696780222500007E-2</v>
      </c>
      <c r="Z12" s="2"/>
      <c r="AC12" s="2"/>
      <c r="AD12" s="1">
        <v>770.44</v>
      </c>
      <c r="AE12" s="1">
        <v>37.799999999999997</v>
      </c>
      <c r="AF12" s="2">
        <f t="shared" si="9"/>
        <v>0.68802218100000001</v>
      </c>
      <c r="AG12" s="1">
        <v>927.88</v>
      </c>
      <c r="AH12" s="1">
        <v>27.87</v>
      </c>
      <c r="AI12" s="2">
        <f t="shared" si="10"/>
        <v>0.45044914673250008</v>
      </c>
      <c r="AL12" s="2"/>
      <c r="AO12" s="2"/>
      <c r="AR12" s="2"/>
      <c r="AU12" s="2"/>
      <c r="AX12" s="2"/>
      <c r="BA12" s="2"/>
      <c r="BB12" s="1">
        <v>420.65</v>
      </c>
      <c r="BC12" s="1">
        <v>15.9</v>
      </c>
      <c r="BD12" s="2">
        <f t="shared" si="17"/>
        <v>6.6465329062500009E-2</v>
      </c>
      <c r="BG12" s="2"/>
      <c r="BJ12" s="2"/>
    </row>
    <row r="13" spans="1:62" x14ac:dyDescent="0.2">
      <c r="C13" s="1">
        <v>349.1</v>
      </c>
      <c r="D13" s="1">
        <v>16.97</v>
      </c>
      <c r="E13" s="2">
        <f t="shared" si="0"/>
        <v>6.2833832618749988E-2</v>
      </c>
      <c r="F13" s="1">
        <v>418.28</v>
      </c>
      <c r="G13" s="1">
        <v>16.47</v>
      </c>
      <c r="H13" s="2">
        <f t="shared" si="1"/>
        <v>7.0914380782499981E-2</v>
      </c>
      <c r="I13" s="1">
        <v>376.88</v>
      </c>
      <c r="J13" s="1">
        <v>21.58</v>
      </c>
      <c r="K13" s="2">
        <f t="shared" si="2"/>
        <v>0.10969478701999999</v>
      </c>
      <c r="N13" s="2"/>
      <c r="Q13" s="2"/>
      <c r="R13" s="1">
        <v>498.06</v>
      </c>
      <c r="S13" s="1">
        <v>18.79</v>
      </c>
      <c r="T13" s="2">
        <f t="shared" si="5"/>
        <v>0.10990444102874999</v>
      </c>
      <c r="U13" s="1">
        <v>383.68</v>
      </c>
      <c r="V13" s="1">
        <v>19.57</v>
      </c>
      <c r="W13" s="2">
        <f t="shared" si="6"/>
        <v>9.1839779020000012E-2</v>
      </c>
      <c r="Z13" s="2"/>
      <c r="AC13" s="2"/>
      <c r="AD13" s="1">
        <v>739.19</v>
      </c>
      <c r="AE13" s="1">
        <v>32.909999999999997</v>
      </c>
      <c r="AF13" s="2">
        <f t="shared" si="9"/>
        <v>0.50037069302437487</v>
      </c>
      <c r="AG13" s="1">
        <v>1004.35</v>
      </c>
      <c r="AH13" s="1">
        <v>29.57</v>
      </c>
      <c r="AI13" s="2">
        <f t="shared" si="10"/>
        <v>0.54886779644687511</v>
      </c>
      <c r="AL13" s="2"/>
      <c r="AO13" s="2"/>
      <c r="AR13" s="2"/>
      <c r="AU13" s="2"/>
      <c r="AX13" s="2"/>
      <c r="BA13" s="2"/>
      <c r="BB13" s="1">
        <v>346.71</v>
      </c>
      <c r="BC13" s="1">
        <v>21.14</v>
      </c>
      <c r="BD13" s="2">
        <f t="shared" si="17"/>
        <v>9.6840350197499994E-2</v>
      </c>
      <c r="BG13" s="2"/>
      <c r="BJ13" s="2"/>
    </row>
    <row r="14" spans="1:62" x14ac:dyDescent="0.2">
      <c r="C14" s="1">
        <v>281.82</v>
      </c>
      <c r="D14" s="1">
        <v>16.87</v>
      </c>
      <c r="E14" s="2">
        <f t="shared" si="0"/>
        <v>5.0128186473750003E-2</v>
      </c>
      <c r="F14" s="1">
        <v>500.27</v>
      </c>
      <c r="G14" s="1">
        <v>18.39</v>
      </c>
      <c r="H14" s="2">
        <f t="shared" si="1"/>
        <v>0.105742101166875</v>
      </c>
      <c r="I14" s="1">
        <v>445.83</v>
      </c>
      <c r="J14" s="1">
        <v>19.8</v>
      </c>
      <c r="K14" s="2">
        <f t="shared" si="2"/>
        <v>0.10923949574999998</v>
      </c>
      <c r="N14" s="2"/>
      <c r="Q14" s="2"/>
      <c r="R14" s="1">
        <v>566.9</v>
      </c>
      <c r="S14" s="1">
        <v>16.100000000000001</v>
      </c>
      <c r="T14" s="2">
        <f t="shared" si="5"/>
        <v>9.1841343125000002E-2</v>
      </c>
      <c r="U14" s="1">
        <v>239.74</v>
      </c>
      <c r="V14" s="1">
        <v>31.39</v>
      </c>
      <c r="W14" s="2">
        <f t="shared" si="6"/>
        <v>0.14763969853375</v>
      </c>
      <c r="Z14" s="2"/>
      <c r="AC14" s="2"/>
      <c r="AD14" s="1">
        <v>733.94</v>
      </c>
      <c r="AE14" s="1">
        <v>37.42</v>
      </c>
      <c r="AF14" s="2">
        <f t="shared" si="9"/>
        <v>0.64231511388500018</v>
      </c>
      <c r="AG14" s="1">
        <v>727.83</v>
      </c>
      <c r="AH14" s="1">
        <v>25.84</v>
      </c>
      <c r="AI14" s="2">
        <f t="shared" si="10"/>
        <v>0.30373510428000006</v>
      </c>
      <c r="AL14" s="2"/>
      <c r="AO14" s="2"/>
      <c r="AR14" s="2"/>
      <c r="AU14" s="2"/>
      <c r="AX14" s="2"/>
      <c r="BA14" s="2"/>
      <c r="BD14" s="2"/>
      <c r="BG14" s="2"/>
      <c r="BJ14" s="2"/>
    </row>
    <row r="15" spans="1:62" x14ac:dyDescent="0.2">
      <c r="C15" s="1">
        <v>407.19</v>
      </c>
      <c r="D15" s="1">
        <v>19.88</v>
      </c>
      <c r="E15" s="2">
        <f t="shared" si="0"/>
        <v>0.10057959470999998</v>
      </c>
      <c r="F15" s="1">
        <v>515.24</v>
      </c>
      <c r="G15" s="1">
        <v>16.62</v>
      </c>
      <c r="H15" s="2">
        <f t="shared" si="1"/>
        <v>8.895116241000002E-2</v>
      </c>
      <c r="I15" s="1">
        <v>351.93</v>
      </c>
      <c r="J15" s="1">
        <v>10.84</v>
      </c>
      <c r="K15" s="2">
        <f t="shared" si="2"/>
        <v>2.5846091129999998E-2</v>
      </c>
      <c r="N15" s="2"/>
      <c r="Q15" s="2"/>
      <c r="R15" s="1">
        <v>213.56</v>
      </c>
      <c r="S15" s="1">
        <v>10.37</v>
      </c>
      <c r="T15" s="2">
        <f t="shared" si="5"/>
        <v>1.4353487727499996E-2</v>
      </c>
      <c r="U15" s="1">
        <v>261.47000000000003</v>
      </c>
      <c r="V15" s="1">
        <v>17.38</v>
      </c>
      <c r="W15" s="2">
        <f t="shared" si="6"/>
        <v>4.9362986667499997E-2</v>
      </c>
      <c r="Z15" s="2"/>
      <c r="AC15" s="2"/>
      <c r="AD15" s="1">
        <v>696.59</v>
      </c>
      <c r="AE15" s="1">
        <v>35.869999999999997</v>
      </c>
      <c r="AF15" s="2">
        <f t="shared" si="9"/>
        <v>0.56017020623187497</v>
      </c>
      <c r="AG15" s="1">
        <v>712.43</v>
      </c>
      <c r="AH15" s="1">
        <v>20.89</v>
      </c>
      <c r="AI15" s="2">
        <f t="shared" si="10"/>
        <v>0.19431176487687499</v>
      </c>
      <c r="AL15" s="2"/>
      <c r="AO15" s="2"/>
      <c r="AR15" s="2"/>
      <c r="AU15" s="2"/>
      <c r="AX15" s="2"/>
      <c r="BA15" s="2"/>
      <c r="BD15" s="2"/>
      <c r="BG15" s="2"/>
      <c r="BJ15" s="2"/>
    </row>
    <row r="16" spans="1:62" x14ac:dyDescent="0.2">
      <c r="C16" s="1">
        <v>383.7</v>
      </c>
      <c r="D16" s="1">
        <v>13.88</v>
      </c>
      <c r="E16" s="2">
        <f t="shared" si="0"/>
        <v>4.6200933300000004E-2</v>
      </c>
      <c r="F16" s="1">
        <v>517.76</v>
      </c>
      <c r="G16" s="1">
        <v>16.11</v>
      </c>
      <c r="H16" s="2">
        <f t="shared" si="1"/>
        <v>8.3984587559999976E-2</v>
      </c>
      <c r="I16" s="1">
        <v>405.1</v>
      </c>
      <c r="J16" s="1">
        <v>18.37</v>
      </c>
      <c r="K16" s="2">
        <f t="shared" si="2"/>
        <v>8.5439868868750019E-2</v>
      </c>
      <c r="N16" s="2"/>
      <c r="Q16" s="2"/>
      <c r="R16" s="1">
        <v>443.88799999999998</v>
      </c>
      <c r="S16" s="1">
        <v>17.27</v>
      </c>
      <c r="T16" s="2">
        <f t="shared" si="5"/>
        <v>8.2744302047000007E-2</v>
      </c>
      <c r="U16" s="1">
        <v>409.25</v>
      </c>
      <c r="V16" s="1">
        <v>23.92</v>
      </c>
      <c r="W16" s="2">
        <f t="shared" si="6"/>
        <v>0.14634943700000003</v>
      </c>
      <c r="Z16" s="2"/>
      <c r="AC16" s="2"/>
      <c r="AD16" s="1">
        <v>784.87</v>
      </c>
      <c r="AE16" s="1">
        <v>35.36</v>
      </c>
      <c r="AF16" s="2">
        <f t="shared" si="9"/>
        <v>0.61334137071999995</v>
      </c>
      <c r="AG16" s="1">
        <v>722.91</v>
      </c>
      <c r="AH16" s="1">
        <v>23.15</v>
      </c>
      <c r="AI16" s="2">
        <f t="shared" si="10"/>
        <v>0.24213983404687492</v>
      </c>
      <c r="AL16" s="2"/>
      <c r="AO16" s="2"/>
      <c r="AR16" s="2"/>
      <c r="AU16" s="2"/>
      <c r="AX16" s="2"/>
      <c r="BA16" s="2"/>
      <c r="BD16" s="2"/>
      <c r="BG16" s="2"/>
      <c r="BJ16" s="2"/>
    </row>
    <row r="17" spans="3:62" x14ac:dyDescent="0.2">
      <c r="C17" s="1">
        <v>409.67</v>
      </c>
      <c r="D17" s="1">
        <v>15.39</v>
      </c>
      <c r="E17" s="2">
        <f t="shared" si="0"/>
        <v>6.0644499879375008E-2</v>
      </c>
      <c r="F17" s="1">
        <v>463.17</v>
      </c>
      <c r="G17" s="1">
        <v>17.84</v>
      </c>
      <c r="H17" s="2">
        <f t="shared" si="1"/>
        <v>9.2131923720000009E-2</v>
      </c>
      <c r="I17" s="1">
        <v>367.47</v>
      </c>
      <c r="J17" s="1">
        <v>19.72</v>
      </c>
      <c r="K17" s="2">
        <f t="shared" si="2"/>
        <v>8.9313216029999989E-2</v>
      </c>
      <c r="N17" s="2"/>
      <c r="Q17" s="2"/>
      <c r="R17" s="1">
        <v>435.16</v>
      </c>
      <c r="S17" s="1">
        <v>17.510000000000002</v>
      </c>
      <c r="T17" s="2">
        <f t="shared" si="5"/>
        <v>8.3387562197500015E-2</v>
      </c>
      <c r="U17" s="1">
        <v>314.54000000000002</v>
      </c>
      <c r="V17" s="1">
        <v>16.55</v>
      </c>
      <c r="W17" s="2">
        <f t="shared" si="6"/>
        <v>5.3845807718750013E-2</v>
      </c>
      <c r="Z17" s="2"/>
      <c r="AC17" s="2"/>
      <c r="AD17" s="1">
        <v>733.33</v>
      </c>
      <c r="AE17" s="1">
        <v>38.659999999999997</v>
      </c>
      <c r="AF17" s="2">
        <f t="shared" si="9"/>
        <v>0.68501986959249994</v>
      </c>
      <c r="AG17" s="1">
        <v>685.47</v>
      </c>
      <c r="AH17" s="1">
        <v>24.87</v>
      </c>
      <c r="AI17" s="2">
        <f t="shared" si="10"/>
        <v>0.26498423715187502</v>
      </c>
      <c r="AL17" s="2"/>
      <c r="AO17" s="2"/>
      <c r="AR17" s="2"/>
      <c r="AU17" s="2"/>
      <c r="AX17" s="2"/>
      <c r="BA17" s="2"/>
      <c r="BD17" s="2"/>
      <c r="BG17" s="2"/>
      <c r="BJ17" s="2"/>
    </row>
    <row r="18" spans="3:62" x14ac:dyDescent="0.2">
      <c r="C18" s="1">
        <v>423.72</v>
      </c>
      <c r="D18" s="1">
        <v>17.53</v>
      </c>
      <c r="E18" s="2">
        <f t="shared" si="0"/>
        <v>8.1380960842500016E-2</v>
      </c>
      <c r="F18" s="1">
        <v>484.47</v>
      </c>
      <c r="G18" s="1">
        <v>16.28</v>
      </c>
      <c r="H18" s="2">
        <f t="shared" si="1"/>
        <v>8.0251971030000008E-2</v>
      </c>
      <c r="I18" s="1">
        <v>408.32</v>
      </c>
      <c r="J18" s="1">
        <v>16.93</v>
      </c>
      <c r="K18" s="2">
        <f t="shared" si="2"/>
        <v>7.3146674479999993E-2</v>
      </c>
      <c r="N18" s="2"/>
      <c r="Q18" s="2"/>
      <c r="R18" s="1">
        <v>385.74</v>
      </c>
      <c r="S18" s="1">
        <v>13.07</v>
      </c>
      <c r="T18" s="2">
        <f t="shared" si="5"/>
        <v>4.1183748078750006E-2</v>
      </c>
      <c r="U18" s="1">
        <v>247.82</v>
      </c>
      <c r="V18" s="1">
        <v>15.98</v>
      </c>
      <c r="W18" s="2">
        <f t="shared" si="6"/>
        <v>3.9552133954999999E-2</v>
      </c>
      <c r="Z18" s="2"/>
      <c r="AC18" s="2"/>
      <c r="AF18" s="2"/>
      <c r="AG18" s="1">
        <v>735.46</v>
      </c>
      <c r="AH18" s="1">
        <v>24.04</v>
      </c>
      <c r="AI18" s="2">
        <f t="shared" si="10"/>
        <v>0.26564888745999998</v>
      </c>
      <c r="AL18" s="2"/>
      <c r="AO18" s="2"/>
      <c r="AR18" s="2"/>
      <c r="AU18" s="2"/>
      <c r="AX18" s="2"/>
      <c r="BA18" s="2"/>
      <c r="BD18" s="2"/>
      <c r="BG18" s="2"/>
      <c r="BJ18" s="2"/>
    </row>
    <row r="19" spans="3:62" x14ac:dyDescent="0.2">
      <c r="C19" s="1">
        <v>404.92</v>
      </c>
      <c r="D19" s="1">
        <v>16.43</v>
      </c>
      <c r="E19" s="2">
        <f t="shared" si="0"/>
        <v>6.8316305567499999E-2</v>
      </c>
      <c r="H19" s="2"/>
      <c r="I19" s="1">
        <v>389.05</v>
      </c>
      <c r="J19" s="1">
        <v>14.44</v>
      </c>
      <c r="K19" s="2">
        <f t="shared" si="2"/>
        <v>5.0701385049999999E-2</v>
      </c>
      <c r="N19" s="2"/>
      <c r="Q19" s="2"/>
      <c r="R19" s="1">
        <v>427.69</v>
      </c>
      <c r="S19" s="1">
        <v>16.579999999999998</v>
      </c>
      <c r="T19" s="2">
        <f t="shared" si="5"/>
        <v>7.3481525822499977E-2</v>
      </c>
      <c r="U19" s="1">
        <v>345.42</v>
      </c>
      <c r="V19" s="1">
        <v>19.12</v>
      </c>
      <c r="W19" s="2">
        <f t="shared" si="6"/>
        <v>7.8922943280000019E-2</v>
      </c>
      <c r="Z19" s="2"/>
      <c r="AC19" s="2"/>
      <c r="AF19" s="2"/>
      <c r="AG19" s="1">
        <v>898</v>
      </c>
      <c r="AH19" s="1">
        <v>30.9</v>
      </c>
      <c r="AI19" s="2">
        <f t="shared" si="10"/>
        <v>0.53588711249999998</v>
      </c>
      <c r="AL19" s="2"/>
      <c r="AO19" s="2"/>
      <c r="AR19" s="2"/>
      <c r="AU19" s="2"/>
      <c r="AX19" s="2"/>
      <c r="BA19" s="2"/>
      <c r="BD19" s="2"/>
      <c r="BG19" s="2"/>
      <c r="BJ19" s="2"/>
    </row>
    <row r="20" spans="3:62" x14ac:dyDescent="0.2">
      <c r="C20" s="1">
        <v>407.82</v>
      </c>
      <c r="D20" s="1">
        <v>15.36</v>
      </c>
      <c r="E20" s="2">
        <f t="shared" si="0"/>
        <v>6.0135505919999985E-2</v>
      </c>
      <c r="H20" s="2"/>
      <c r="I20" s="1">
        <v>403.94</v>
      </c>
      <c r="J20" s="1">
        <v>15.42</v>
      </c>
      <c r="K20" s="2">
        <f t="shared" si="2"/>
        <v>6.0029624385000001E-2</v>
      </c>
      <c r="N20" s="2"/>
      <c r="Q20" s="2"/>
      <c r="R20" s="1">
        <v>435.91</v>
      </c>
      <c r="S20" s="1">
        <v>15.81</v>
      </c>
      <c r="T20" s="2">
        <f t="shared" si="5"/>
        <v>6.8098977219374995E-2</v>
      </c>
      <c r="U20" s="1">
        <v>372.9</v>
      </c>
      <c r="V20" s="1">
        <v>20.79</v>
      </c>
      <c r="W20" s="2">
        <f t="shared" si="6"/>
        <v>0.10073522930624998</v>
      </c>
      <c r="Z20" s="2"/>
      <c r="AC20" s="2"/>
      <c r="AF20" s="2"/>
      <c r="AG20" s="1">
        <v>588.15</v>
      </c>
      <c r="AH20" s="1">
        <v>24.17</v>
      </c>
      <c r="AI20" s="2">
        <f t="shared" si="10"/>
        <v>0.21474418845937504</v>
      </c>
      <c r="AL20" s="2"/>
      <c r="AO20" s="2"/>
      <c r="AR20" s="2"/>
      <c r="AU20" s="2"/>
      <c r="AX20" s="2"/>
      <c r="BA20" s="2"/>
      <c r="BD20" s="2"/>
      <c r="BG20" s="2"/>
      <c r="BJ20" s="2"/>
    </row>
    <row r="21" spans="3:62" x14ac:dyDescent="0.2">
      <c r="C21" s="1">
        <v>353.46</v>
      </c>
      <c r="D21" s="1">
        <v>16.05</v>
      </c>
      <c r="E21" s="2">
        <f t="shared" si="0"/>
        <v>5.6907612281250006E-2</v>
      </c>
      <c r="H21" s="2"/>
      <c r="I21" s="1">
        <v>371</v>
      </c>
      <c r="J21" s="1">
        <v>15.65</v>
      </c>
      <c r="K21" s="2">
        <f t="shared" si="2"/>
        <v>5.6791404687500005E-2</v>
      </c>
      <c r="N21" s="2"/>
      <c r="Q21" s="2"/>
      <c r="R21" s="1">
        <v>334.29</v>
      </c>
      <c r="S21" s="1">
        <v>12.74</v>
      </c>
      <c r="T21" s="2">
        <f t="shared" si="5"/>
        <v>3.3911129752500005E-2</v>
      </c>
      <c r="U21" s="1">
        <v>271.43</v>
      </c>
      <c r="V21" s="1">
        <v>16.579999999999998</v>
      </c>
      <c r="W21" s="2">
        <f t="shared" si="6"/>
        <v>4.6634456157499997E-2</v>
      </c>
      <c r="Z21" s="2"/>
      <c r="AC21" s="2"/>
      <c r="AF21" s="2"/>
      <c r="AG21" s="1">
        <v>771.28</v>
      </c>
      <c r="AH21" s="1">
        <v>28.02</v>
      </c>
      <c r="AI21" s="2">
        <f t="shared" si="10"/>
        <v>0.37846728881999997</v>
      </c>
      <c r="AL21" s="2"/>
      <c r="AO21" s="2"/>
      <c r="AR21" s="2"/>
      <c r="AU21" s="2"/>
      <c r="AX21" s="2"/>
      <c r="BA21" s="2"/>
      <c r="BD21" s="2"/>
      <c r="BG21" s="2"/>
      <c r="BJ21" s="2"/>
    </row>
    <row r="22" spans="3:62" x14ac:dyDescent="0.2">
      <c r="C22" s="1">
        <v>384.95</v>
      </c>
      <c r="D22" s="1">
        <v>14.5</v>
      </c>
      <c r="E22" s="2">
        <f t="shared" si="0"/>
        <v>5.0584835937499996E-2</v>
      </c>
      <c r="H22" s="2"/>
      <c r="I22" s="1">
        <v>420.31</v>
      </c>
      <c r="J22" s="1">
        <v>13.14</v>
      </c>
      <c r="K22" s="2">
        <f t="shared" si="2"/>
        <v>4.5356597797500009E-2</v>
      </c>
      <c r="N22" s="2"/>
      <c r="Q22" s="2"/>
      <c r="R22" s="1">
        <v>606.66999999999996</v>
      </c>
      <c r="S22" s="1">
        <v>18.5</v>
      </c>
      <c r="T22" s="2">
        <f t="shared" si="5"/>
        <v>0.12977050468749998</v>
      </c>
      <c r="U22" s="1">
        <v>304.95999999999998</v>
      </c>
      <c r="V22" s="1">
        <v>16.63</v>
      </c>
      <c r="W22" s="2">
        <f t="shared" si="6"/>
        <v>5.2711745139999995E-2</v>
      </c>
      <c r="Z22" s="2"/>
      <c r="AC22" s="2"/>
      <c r="AF22" s="2"/>
      <c r="AG22" s="1">
        <v>601.12</v>
      </c>
      <c r="AH22" s="1">
        <v>30.3</v>
      </c>
      <c r="AI22" s="2">
        <f t="shared" si="10"/>
        <v>0.34492641300000004</v>
      </c>
      <c r="AL22" s="2"/>
      <c r="AO22" s="2"/>
      <c r="AR22" s="2"/>
      <c r="AU22" s="2"/>
      <c r="AX22" s="2"/>
      <c r="BA22" s="2"/>
      <c r="BD22" s="2"/>
      <c r="BG22" s="2"/>
      <c r="BJ22" s="2"/>
    </row>
    <row r="23" spans="3:62" x14ac:dyDescent="0.2">
      <c r="C23" s="1">
        <v>355.48</v>
      </c>
      <c r="D23" s="1">
        <v>22.64</v>
      </c>
      <c r="E23" s="2">
        <f t="shared" si="0"/>
        <v>0.11388015088</v>
      </c>
      <c r="H23" s="2"/>
      <c r="I23" s="1">
        <v>426.32</v>
      </c>
      <c r="J23" s="1">
        <v>14.49</v>
      </c>
      <c r="K23" s="2">
        <f t="shared" si="2"/>
        <v>5.5943868645000006E-2</v>
      </c>
      <c r="N23" s="2"/>
      <c r="Q23" s="2"/>
      <c r="R23" s="1">
        <v>464.32</v>
      </c>
      <c r="S23" s="1">
        <v>16.04</v>
      </c>
      <c r="T23" s="2">
        <f t="shared" si="5"/>
        <v>7.4663120319999998E-2</v>
      </c>
      <c r="U23" s="1">
        <v>427.79</v>
      </c>
      <c r="V23" s="1">
        <v>21.33</v>
      </c>
      <c r="W23" s="2">
        <f t="shared" si="6"/>
        <v>0.12164446608187499</v>
      </c>
      <c r="Z23" s="2"/>
      <c r="AC23" s="2"/>
      <c r="AF23" s="2"/>
      <c r="AG23" s="1">
        <v>757.62</v>
      </c>
      <c r="AH23" s="1">
        <v>28.29</v>
      </c>
      <c r="AI23" s="2">
        <f t="shared" si="10"/>
        <v>0.37896346540124998</v>
      </c>
      <c r="AL23" s="2"/>
      <c r="AO23" s="2"/>
      <c r="AR23" s="2"/>
      <c r="AU23" s="2"/>
      <c r="AX23" s="2"/>
      <c r="BA23" s="2"/>
      <c r="BD23" s="2"/>
      <c r="BG23" s="2"/>
      <c r="BJ23" s="2"/>
    </row>
    <row r="24" spans="3:62" x14ac:dyDescent="0.2">
      <c r="C24" s="1">
        <v>366.16</v>
      </c>
      <c r="D24" s="1">
        <v>15.64</v>
      </c>
      <c r="E24" s="2">
        <f t="shared" si="0"/>
        <v>5.5978906960000012E-2</v>
      </c>
      <c r="H24" s="2"/>
      <c r="I24" s="1">
        <v>418.85</v>
      </c>
      <c r="J24" s="1">
        <v>15.87</v>
      </c>
      <c r="K24" s="2">
        <f t="shared" si="2"/>
        <v>6.5931414103125002E-2</v>
      </c>
      <c r="N24" s="2"/>
      <c r="Q24" s="2"/>
      <c r="T24" s="2"/>
      <c r="U24" s="1">
        <v>243.13</v>
      </c>
      <c r="V24" s="1">
        <v>22.23</v>
      </c>
      <c r="W24" s="2">
        <f t="shared" si="6"/>
        <v>7.5092660735625011E-2</v>
      </c>
      <c r="Z24" s="2"/>
      <c r="AC24" s="2"/>
      <c r="AF24" s="2"/>
      <c r="AG24" s="1">
        <v>916.81</v>
      </c>
      <c r="AH24" s="1">
        <v>27.73</v>
      </c>
      <c r="AI24" s="2">
        <f t="shared" si="10"/>
        <v>0.44061481765562499</v>
      </c>
      <c r="AL24" s="2"/>
      <c r="AO24" s="2"/>
      <c r="AR24" s="2"/>
      <c r="AU24" s="2"/>
      <c r="AX24" s="2"/>
      <c r="BA24" s="2"/>
      <c r="BD24" s="2"/>
      <c r="BG24" s="2"/>
      <c r="BJ24" s="2"/>
    </row>
    <row r="25" spans="3:62" x14ac:dyDescent="0.2">
      <c r="C25" s="1">
        <v>321</v>
      </c>
      <c r="D25" s="1">
        <v>21.05</v>
      </c>
      <c r="E25" s="2">
        <f t="shared" si="0"/>
        <v>8.88974390625E-2</v>
      </c>
      <c r="H25" s="2"/>
      <c r="I25" s="1">
        <v>356.87</v>
      </c>
      <c r="J25" s="1">
        <v>16.02</v>
      </c>
      <c r="K25" s="2">
        <f t="shared" si="2"/>
        <v>5.7242037217499993E-2</v>
      </c>
      <c r="N25" s="2"/>
      <c r="Q25" s="2"/>
      <c r="T25" s="2"/>
      <c r="U25" s="1">
        <v>313.25</v>
      </c>
      <c r="V25" s="1">
        <v>16.84</v>
      </c>
      <c r="W25" s="2">
        <f t="shared" si="6"/>
        <v>5.5520743250000004E-2</v>
      </c>
      <c r="Z25" s="2"/>
      <c r="AC25" s="2"/>
      <c r="AF25" s="2"/>
      <c r="AG25" s="1">
        <v>595.19000000000005</v>
      </c>
      <c r="AH25" s="1">
        <v>20.9</v>
      </c>
      <c r="AI25" s="2">
        <f t="shared" si="10"/>
        <v>0.16249058993749999</v>
      </c>
      <c r="AL25" s="2"/>
      <c r="AO25" s="2"/>
      <c r="AR25" s="2"/>
      <c r="AU25" s="2"/>
      <c r="AX25" s="2"/>
      <c r="BA25" s="2"/>
      <c r="BD25" s="2"/>
      <c r="BG25" s="2"/>
      <c r="BJ25" s="2"/>
    </row>
    <row r="26" spans="3:62" x14ac:dyDescent="0.2">
      <c r="C26" s="1">
        <v>360.48</v>
      </c>
      <c r="D26" s="1">
        <v>14.44</v>
      </c>
      <c r="E26" s="2">
        <f t="shared" si="0"/>
        <v>4.6978114080000008E-2</v>
      </c>
      <c r="H26" s="2"/>
      <c r="I26" s="1">
        <v>416.15</v>
      </c>
      <c r="J26" s="1">
        <v>14.7</v>
      </c>
      <c r="K26" s="2">
        <f t="shared" si="2"/>
        <v>5.6203658437499998E-2</v>
      </c>
      <c r="N26" s="2"/>
      <c r="Q26" s="2"/>
      <c r="T26" s="2"/>
      <c r="U26" s="1">
        <v>360.44</v>
      </c>
      <c r="V26" s="1">
        <v>17.09</v>
      </c>
      <c r="W26" s="2">
        <f t="shared" si="6"/>
        <v>6.5795641227500007E-2</v>
      </c>
      <c r="Z26" s="2"/>
      <c r="AC26" s="2"/>
      <c r="AF26" s="2"/>
      <c r="AG26" s="1">
        <v>656.47</v>
      </c>
      <c r="AH26" s="1">
        <v>22.14</v>
      </c>
      <c r="AI26" s="2">
        <f t="shared" si="10"/>
        <v>0.20111762625750002</v>
      </c>
      <c r="AL26" s="2"/>
      <c r="AO26" s="2"/>
      <c r="AR26" s="2"/>
      <c r="AU26" s="2"/>
      <c r="AX26" s="2"/>
      <c r="BA26" s="2"/>
      <c r="BD26" s="2"/>
      <c r="BG26" s="2"/>
      <c r="BJ26" s="2"/>
    </row>
    <row r="27" spans="3:62" x14ac:dyDescent="0.2">
      <c r="C27" s="1">
        <v>281.47000000000003</v>
      </c>
      <c r="D27" s="1">
        <v>17.61</v>
      </c>
      <c r="E27" s="2">
        <f t="shared" si="0"/>
        <v>5.4554532991875002E-2</v>
      </c>
      <c r="H27" s="2"/>
      <c r="I27" s="1">
        <v>399.72</v>
      </c>
      <c r="J27" s="1">
        <v>15</v>
      </c>
      <c r="K27" s="2">
        <f t="shared" si="2"/>
        <v>5.6210625E-2</v>
      </c>
      <c r="N27" s="2"/>
      <c r="Q27" s="2"/>
      <c r="T27" s="2"/>
      <c r="U27" s="1">
        <v>373.18</v>
      </c>
      <c r="V27" s="1">
        <v>20.8</v>
      </c>
      <c r="W27" s="2">
        <f t="shared" si="6"/>
        <v>0.10090787200000001</v>
      </c>
      <c r="Z27" s="2"/>
      <c r="AC27" s="2"/>
      <c r="AF27" s="2"/>
      <c r="AG27" s="1">
        <v>1029.6500000000001</v>
      </c>
      <c r="AH27" s="1">
        <v>30.26</v>
      </c>
      <c r="AI27" s="2">
        <f t="shared" si="10"/>
        <v>0.58926071521250012</v>
      </c>
      <c r="AL27" s="2"/>
      <c r="AO27" s="2"/>
      <c r="AR27" s="2"/>
      <c r="AU27" s="2"/>
      <c r="AX27" s="2"/>
      <c r="BA27" s="2"/>
      <c r="BD27" s="2"/>
      <c r="BG27" s="2"/>
      <c r="BJ27" s="2"/>
    </row>
    <row r="28" spans="3:62" x14ac:dyDescent="0.2">
      <c r="C28" s="1">
        <v>395.47</v>
      </c>
      <c r="D28" s="1">
        <v>16.510000000000002</v>
      </c>
      <c r="E28" s="2">
        <f t="shared" si="0"/>
        <v>6.7373282591875028E-2</v>
      </c>
      <c r="H28" s="2"/>
      <c r="I28" s="1">
        <v>394.21</v>
      </c>
      <c r="J28" s="1">
        <v>16.559999999999999</v>
      </c>
      <c r="K28" s="2">
        <f t="shared" si="2"/>
        <v>6.7566017159999991E-2</v>
      </c>
      <c r="N28" s="2"/>
      <c r="Q28" s="2"/>
      <c r="T28" s="2"/>
      <c r="U28" s="1">
        <v>276.06</v>
      </c>
      <c r="V28" s="1">
        <v>17.54</v>
      </c>
      <c r="W28" s="2">
        <f t="shared" si="6"/>
        <v>5.3081437934999996E-2</v>
      </c>
      <c r="Z28" s="2"/>
      <c r="AC28" s="2"/>
      <c r="AF28" s="2"/>
      <c r="AG28" s="1">
        <v>1007.22</v>
      </c>
      <c r="AH28" s="1">
        <v>31.69</v>
      </c>
      <c r="AI28" s="2">
        <f t="shared" si="10"/>
        <v>0.63219176815125011</v>
      </c>
      <c r="AL28" s="2"/>
      <c r="AO28" s="2"/>
      <c r="AR28" s="2"/>
      <c r="AU28" s="2"/>
      <c r="AX28" s="2"/>
      <c r="BA28" s="2"/>
      <c r="BD28" s="2"/>
      <c r="BG28" s="2"/>
      <c r="BJ28" s="2"/>
    </row>
    <row r="29" spans="3:62" x14ac:dyDescent="0.2">
      <c r="C29" s="1">
        <v>395.8</v>
      </c>
      <c r="D29" s="1">
        <v>16.559999999999999</v>
      </c>
      <c r="E29" s="2">
        <f t="shared" si="0"/>
        <v>6.7838536799999988E-2</v>
      </c>
      <c r="H29" s="2"/>
      <c r="I29" s="1">
        <v>408.52</v>
      </c>
      <c r="J29" s="1">
        <v>13.37</v>
      </c>
      <c r="K29" s="2">
        <f t="shared" si="2"/>
        <v>4.5641105492499993E-2</v>
      </c>
      <c r="N29" s="2"/>
      <c r="Q29" s="2"/>
      <c r="T29" s="2"/>
      <c r="U29" s="1">
        <v>236.63</v>
      </c>
      <c r="V29" s="1">
        <v>16.829999999999998</v>
      </c>
      <c r="W29" s="2">
        <f t="shared" si="6"/>
        <v>4.1890742004374988E-2</v>
      </c>
      <c r="Z29" s="2"/>
      <c r="AC29" s="2"/>
      <c r="AF29" s="2"/>
      <c r="AG29" s="1">
        <v>939.91</v>
      </c>
      <c r="AH29" s="1">
        <v>27.2</v>
      </c>
      <c r="AI29" s="2">
        <f t="shared" si="10"/>
        <v>0.43461438399999996</v>
      </c>
      <c r="AL29" s="2"/>
      <c r="AO29" s="2"/>
      <c r="AR29" s="2"/>
      <c r="AU29" s="2"/>
      <c r="AX29" s="2"/>
      <c r="BA29" s="2"/>
      <c r="BD29" s="2"/>
      <c r="BG29" s="2"/>
      <c r="BJ29" s="2"/>
    </row>
    <row r="30" spans="3:62" x14ac:dyDescent="0.2">
      <c r="C30" s="1">
        <v>360.62</v>
      </c>
      <c r="D30" s="1">
        <v>14.55</v>
      </c>
      <c r="E30" s="2">
        <f t="shared" si="0"/>
        <v>4.7715097218750009E-2</v>
      </c>
      <c r="H30" s="2"/>
      <c r="I30" s="1">
        <v>373.69</v>
      </c>
      <c r="J30" s="1">
        <v>15.92</v>
      </c>
      <c r="K30" s="2">
        <f t="shared" si="2"/>
        <v>5.9193990759999995E-2</v>
      </c>
      <c r="N30" s="2"/>
      <c r="Q30" s="2"/>
      <c r="T30" s="2"/>
      <c r="U30" s="1">
        <v>404.65</v>
      </c>
      <c r="V30" s="1">
        <v>20.8</v>
      </c>
      <c r="W30" s="2">
        <f t="shared" si="6"/>
        <v>0.10941735999999999</v>
      </c>
      <c r="Z30" s="2"/>
      <c r="AC30" s="2"/>
      <c r="AF30" s="2"/>
      <c r="AG30" s="1">
        <v>752.04</v>
      </c>
      <c r="AH30" s="1">
        <v>28.01</v>
      </c>
      <c r="AI30" s="2">
        <f t="shared" si="10"/>
        <v>0.3687628610025</v>
      </c>
      <c r="AL30" s="2"/>
      <c r="AO30" s="2"/>
      <c r="AR30" s="2"/>
      <c r="AU30" s="2"/>
      <c r="AX30" s="2"/>
      <c r="BA30" s="2"/>
      <c r="BD30" s="2"/>
      <c r="BG30" s="2"/>
      <c r="BJ30" s="2"/>
    </row>
    <row r="31" spans="3:62" x14ac:dyDescent="0.2">
      <c r="C31" s="1">
        <v>366.2</v>
      </c>
      <c r="D31" s="1">
        <v>16.82</v>
      </c>
      <c r="E31" s="2">
        <f t="shared" si="0"/>
        <v>6.4751575549999996E-2</v>
      </c>
      <c r="H31" s="2"/>
      <c r="I31" s="1">
        <v>425.5</v>
      </c>
      <c r="J31" s="1">
        <v>15.93</v>
      </c>
      <c r="K31" s="2">
        <f t="shared" si="2"/>
        <v>6.7485603093749999E-2</v>
      </c>
      <c r="N31" s="2"/>
      <c r="Q31" s="2"/>
      <c r="T31" s="2"/>
      <c r="U31" s="1">
        <v>318.89</v>
      </c>
      <c r="V31" s="1">
        <v>18.059999999999999</v>
      </c>
      <c r="W31" s="2">
        <f t="shared" si="6"/>
        <v>6.5006444002499983E-2</v>
      </c>
      <c r="Z31" s="2"/>
      <c r="AC31" s="2"/>
      <c r="AF31" s="2"/>
      <c r="AG31" s="1">
        <v>786.14</v>
      </c>
      <c r="AH31" s="1">
        <v>21.72</v>
      </c>
      <c r="AI31" s="2">
        <f t="shared" si="10"/>
        <v>0.23179259285999992</v>
      </c>
      <c r="AL31" s="2"/>
      <c r="AO31" s="2"/>
      <c r="AR31" s="2"/>
      <c r="AU31" s="2"/>
      <c r="AX31" s="2"/>
      <c r="BA31" s="2"/>
      <c r="BD31" s="2"/>
      <c r="BG31" s="2"/>
      <c r="BJ31" s="2"/>
    </row>
    <row r="32" spans="3:62" x14ac:dyDescent="0.2">
      <c r="C32" s="1">
        <v>403.63</v>
      </c>
      <c r="D32" s="1">
        <v>16.54</v>
      </c>
      <c r="E32" s="2">
        <f t="shared" si="0"/>
        <v>6.901356556749999E-2</v>
      </c>
      <c r="H32" s="2"/>
      <c r="I32" s="1">
        <v>369.7</v>
      </c>
      <c r="J32" s="1">
        <v>16.53</v>
      </c>
      <c r="K32" s="2">
        <f t="shared" si="2"/>
        <v>6.3135725456250014E-2</v>
      </c>
      <c r="N32" s="2"/>
      <c r="Q32" s="2"/>
      <c r="T32" s="2"/>
      <c r="U32" s="1">
        <v>322.29000000000002</v>
      </c>
      <c r="V32" s="1">
        <v>19.649999999999999</v>
      </c>
      <c r="W32" s="2">
        <f t="shared" si="6"/>
        <v>7.7777137828124981E-2</v>
      </c>
      <c r="Z32" s="2"/>
      <c r="AC32" s="2"/>
      <c r="AF32" s="2"/>
      <c r="AG32" s="1">
        <v>822.12</v>
      </c>
      <c r="AH32" s="1">
        <v>24.23</v>
      </c>
      <c r="AI32" s="2">
        <f t="shared" si="10"/>
        <v>0.30166300934250001</v>
      </c>
      <c r="AL32" s="2"/>
      <c r="AO32" s="2"/>
      <c r="AR32" s="2"/>
      <c r="AU32" s="2"/>
      <c r="AX32" s="2"/>
      <c r="BA32" s="2"/>
      <c r="BD32" s="2"/>
      <c r="BG32" s="2"/>
      <c r="BJ32" s="2"/>
    </row>
    <row r="33" spans="3:62" x14ac:dyDescent="0.2">
      <c r="C33" s="1">
        <v>421.39</v>
      </c>
      <c r="D33" s="1">
        <v>20.68</v>
      </c>
      <c r="E33" s="2">
        <f t="shared" si="0"/>
        <v>0.11263291170999999</v>
      </c>
      <c r="H33" s="2"/>
      <c r="I33" s="1">
        <v>438.27</v>
      </c>
      <c r="J33" s="1">
        <v>20.48</v>
      </c>
      <c r="K33" s="2">
        <f t="shared" si="2"/>
        <v>0.11488985087999999</v>
      </c>
      <c r="N33" s="2"/>
      <c r="Q33" s="2"/>
      <c r="T33" s="2"/>
      <c r="U33" s="1">
        <v>271.41000000000003</v>
      </c>
      <c r="V33" s="1">
        <v>20.45</v>
      </c>
      <c r="W33" s="2">
        <f t="shared" si="6"/>
        <v>7.0940212828125002E-2</v>
      </c>
      <c r="Z33" s="2"/>
      <c r="AC33" s="2"/>
      <c r="AF33" s="2"/>
      <c r="AG33" s="1">
        <v>875.02</v>
      </c>
      <c r="AH33" s="1">
        <v>27.19</v>
      </c>
      <c r="AI33" s="2">
        <f t="shared" si="10"/>
        <v>0.40431179588874999</v>
      </c>
      <c r="AL33" s="2"/>
      <c r="AO33" s="2"/>
      <c r="AR33" s="2"/>
      <c r="AU33" s="2"/>
      <c r="AX33" s="2"/>
      <c r="BA33" s="2"/>
      <c r="BD33" s="2"/>
      <c r="BG33" s="2"/>
      <c r="BJ33" s="2"/>
    </row>
    <row r="34" spans="3:62" x14ac:dyDescent="0.2">
      <c r="C34" s="1">
        <v>392.09</v>
      </c>
      <c r="D34" s="1">
        <v>14.44</v>
      </c>
      <c r="E34" s="2">
        <f t="shared" si="0"/>
        <v>5.1097560889999998E-2</v>
      </c>
      <c r="H34" s="2"/>
      <c r="I34" s="1">
        <v>403.57</v>
      </c>
      <c r="J34" s="1">
        <v>15.56</v>
      </c>
      <c r="K34" s="2">
        <f t="shared" si="2"/>
        <v>6.1068615970000011E-2</v>
      </c>
      <c r="N34" s="2"/>
      <c r="Q34" s="2"/>
      <c r="T34" s="2"/>
      <c r="U34" s="1">
        <v>340.33</v>
      </c>
      <c r="V34" s="1">
        <v>19.37</v>
      </c>
      <c r="W34" s="2">
        <f t="shared" si="6"/>
        <v>7.9806725610625004E-2</v>
      </c>
      <c r="Z34" s="2"/>
      <c r="AC34" s="2"/>
      <c r="AF34" s="2"/>
      <c r="AG34" s="1">
        <v>804.01</v>
      </c>
      <c r="AH34" s="1">
        <v>25.19</v>
      </c>
      <c r="AI34" s="2">
        <f t="shared" si="10"/>
        <v>0.31885835610062502</v>
      </c>
      <c r="AL34" s="2"/>
      <c r="AO34" s="2"/>
      <c r="AR34" s="2"/>
      <c r="AU34" s="2"/>
      <c r="AX34" s="2"/>
      <c r="BA34" s="2"/>
      <c r="BD34" s="2"/>
      <c r="BG34" s="2"/>
      <c r="BJ34" s="2"/>
    </row>
    <row r="35" spans="3:62" x14ac:dyDescent="0.2">
      <c r="C35" s="1">
        <v>303.68</v>
      </c>
      <c r="D35" s="1">
        <v>17.079999999999998</v>
      </c>
      <c r="E35" s="2">
        <f t="shared" si="0"/>
        <v>5.5369670719999986E-2</v>
      </c>
      <c r="H35" s="2"/>
      <c r="I35" s="1">
        <v>356.39</v>
      </c>
      <c r="J35" s="1">
        <v>17.149999999999999</v>
      </c>
      <c r="K35" s="2">
        <f t="shared" si="2"/>
        <v>6.5513948609374983E-2</v>
      </c>
      <c r="N35" s="2"/>
      <c r="Q35" s="2"/>
      <c r="T35" s="2"/>
      <c r="U35" s="1">
        <v>521.97</v>
      </c>
      <c r="V35" s="1">
        <v>23.43</v>
      </c>
      <c r="W35" s="2">
        <f t="shared" si="6"/>
        <v>0.179089505533125</v>
      </c>
      <c r="Z35" s="2"/>
      <c r="AC35" s="2"/>
      <c r="AF35" s="2"/>
      <c r="AG35" s="1">
        <v>863.56</v>
      </c>
      <c r="AH35" s="1">
        <v>26.43</v>
      </c>
      <c r="AI35" s="2">
        <f t="shared" si="10"/>
        <v>0.3770221461524999</v>
      </c>
      <c r="AL35" s="2"/>
      <c r="AO35" s="2"/>
      <c r="AR35" s="2"/>
      <c r="AU35" s="2"/>
      <c r="AX35" s="2"/>
      <c r="BA35" s="2"/>
      <c r="BD35" s="2"/>
      <c r="BG35" s="2"/>
      <c r="BJ35" s="2"/>
    </row>
    <row r="36" spans="3:62" x14ac:dyDescent="0.2">
      <c r="C36" s="1">
        <v>360.82</v>
      </c>
      <c r="D36" s="1">
        <v>15.99</v>
      </c>
      <c r="E36" s="2">
        <f t="shared" si="0"/>
        <v>5.7659058551250003E-2</v>
      </c>
      <c r="H36" s="2"/>
      <c r="I36" s="1">
        <v>379.13</v>
      </c>
      <c r="J36" s="1">
        <v>15.38</v>
      </c>
      <c r="K36" s="2">
        <f t="shared" si="2"/>
        <v>5.60506739825E-2</v>
      </c>
      <c r="N36" s="2"/>
      <c r="Q36" s="2"/>
      <c r="T36" s="2"/>
      <c r="U36" s="1">
        <v>373.08</v>
      </c>
      <c r="V36" s="1">
        <v>26.14</v>
      </c>
      <c r="W36" s="2">
        <f t="shared" si="6"/>
        <v>0.15932838423000001</v>
      </c>
      <c r="Z36" s="2"/>
      <c r="AC36" s="2"/>
      <c r="AF36" s="2"/>
      <c r="AG36" s="1">
        <v>707.53</v>
      </c>
      <c r="AH36" s="1">
        <v>25.24</v>
      </c>
      <c r="AI36" s="2">
        <f t="shared" si="10"/>
        <v>0.28171085232999998</v>
      </c>
      <c r="AL36" s="2"/>
      <c r="AO36" s="2"/>
      <c r="AR36" s="2"/>
      <c r="AU36" s="2"/>
      <c r="AX36" s="2"/>
      <c r="BA36" s="2"/>
      <c r="BD36" s="2"/>
      <c r="BG36" s="2"/>
      <c r="BJ36" s="2"/>
    </row>
    <row r="37" spans="3:62" x14ac:dyDescent="0.2">
      <c r="C37" s="1">
        <v>408.64</v>
      </c>
      <c r="D37" s="1">
        <v>18.54</v>
      </c>
      <c r="E37" s="2">
        <f t="shared" si="0"/>
        <v>8.7789050639999991E-2</v>
      </c>
      <c r="H37" s="2"/>
      <c r="I37" s="1">
        <v>390.99</v>
      </c>
      <c r="J37" s="1">
        <v>15.11</v>
      </c>
      <c r="K37" s="2">
        <f t="shared" si="2"/>
        <v>5.5792342486874993E-2</v>
      </c>
      <c r="N37" s="2"/>
      <c r="Q37" s="2"/>
      <c r="T37" s="2"/>
      <c r="U37" s="1">
        <v>307.77999999999997</v>
      </c>
      <c r="V37" s="1">
        <v>16.54</v>
      </c>
      <c r="W37" s="2">
        <f t="shared" si="6"/>
        <v>5.2624916904999992E-2</v>
      </c>
      <c r="Z37" s="2"/>
      <c r="AC37" s="2"/>
      <c r="AF37" s="2"/>
      <c r="AG37" s="1">
        <v>662.71</v>
      </c>
      <c r="AH37" s="1">
        <v>20.96</v>
      </c>
      <c r="AI37" s="2">
        <f t="shared" si="10"/>
        <v>0.18196426096000004</v>
      </c>
      <c r="AL37" s="2"/>
      <c r="AO37" s="2"/>
      <c r="AR37" s="2"/>
      <c r="AU37" s="2"/>
      <c r="AX37" s="2"/>
      <c r="BA37" s="2"/>
      <c r="BD37" s="2"/>
      <c r="BG37" s="2"/>
      <c r="BJ37" s="2"/>
    </row>
    <row r="38" spans="3:62" x14ac:dyDescent="0.2">
      <c r="C38" s="1">
        <v>357.99</v>
      </c>
      <c r="D38" s="1">
        <v>14.79</v>
      </c>
      <c r="E38" s="2">
        <f t="shared" ref="E38:E43" si="20">(C38*D38*D38)/1600000</f>
        <v>4.8942625224374994E-2</v>
      </c>
      <c r="H38" s="2"/>
      <c r="I38" s="1">
        <v>375.34</v>
      </c>
      <c r="J38" s="1">
        <v>15.58</v>
      </c>
      <c r="K38" s="2">
        <f t="shared" ref="K38:K41" si="21">(I38*J38*J38)/1600000</f>
        <v>5.6942925235000004E-2</v>
      </c>
      <c r="N38" s="2"/>
      <c r="Q38" s="2"/>
      <c r="T38" s="2"/>
      <c r="U38" s="1">
        <v>292.23</v>
      </c>
      <c r="V38" s="1">
        <v>14.77</v>
      </c>
      <c r="W38" s="2">
        <f t="shared" ref="W38:W53" si="22">(U38*V38*V38)/1600000</f>
        <v>3.9844263729375003E-2</v>
      </c>
      <c r="Z38" s="2"/>
      <c r="AC38" s="2"/>
      <c r="AF38" s="2"/>
      <c r="AG38" s="1">
        <v>577.58000000000004</v>
      </c>
      <c r="AH38" s="1">
        <v>21.26</v>
      </c>
      <c r="AI38" s="2">
        <f t="shared" ref="AI38:AI49" si="23">(AG38*AH38*AH38)/1600000</f>
        <v>0.16316187375500002</v>
      </c>
      <c r="AL38" s="2"/>
      <c r="AO38" s="2"/>
      <c r="AR38" s="2"/>
      <c r="AU38" s="2"/>
      <c r="AX38" s="2"/>
      <c r="BA38" s="2"/>
      <c r="BD38" s="2"/>
      <c r="BG38" s="2"/>
      <c r="BJ38" s="2"/>
    </row>
    <row r="39" spans="3:62" x14ac:dyDescent="0.2">
      <c r="C39" s="1">
        <v>309.39</v>
      </c>
      <c r="D39" s="1">
        <v>19.329999999999998</v>
      </c>
      <c r="E39" s="2">
        <f t="shared" si="20"/>
        <v>7.2252020731874991E-2</v>
      </c>
      <c r="H39" s="2"/>
      <c r="I39" s="1">
        <v>394.51</v>
      </c>
      <c r="J39" s="1">
        <v>15.41</v>
      </c>
      <c r="K39" s="2">
        <f t="shared" si="21"/>
        <v>5.8552212581874999E-2</v>
      </c>
      <c r="N39" s="2"/>
      <c r="Q39" s="2"/>
      <c r="T39" s="2"/>
      <c r="U39" s="1">
        <v>461.74</v>
      </c>
      <c r="V39" s="1">
        <v>23.34</v>
      </c>
      <c r="W39" s="2">
        <f t="shared" si="22"/>
        <v>0.15720965671500001</v>
      </c>
      <c r="Z39" s="2"/>
      <c r="AC39" s="2"/>
      <c r="AF39" s="2"/>
      <c r="AG39" s="1">
        <v>617.33000000000004</v>
      </c>
      <c r="AH39" s="1">
        <v>22.52</v>
      </c>
      <c r="AI39" s="2">
        <f t="shared" si="23"/>
        <v>0.19567447277</v>
      </c>
      <c r="AL39" s="2"/>
      <c r="AO39" s="2"/>
      <c r="AR39" s="2"/>
      <c r="AU39" s="2"/>
      <c r="AX39" s="2"/>
      <c r="BA39" s="2"/>
      <c r="BD39" s="2"/>
      <c r="BG39" s="2"/>
      <c r="BJ39" s="2"/>
    </row>
    <row r="40" spans="3:62" x14ac:dyDescent="0.2">
      <c r="C40" s="1">
        <v>416.07</v>
      </c>
      <c r="D40" s="1">
        <v>15.15</v>
      </c>
      <c r="E40" s="2">
        <f t="shared" si="20"/>
        <v>5.9685891609375E-2</v>
      </c>
      <c r="H40" s="2"/>
      <c r="I40" s="1">
        <v>391.22</v>
      </c>
      <c r="J40" s="1">
        <v>15.94</v>
      </c>
      <c r="K40" s="2">
        <f t="shared" si="21"/>
        <v>6.2126616244999995E-2</v>
      </c>
      <c r="N40" s="2"/>
      <c r="Q40" s="2"/>
      <c r="T40" s="2"/>
      <c r="U40" s="1">
        <v>278.76</v>
      </c>
      <c r="V40" s="1">
        <v>17.29</v>
      </c>
      <c r="W40" s="2">
        <f t="shared" si="22"/>
        <v>5.2083535822499992E-2</v>
      </c>
      <c r="Z40" s="2"/>
      <c r="AC40" s="2"/>
      <c r="AF40" s="2"/>
      <c r="AG40" s="1">
        <v>983.22</v>
      </c>
      <c r="AH40" s="1">
        <v>27.55</v>
      </c>
      <c r="AI40" s="2">
        <f t="shared" si="23"/>
        <v>0.46641652378125009</v>
      </c>
      <c r="AL40" s="2"/>
      <c r="AO40" s="2"/>
      <c r="AR40" s="2"/>
      <c r="AU40" s="2"/>
      <c r="AX40" s="2"/>
      <c r="BA40" s="2"/>
      <c r="BD40" s="2"/>
      <c r="BG40" s="2"/>
      <c r="BJ40" s="2"/>
    </row>
    <row r="41" spans="3:62" x14ac:dyDescent="0.2">
      <c r="C41" s="1">
        <v>364.4</v>
      </c>
      <c r="D41" s="1">
        <v>13.75</v>
      </c>
      <c r="E41" s="2">
        <f t="shared" si="20"/>
        <v>4.3058984374999998E-2</v>
      </c>
      <c r="H41" s="2"/>
      <c r="I41" s="1">
        <v>448.46</v>
      </c>
      <c r="J41" s="1">
        <v>16.5</v>
      </c>
      <c r="K41" s="2">
        <f t="shared" si="21"/>
        <v>7.6308271874999986E-2</v>
      </c>
      <c r="N41" s="2"/>
      <c r="Q41" s="2"/>
      <c r="T41" s="2"/>
      <c r="U41" s="1">
        <v>480.58</v>
      </c>
      <c r="V41" s="1">
        <v>24.16</v>
      </c>
      <c r="W41" s="2">
        <f t="shared" si="22"/>
        <v>0.17532327328</v>
      </c>
      <c r="Z41" s="2"/>
      <c r="AC41" s="2"/>
      <c r="AF41" s="2"/>
      <c r="AG41" s="1">
        <v>887.83</v>
      </c>
      <c r="AH41" s="1">
        <v>24.7</v>
      </c>
      <c r="AI41" s="2">
        <f t="shared" si="23"/>
        <v>0.33853512793750001</v>
      </c>
      <c r="AL41" s="2"/>
      <c r="AO41" s="2"/>
      <c r="AR41" s="2"/>
      <c r="AU41" s="2"/>
      <c r="AX41" s="2"/>
      <c r="BA41" s="2"/>
      <c r="BD41" s="2"/>
      <c r="BG41" s="2"/>
      <c r="BJ41" s="2"/>
    </row>
    <row r="42" spans="3:62" x14ac:dyDescent="0.2">
      <c r="C42" s="1">
        <v>398.59</v>
      </c>
      <c r="D42" s="1">
        <v>13.43</v>
      </c>
      <c r="E42" s="2">
        <f t="shared" si="20"/>
        <v>4.4932278431874993E-2</v>
      </c>
      <c r="H42" s="2"/>
      <c r="K42" s="2"/>
      <c r="N42" s="2"/>
      <c r="Q42" s="2"/>
      <c r="T42" s="2"/>
      <c r="U42" s="1">
        <v>473.45</v>
      </c>
      <c r="V42" s="1">
        <v>26.11</v>
      </c>
      <c r="W42" s="2">
        <f t="shared" si="22"/>
        <v>0.20172878921562495</v>
      </c>
      <c r="Z42" s="2"/>
      <c r="AC42" s="2"/>
      <c r="AF42" s="2"/>
      <c r="AG42" s="1">
        <v>814.88</v>
      </c>
      <c r="AH42" s="1">
        <v>25.49</v>
      </c>
      <c r="AI42" s="2">
        <f t="shared" si="23"/>
        <v>0.33091263292999995</v>
      </c>
      <c r="AL42" s="2"/>
      <c r="AO42" s="2"/>
      <c r="AR42" s="2"/>
      <c r="AU42" s="2"/>
      <c r="AX42" s="2"/>
      <c r="BA42" s="2"/>
      <c r="BD42" s="2"/>
      <c r="BG42" s="2"/>
      <c r="BJ42" s="2"/>
    </row>
    <row r="43" spans="3:62" x14ac:dyDescent="0.2">
      <c r="C43" s="1">
        <v>378.74</v>
      </c>
      <c r="D43" s="1">
        <v>15.46</v>
      </c>
      <c r="E43" s="2">
        <f t="shared" si="20"/>
        <v>5.6577033365000008E-2</v>
      </c>
      <c r="H43" s="2"/>
      <c r="K43" s="2"/>
      <c r="N43" s="2"/>
      <c r="Q43" s="2"/>
      <c r="T43" s="2"/>
      <c r="U43" s="1">
        <v>294.93</v>
      </c>
      <c r="V43" s="1">
        <v>19.18</v>
      </c>
      <c r="W43" s="2">
        <f t="shared" si="22"/>
        <v>6.7810379332500004E-2</v>
      </c>
      <c r="Z43" s="2"/>
      <c r="AC43" s="2"/>
      <c r="AF43" s="2"/>
      <c r="AG43" s="1">
        <v>598.32000000000005</v>
      </c>
      <c r="AH43" s="1">
        <v>21.18</v>
      </c>
      <c r="AI43" s="2">
        <f t="shared" si="23"/>
        <v>0.16775112798000003</v>
      </c>
      <c r="AL43" s="2"/>
      <c r="AO43" s="2"/>
      <c r="AR43" s="2"/>
      <c r="AU43" s="2"/>
      <c r="AX43" s="2"/>
      <c r="BA43" s="2"/>
      <c r="BD43" s="2"/>
      <c r="BG43" s="2"/>
      <c r="BJ43" s="2"/>
    </row>
    <row r="44" spans="3:62" x14ac:dyDescent="0.2">
      <c r="E44" s="2"/>
      <c r="H44" s="2"/>
      <c r="K44" s="2"/>
      <c r="N44" s="2"/>
      <c r="Q44" s="2"/>
      <c r="T44" s="2"/>
      <c r="U44" s="1">
        <v>298.62</v>
      </c>
      <c r="V44" s="1">
        <v>17.420000000000002</v>
      </c>
      <c r="W44" s="2">
        <f t="shared" si="22"/>
        <v>5.6636343855000014E-2</v>
      </c>
      <c r="Z44" s="2"/>
      <c r="AC44" s="2"/>
      <c r="AF44" s="2"/>
      <c r="AG44" s="1">
        <v>957.05</v>
      </c>
      <c r="AH44" s="1">
        <v>29.83</v>
      </c>
      <c r="AI44" s="2">
        <f t="shared" si="23"/>
        <v>0.5322567179656249</v>
      </c>
      <c r="AL44" s="2"/>
      <c r="AO44" s="2"/>
      <c r="AR44" s="2"/>
      <c r="AU44" s="2"/>
      <c r="AX44" s="2"/>
      <c r="BA44" s="2"/>
      <c r="BD44" s="2"/>
      <c r="BG44" s="2"/>
      <c r="BJ44" s="2"/>
    </row>
    <row r="45" spans="3:62" x14ac:dyDescent="0.2">
      <c r="E45" s="2"/>
      <c r="H45" s="2"/>
      <c r="K45" s="2"/>
      <c r="N45" s="2"/>
      <c r="Q45" s="2"/>
      <c r="T45" s="2"/>
      <c r="U45" s="1">
        <v>301.31</v>
      </c>
      <c r="V45" s="1">
        <v>17.05</v>
      </c>
      <c r="W45" s="2">
        <f t="shared" si="22"/>
        <v>5.4744731421875005E-2</v>
      </c>
      <c r="Z45" s="2"/>
      <c r="AC45" s="2"/>
      <c r="AF45" s="2"/>
      <c r="AG45" s="1">
        <v>544.05999999999995</v>
      </c>
      <c r="AH45" s="1">
        <v>16.8</v>
      </c>
      <c r="AI45" s="2">
        <f t="shared" si="23"/>
        <v>9.5972184000000002E-2</v>
      </c>
      <c r="AL45" s="2"/>
      <c r="AO45" s="2"/>
      <c r="AR45" s="2"/>
      <c r="AU45" s="2"/>
      <c r="AX45" s="2"/>
      <c r="BA45" s="2"/>
      <c r="BD45" s="2"/>
      <c r="BG45" s="2"/>
      <c r="BJ45" s="2"/>
    </row>
    <row r="46" spans="3:62" x14ac:dyDescent="0.2">
      <c r="E46" s="2"/>
      <c r="H46" s="2"/>
      <c r="K46" s="2"/>
      <c r="N46" s="2"/>
      <c r="Q46" s="2"/>
      <c r="T46" s="2"/>
      <c r="U46" s="1">
        <v>250.56</v>
      </c>
      <c r="V46" s="1">
        <v>14.36</v>
      </c>
      <c r="W46" s="2">
        <f t="shared" si="22"/>
        <v>3.2292423359999996E-2</v>
      </c>
      <c r="Z46" s="2"/>
      <c r="AC46" s="2"/>
      <c r="AF46" s="2"/>
      <c r="AG46" s="1">
        <v>890.01</v>
      </c>
      <c r="AH46" s="1">
        <v>26.82</v>
      </c>
      <c r="AI46" s="2">
        <f t="shared" si="23"/>
        <v>0.40012201820250004</v>
      </c>
      <c r="AL46" s="2"/>
      <c r="AO46" s="2"/>
      <c r="AR46" s="2"/>
      <c r="AU46" s="2"/>
      <c r="AX46" s="2"/>
      <c r="BA46" s="2"/>
      <c r="BD46" s="2"/>
      <c r="BG46" s="2"/>
      <c r="BJ46" s="2"/>
    </row>
    <row r="47" spans="3:62" x14ac:dyDescent="0.2">
      <c r="E47" s="2"/>
      <c r="H47" s="2"/>
      <c r="K47" s="2"/>
      <c r="N47" s="2"/>
      <c r="Q47" s="2"/>
      <c r="T47" s="2"/>
      <c r="U47" s="1">
        <v>344.28</v>
      </c>
      <c r="V47" s="1">
        <v>20.86</v>
      </c>
      <c r="W47" s="2">
        <f t="shared" si="22"/>
        <v>9.3631163429999983E-2</v>
      </c>
      <c r="Z47" s="2"/>
      <c r="AC47" s="2"/>
      <c r="AF47" s="2"/>
      <c r="AG47" s="1">
        <v>883.23</v>
      </c>
      <c r="AH47" s="1">
        <v>23.73</v>
      </c>
      <c r="AI47" s="2">
        <f t="shared" si="23"/>
        <v>0.31084887916687504</v>
      </c>
      <c r="AL47" s="2"/>
      <c r="AO47" s="2"/>
      <c r="AR47" s="2"/>
      <c r="AU47" s="2"/>
      <c r="AX47" s="2"/>
      <c r="BA47" s="2"/>
      <c r="BD47" s="2"/>
      <c r="BG47" s="2"/>
      <c r="BJ47" s="2"/>
    </row>
    <row r="48" spans="3:62" x14ac:dyDescent="0.2">
      <c r="E48" s="2"/>
      <c r="H48" s="2"/>
      <c r="K48" s="2"/>
      <c r="N48" s="2"/>
      <c r="Q48" s="2"/>
      <c r="T48" s="2"/>
      <c r="U48" s="1">
        <v>431.59</v>
      </c>
      <c r="V48" s="1">
        <v>25.34</v>
      </c>
      <c r="W48" s="2">
        <f t="shared" si="22"/>
        <v>0.1732066698775</v>
      </c>
      <c r="Z48" s="2"/>
      <c r="AC48" s="2"/>
      <c r="AF48" s="2"/>
      <c r="AG48" s="1">
        <v>774.82</v>
      </c>
      <c r="AH48" s="1">
        <v>25.52</v>
      </c>
      <c r="AI48" s="2">
        <f t="shared" si="23"/>
        <v>0.31538583207999998</v>
      </c>
      <c r="AL48" s="2"/>
      <c r="AO48" s="2"/>
      <c r="AR48" s="2"/>
      <c r="AU48" s="2"/>
      <c r="AX48" s="2"/>
      <c r="BA48" s="2"/>
      <c r="BD48" s="2"/>
      <c r="BG48" s="2"/>
      <c r="BJ48" s="2"/>
    </row>
    <row r="49" spans="5:62" x14ac:dyDescent="0.2">
      <c r="E49" s="2"/>
      <c r="H49" s="2"/>
      <c r="K49" s="2"/>
      <c r="N49" s="2"/>
      <c r="Q49" s="2"/>
      <c r="T49" s="2"/>
      <c r="U49" s="1">
        <v>346.7</v>
      </c>
      <c r="V49" s="1">
        <v>21.76</v>
      </c>
      <c r="W49" s="2">
        <f t="shared" si="22"/>
        <v>0.10260101120000001</v>
      </c>
      <c r="Z49" s="2"/>
      <c r="AC49" s="2"/>
      <c r="AF49" s="2"/>
      <c r="AG49" s="1">
        <v>556.24</v>
      </c>
      <c r="AH49" s="1">
        <v>17.98</v>
      </c>
      <c r="AI49" s="2">
        <f t="shared" si="23"/>
        <v>0.11238843106</v>
      </c>
      <c r="AL49" s="2"/>
      <c r="AO49" s="2"/>
      <c r="AR49" s="2"/>
      <c r="AU49" s="2"/>
      <c r="AX49" s="2"/>
      <c r="BA49" s="2"/>
      <c r="BD49" s="2"/>
      <c r="BG49" s="2"/>
      <c r="BJ49" s="2"/>
    </row>
    <row r="50" spans="5:62" x14ac:dyDescent="0.2">
      <c r="E50" s="2"/>
      <c r="H50" s="2"/>
      <c r="K50" s="2"/>
      <c r="N50" s="2"/>
      <c r="Q50" s="2"/>
      <c r="T50" s="2"/>
      <c r="U50" s="1">
        <v>382.6</v>
      </c>
      <c r="V50" s="1">
        <v>20.18</v>
      </c>
      <c r="W50" s="2">
        <f t="shared" si="22"/>
        <v>9.7379447650000006E-2</v>
      </c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</row>
    <row r="51" spans="5:62" x14ac:dyDescent="0.2">
      <c r="E51" s="2"/>
      <c r="H51" s="2"/>
      <c r="K51" s="2"/>
      <c r="N51" s="2"/>
      <c r="Q51" s="2"/>
      <c r="T51" s="2"/>
      <c r="U51" s="1">
        <v>367.17</v>
      </c>
      <c r="V51" s="1">
        <v>22.54</v>
      </c>
      <c r="W51" s="2">
        <f t="shared" si="22"/>
        <v>0.1165883162325</v>
      </c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</row>
    <row r="52" spans="5:62" x14ac:dyDescent="0.2">
      <c r="E52" s="2"/>
      <c r="H52" s="2"/>
      <c r="K52" s="2"/>
      <c r="N52" s="2"/>
      <c r="Q52" s="2"/>
      <c r="T52" s="2"/>
      <c r="U52" s="1">
        <v>479.08</v>
      </c>
      <c r="V52" s="1">
        <v>26.02</v>
      </c>
      <c r="W52" s="2">
        <f t="shared" si="22"/>
        <v>0.20272282176999998</v>
      </c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</row>
    <row r="53" spans="5:62" x14ac:dyDescent="0.2">
      <c r="E53" s="2"/>
      <c r="H53" s="2"/>
      <c r="K53" s="2"/>
      <c r="N53" s="2"/>
      <c r="Q53" s="2"/>
      <c r="T53" s="2"/>
      <c r="U53" s="1">
        <v>407.46</v>
      </c>
      <c r="V53" s="1">
        <v>20.04</v>
      </c>
      <c r="W53" s="2">
        <f t="shared" si="22"/>
        <v>0.10227286746</v>
      </c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</row>
    <row r="54" spans="5:62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</row>
    <row r="55" spans="5:62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</row>
    <row r="56" spans="5:62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</row>
    <row r="57" spans="5:62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</row>
    <row r="58" spans="5:62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</row>
    <row r="59" spans="5:62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</row>
    <row r="60" spans="5:62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</row>
    <row r="61" spans="5:62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</row>
    <row r="62" spans="5:62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</row>
    <row r="63" spans="5:62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</row>
    <row r="64" spans="5:62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</row>
    <row r="65" spans="5:62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</row>
    <row r="66" spans="5:62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</row>
    <row r="67" spans="5:62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</row>
    <row r="68" spans="5:62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</row>
    <row r="69" spans="5:62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</row>
    <row r="70" spans="5:62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</row>
    <row r="71" spans="5:62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</row>
    <row r="72" spans="5:62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</row>
    <row r="73" spans="5:62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</row>
    <row r="74" spans="5:62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</row>
    <row r="75" spans="5:62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</row>
    <row r="76" spans="5:62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</row>
    <row r="77" spans="5:62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</row>
    <row r="78" spans="5:62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</row>
    <row r="79" spans="5:62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</row>
    <row r="80" spans="5:62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</row>
    <row r="81" spans="5:62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</row>
    <row r="82" spans="5:62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</row>
    <row r="83" spans="5:62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</row>
    <row r="84" spans="5:62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</row>
    <row r="85" spans="5:62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</row>
    <row r="86" spans="5:62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</row>
    <row r="87" spans="5:62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</row>
    <row r="88" spans="5:62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</row>
    <row r="89" spans="5:62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</row>
    <row r="90" spans="5:62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</row>
    <row r="91" spans="5:62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</row>
    <row r="92" spans="5:62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</row>
    <row r="93" spans="5:62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</row>
    <row r="94" spans="5:62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</row>
    <row r="95" spans="5:62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</row>
    <row r="96" spans="5:62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</row>
    <row r="97" spans="5:62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</row>
    <row r="98" spans="5:62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</row>
    <row r="99" spans="5:62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</row>
    <row r="100" spans="5:62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</row>
    <row r="101" spans="5:62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</row>
    <row r="102" spans="5:62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</row>
    <row r="103" spans="5:62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</row>
    <row r="104" spans="5:62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</row>
    <row r="105" spans="5:62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</row>
    <row r="106" spans="5:62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</row>
    <row r="107" spans="5:62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</row>
    <row r="108" spans="5:62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</row>
    <row r="109" spans="5:62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</row>
    <row r="110" spans="5:62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</row>
    <row r="111" spans="5:62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</row>
    <row r="112" spans="5:62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</row>
    <row r="113" spans="5:62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</row>
    <row r="114" spans="5:62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</row>
    <row r="115" spans="5:62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</row>
    <row r="116" spans="5:62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</row>
    <row r="117" spans="5:62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</row>
    <row r="118" spans="5:62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</row>
    <row r="119" spans="5:62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</row>
    <row r="120" spans="5:62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</row>
    <row r="121" spans="5:62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</row>
    <row r="122" spans="5:62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</row>
    <row r="123" spans="5:62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</row>
    <row r="124" spans="5:62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</row>
    <row r="125" spans="5:62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</row>
    <row r="126" spans="5:62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</row>
    <row r="127" spans="5:62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</row>
    <row r="128" spans="5:62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</row>
    <row r="129" spans="5:62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</row>
    <row r="130" spans="5:62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</row>
    <row r="131" spans="5:62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</row>
    <row r="132" spans="5:62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</row>
    <row r="133" spans="5:62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</row>
    <row r="134" spans="5:62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</row>
    <row r="135" spans="5:62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</row>
    <row r="136" spans="5:62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</row>
    <row r="137" spans="5:62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</row>
    <row r="138" spans="5:62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</row>
    <row r="139" spans="5:62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</row>
    <row r="140" spans="5:62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</row>
    <row r="141" spans="5:62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</row>
    <row r="142" spans="5:62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</row>
    <row r="143" spans="5:62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  <c r="BJ143" s="2"/>
    </row>
    <row r="144" spans="5:62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  <c r="BJ144" s="2"/>
    </row>
    <row r="145" spans="5:62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  <c r="BJ145" s="2"/>
    </row>
  </sheetData>
  <mergeCells count="81">
    <mergeCell ref="BE1:BG1"/>
    <mergeCell ref="BH1:BJ1"/>
    <mergeCell ref="AD1:AF1"/>
    <mergeCell ref="AG1:AI1"/>
    <mergeCell ref="AJ1:AL1"/>
    <mergeCell ref="AM1:AO1"/>
    <mergeCell ref="AP1:AR1"/>
    <mergeCell ref="A1:B1"/>
    <mergeCell ref="AS1:AU1"/>
    <mergeCell ref="AV1:AX1"/>
    <mergeCell ref="AY1:BA1"/>
    <mergeCell ref="BB1:BD1"/>
    <mergeCell ref="C1:E1"/>
    <mergeCell ref="F1:H1"/>
    <mergeCell ref="I1:K1"/>
    <mergeCell ref="L1:N1"/>
    <mergeCell ref="O1:Q1"/>
    <mergeCell ref="AA1:AB1"/>
    <mergeCell ref="R1:T1"/>
    <mergeCell ref="U1:W1"/>
    <mergeCell ref="X1:Z1"/>
    <mergeCell ref="AG3:AH3"/>
    <mergeCell ref="AJ3:AK3"/>
    <mergeCell ref="AP2:AQ2"/>
    <mergeCell ref="AS2:AT2"/>
    <mergeCell ref="AV2:AW2"/>
    <mergeCell ref="AJ2:AK2"/>
    <mergeCell ref="AM2:AN2"/>
    <mergeCell ref="AG2:AH2"/>
    <mergeCell ref="AS3:AT3"/>
    <mergeCell ref="AV3:AW3"/>
    <mergeCell ref="R3:S3"/>
    <mergeCell ref="U3:V3"/>
    <mergeCell ref="X3:Y3"/>
    <mergeCell ref="AA3:AB3"/>
    <mergeCell ref="AD3:AE3"/>
    <mergeCell ref="C3:D3"/>
    <mergeCell ref="F3:G3"/>
    <mergeCell ref="I3:J3"/>
    <mergeCell ref="L3:M3"/>
    <mergeCell ref="O3:P3"/>
    <mergeCell ref="AY3:AZ3"/>
    <mergeCell ref="BB3:BC3"/>
    <mergeCell ref="AM3:AN3"/>
    <mergeCell ref="AP3:AQ3"/>
    <mergeCell ref="C4:D4"/>
    <mergeCell ref="F4:G4"/>
    <mergeCell ref="I4:J4"/>
    <mergeCell ref="L4:M4"/>
    <mergeCell ref="O4:P4"/>
    <mergeCell ref="AD4:AE4"/>
    <mergeCell ref="AG4:AH4"/>
    <mergeCell ref="AJ4:AK4"/>
    <mergeCell ref="R4:S4"/>
    <mergeCell ref="U4:V4"/>
    <mergeCell ref="X4:Y4"/>
    <mergeCell ref="AA4:AB4"/>
    <mergeCell ref="AS4:AT4"/>
    <mergeCell ref="AV4:AW4"/>
    <mergeCell ref="AY4:AZ4"/>
    <mergeCell ref="BB4:BC4"/>
    <mergeCell ref="AM4:AN4"/>
    <mergeCell ref="AP4:AQ4"/>
    <mergeCell ref="C2:D2"/>
    <mergeCell ref="F2:G2"/>
    <mergeCell ref="I2:J2"/>
    <mergeCell ref="L2:M2"/>
    <mergeCell ref="BB2:BC2"/>
    <mergeCell ref="AY2:AZ2"/>
    <mergeCell ref="AA2:AB2"/>
    <mergeCell ref="AD2:AE2"/>
    <mergeCell ref="O2:P2"/>
    <mergeCell ref="R2:S2"/>
    <mergeCell ref="U2:V2"/>
    <mergeCell ref="X2:Y2"/>
    <mergeCell ref="BE2:BF2"/>
    <mergeCell ref="BH2:BI2"/>
    <mergeCell ref="BE3:BF3"/>
    <mergeCell ref="BH3:BI3"/>
    <mergeCell ref="BE4:BF4"/>
    <mergeCell ref="BH4:BI4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6790-2311-4764-8E35-A38EF9F23428}">
  <dimension ref="A1:BM149"/>
  <sheetViews>
    <sheetView topLeftCell="AY1" zoomScale="130" zoomScaleNormal="130" workbookViewId="0">
      <selection activeCell="BM4" sqref="BM4"/>
    </sheetView>
  </sheetViews>
  <sheetFormatPr defaultColWidth="9" defaultRowHeight="14.25" x14ac:dyDescent="0.2"/>
  <cols>
    <col min="1" max="1" width="14.875" style="10" customWidth="1"/>
    <col min="2" max="2" width="9" style="10"/>
    <col min="3" max="4" width="9" style="1"/>
    <col min="5" max="5" width="9" style="6"/>
    <col min="6" max="7" width="9" style="1"/>
    <col min="8" max="8" width="9" style="6"/>
    <col min="9" max="10" width="9" style="1"/>
    <col min="11" max="11" width="9" style="6"/>
    <col min="12" max="13" width="9" style="1"/>
    <col min="14" max="14" width="9" style="6"/>
    <col min="15" max="16" width="9" style="1"/>
    <col min="17" max="17" width="9" style="6"/>
    <col min="18" max="19" width="9" style="1"/>
    <col min="20" max="20" width="9" style="6"/>
    <col min="21" max="22" width="9" style="1"/>
    <col min="23" max="23" width="9" style="6"/>
    <col min="24" max="25" width="9" style="1"/>
    <col min="26" max="26" width="9" style="6"/>
    <col min="27" max="28" width="9" style="1"/>
    <col min="29" max="29" width="9" style="6"/>
    <col min="30" max="31" width="9" style="1"/>
    <col min="32" max="32" width="9" style="6"/>
    <col min="33" max="34" width="9" style="1"/>
    <col min="35" max="35" width="9" style="6"/>
    <col min="36" max="37" width="9" style="1"/>
    <col min="38" max="38" width="9" style="6"/>
    <col min="39" max="40" width="9" style="1"/>
    <col min="41" max="41" width="9" style="6"/>
    <col min="42" max="43" width="9" style="1"/>
    <col min="44" max="44" width="9" style="6"/>
    <col min="45" max="46" width="9" style="1"/>
    <col min="47" max="47" width="9" style="6"/>
    <col min="48" max="49" width="9" style="1"/>
    <col min="50" max="50" width="9" style="6"/>
    <col min="51" max="52" width="9" style="1"/>
    <col min="53" max="53" width="9" style="6"/>
    <col min="54" max="55" width="9" style="1"/>
    <col min="56" max="56" width="9" style="6"/>
    <col min="57" max="58" width="9" style="1"/>
    <col min="59" max="59" width="9" style="6"/>
    <col min="60" max="61" width="9" style="1"/>
    <col min="62" max="62" width="9" style="6"/>
    <col min="63" max="64" width="9" style="1"/>
    <col min="65" max="65" width="9" style="6"/>
    <col min="66" max="16384" width="9" style="1"/>
  </cols>
  <sheetData>
    <row r="1" spans="1:65" s="5" customFormat="1" x14ac:dyDescent="0.2">
      <c r="A1" s="22" t="s">
        <v>62</v>
      </c>
      <c r="B1" s="22"/>
      <c r="C1" s="18" t="s">
        <v>17</v>
      </c>
      <c r="D1" s="18"/>
      <c r="E1" s="18"/>
      <c r="F1" s="18" t="s">
        <v>34</v>
      </c>
      <c r="G1" s="18"/>
      <c r="H1" s="18"/>
      <c r="I1" s="18" t="s">
        <v>10</v>
      </c>
      <c r="J1" s="18"/>
      <c r="K1" s="18"/>
      <c r="L1" s="18" t="s">
        <v>46</v>
      </c>
      <c r="M1" s="18"/>
      <c r="N1" s="18"/>
      <c r="O1" s="18" t="s">
        <v>21</v>
      </c>
      <c r="P1" s="18"/>
      <c r="Q1" s="18"/>
      <c r="R1" s="18" t="s">
        <v>12</v>
      </c>
      <c r="S1" s="18"/>
      <c r="T1" s="18"/>
      <c r="U1" s="18" t="s">
        <v>23</v>
      </c>
      <c r="V1" s="18"/>
      <c r="W1" s="18"/>
      <c r="X1" s="18" t="s">
        <v>16</v>
      </c>
      <c r="Y1" s="18"/>
      <c r="Z1" s="18"/>
      <c r="AA1" s="18" t="s">
        <v>25</v>
      </c>
      <c r="AB1" s="18"/>
      <c r="AC1" s="18"/>
      <c r="AD1" s="18" t="s">
        <v>20</v>
      </c>
      <c r="AE1" s="18"/>
      <c r="AF1" s="18"/>
      <c r="AG1" s="18" t="s">
        <v>48</v>
      </c>
      <c r="AH1" s="18"/>
      <c r="AI1" s="18"/>
      <c r="AJ1" s="18" t="s">
        <v>13</v>
      </c>
      <c r="AK1" s="18"/>
      <c r="AL1" s="18"/>
      <c r="AM1" s="18" t="s">
        <v>19</v>
      </c>
      <c r="AN1" s="18"/>
      <c r="AO1" s="18"/>
      <c r="AP1" s="18" t="s">
        <v>22</v>
      </c>
      <c r="AQ1" s="18"/>
      <c r="AR1" s="18"/>
      <c r="AS1" s="18" t="s">
        <v>6</v>
      </c>
      <c r="AT1" s="18"/>
      <c r="AU1" s="18"/>
      <c r="AV1" s="18" t="s">
        <v>29</v>
      </c>
      <c r="AW1" s="18"/>
      <c r="AX1" s="18"/>
      <c r="AY1" s="18" t="s">
        <v>8</v>
      </c>
      <c r="AZ1" s="18"/>
      <c r="BA1" s="18"/>
      <c r="BB1" s="18" t="s">
        <v>28</v>
      </c>
      <c r="BC1" s="18"/>
      <c r="BD1" s="18"/>
      <c r="BE1" s="18" t="s">
        <v>33</v>
      </c>
      <c r="BF1" s="18"/>
      <c r="BG1" s="18"/>
      <c r="BH1" s="18" t="s">
        <v>32</v>
      </c>
      <c r="BI1" s="18"/>
      <c r="BJ1" s="18"/>
      <c r="BK1" s="18" t="s">
        <v>31</v>
      </c>
      <c r="BL1" s="18"/>
      <c r="BM1" s="18"/>
    </row>
    <row r="2" spans="1:65" s="10" customFormat="1" x14ac:dyDescent="0.2">
      <c r="A2" s="10" t="s">
        <v>5</v>
      </c>
      <c r="B2" s="10">
        <f>SUM(C2:TT2)</f>
        <v>250</v>
      </c>
      <c r="C2" s="23" t="s">
        <v>5</v>
      </c>
      <c r="D2" s="23"/>
      <c r="E2" s="15">
        <f>COUNT(E6:E273)</f>
        <v>17</v>
      </c>
      <c r="F2" s="23" t="s">
        <v>5</v>
      </c>
      <c r="G2" s="23"/>
      <c r="H2" s="15">
        <f>COUNT(H6:H273)</f>
        <v>14</v>
      </c>
      <c r="I2" s="23" t="s">
        <v>5</v>
      </c>
      <c r="J2" s="23"/>
      <c r="K2" s="15">
        <f>COUNT(K6:K273)</f>
        <v>19</v>
      </c>
      <c r="L2" s="23" t="s">
        <v>5</v>
      </c>
      <c r="M2" s="23"/>
      <c r="N2" s="15">
        <f>COUNT(N6:N273)</f>
        <v>12</v>
      </c>
      <c r="O2" s="23" t="s">
        <v>5</v>
      </c>
      <c r="P2" s="23"/>
      <c r="Q2" s="15">
        <f>COUNT(Q6:Q273)</f>
        <v>21</v>
      </c>
      <c r="R2" s="23" t="s">
        <v>5</v>
      </c>
      <c r="S2" s="23"/>
      <c r="T2" s="15">
        <f>COUNT(T6:T273)</f>
        <v>119</v>
      </c>
      <c r="U2" s="23" t="s">
        <v>5</v>
      </c>
      <c r="V2" s="23"/>
      <c r="W2" s="15">
        <f>COUNT(W6:W273)</f>
        <v>4</v>
      </c>
      <c r="X2" s="23" t="s">
        <v>5</v>
      </c>
      <c r="Y2" s="23"/>
      <c r="Z2" s="15">
        <f>COUNT(Z6:Z273)</f>
        <v>3</v>
      </c>
      <c r="AA2" s="23" t="s">
        <v>5</v>
      </c>
      <c r="AB2" s="23"/>
      <c r="AC2" s="15">
        <f>COUNT(AC6:AC273)</f>
        <v>2</v>
      </c>
      <c r="AD2" s="23" t="s">
        <v>5</v>
      </c>
      <c r="AE2" s="23"/>
      <c r="AF2" s="15">
        <f>COUNT(AF6:AF273)</f>
        <v>17</v>
      </c>
      <c r="AG2" s="23" t="s">
        <v>5</v>
      </c>
      <c r="AH2" s="23"/>
      <c r="AI2" s="15">
        <f>COUNT(AI6:AI273)</f>
        <v>1</v>
      </c>
      <c r="AJ2" s="23" t="s">
        <v>5</v>
      </c>
      <c r="AK2" s="23"/>
      <c r="AL2" s="15">
        <f>COUNT(AL6:AL273)</f>
        <v>4</v>
      </c>
      <c r="AM2" s="23" t="s">
        <v>5</v>
      </c>
      <c r="AN2" s="23"/>
      <c r="AO2" s="15">
        <f>COUNT(AO6:AO273)</f>
        <v>5</v>
      </c>
      <c r="AP2" s="23" t="s">
        <v>5</v>
      </c>
      <c r="AQ2" s="23"/>
      <c r="AR2" s="15">
        <f>COUNT(AR6:AR273)</f>
        <v>1</v>
      </c>
      <c r="AS2" s="23" t="s">
        <v>5</v>
      </c>
      <c r="AT2" s="23"/>
      <c r="AU2" s="15">
        <f>COUNT(AU6:AU273)</f>
        <v>3</v>
      </c>
      <c r="AV2" s="23" t="s">
        <v>5</v>
      </c>
      <c r="AW2" s="23"/>
      <c r="AX2" s="15">
        <f>COUNT(AX6:AX273)</f>
        <v>1</v>
      </c>
      <c r="AY2" s="23" t="s">
        <v>5</v>
      </c>
      <c r="AZ2" s="23"/>
      <c r="BA2" s="15">
        <f>COUNT(BA6:BA273)</f>
        <v>1</v>
      </c>
      <c r="BB2" s="23" t="s">
        <v>5</v>
      </c>
      <c r="BC2" s="23"/>
      <c r="BD2" s="15">
        <f>COUNT(BD6:BD273)</f>
        <v>1</v>
      </c>
      <c r="BE2" s="23" t="s">
        <v>5</v>
      </c>
      <c r="BF2" s="23"/>
      <c r="BG2" s="15">
        <f>COUNT(BG6:BG273)</f>
        <v>1</v>
      </c>
      <c r="BH2" s="23" t="s">
        <v>5</v>
      </c>
      <c r="BI2" s="23"/>
      <c r="BJ2" s="15">
        <f>COUNT(BJ6:BJ273)</f>
        <v>2</v>
      </c>
      <c r="BK2" s="23" t="s">
        <v>5</v>
      </c>
      <c r="BL2" s="23"/>
      <c r="BM2" s="15">
        <f>COUNT(BM6:BM273)</f>
        <v>2</v>
      </c>
    </row>
    <row r="3" spans="1:65" s="10" customFormat="1" x14ac:dyDescent="0.2">
      <c r="A3" s="10" t="s">
        <v>4</v>
      </c>
      <c r="B3" s="10">
        <f>SUM(C3:TT3)</f>
        <v>35.683715216203005</v>
      </c>
      <c r="C3" s="23" t="s">
        <v>4</v>
      </c>
      <c r="D3" s="23"/>
      <c r="E3" s="15">
        <f>SUM(E6:E273)</f>
        <v>1.1213755959887504</v>
      </c>
      <c r="F3" s="23" t="s">
        <v>4</v>
      </c>
      <c r="G3" s="23"/>
      <c r="H3" s="15">
        <f>SUM(H6:H273)</f>
        <v>0.82952112731437488</v>
      </c>
      <c r="I3" s="23" t="s">
        <v>4</v>
      </c>
      <c r="J3" s="23"/>
      <c r="K3" s="15">
        <f>SUM(K6:K273)</f>
        <v>1.1938723873812498</v>
      </c>
      <c r="L3" s="23" t="s">
        <v>4</v>
      </c>
      <c r="M3" s="23"/>
      <c r="N3" s="15">
        <f>SUM(N6:N273)</f>
        <v>0.48158233101499998</v>
      </c>
      <c r="O3" s="23" t="s">
        <v>4</v>
      </c>
      <c r="P3" s="23"/>
      <c r="Q3" s="15">
        <f>SUM(Q6:Q273)</f>
        <v>1.2563939601831251</v>
      </c>
      <c r="R3" s="23" t="s">
        <v>4</v>
      </c>
      <c r="S3" s="23"/>
      <c r="T3" s="15">
        <f>SUM(T6:T273)</f>
        <v>9.7736831627775054</v>
      </c>
      <c r="U3" s="23" t="s">
        <v>4</v>
      </c>
      <c r="V3" s="23"/>
      <c r="W3" s="15">
        <f>SUM(W6:W273)</f>
        <v>0.26720123266562501</v>
      </c>
      <c r="X3" s="23" t="s">
        <v>4</v>
      </c>
      <c r="Y3" s="23"/>
      <c r="Z3" s="15">
        <f>SUM(Z6:Z273)</f>
        <v>0.25262034040500003</v>
      </c>
      <c r="AA3" s="23" t="s">
        <v>4</v>
      </c>
      <c r="AB3" s="23"/>
      <c r="AC3" s="15">
        <f>SUM(AC6:AC273)</f>
        <v>0.12518531438875</v>
      </c>
      <c r="AD3" s="23" t="s">
        <v>4</v>
      </c>
      <c r="AE3" s="23"/>
      <c r="AF3" s="15">
        <f>SUM(AF6:AF273)</f>
        <v>6.0865392981993756</v>
      </c>
      <c r="AG3" s="23" t="s">
        <v>4</v>
      </c>
      <c r="AH3" s="23"/>
      <c r="AI3" s="15">
        <f>SUM(AI6:AI273)</f>
        <v>8.2117998479999982E-2</v>
      </c>
      <c r="AJ3" s="23" t="s">
        <v>4</v>
      </c>
      <c r="AK3" s="23"/>
      <c r="AL3" s="15">
        <f>SUM(AL6:AL273)</f>
        <v>12.555071415636874</v>
      </c>
      <c r="AM3" s="23" t="s">
        <v>4</v>
      </c>
      <c r="AN3" s="23"/>
      <c r="AO3" s="15">
        <f>SUM(AO6:AO273)</f>
        <v>0.30627292859112504</v>
      </c>
      <c r="AP3" s="23" t="s">
        <v>4</v>
      </c>
      <c r="AQ3" s="23"/>
      <c r="AR3" s="15">
        <f>SUM(AR6:AR273)</f>
        <v>2.6824339311250001E-2</v>
      </c>
      <c r="AS3" s="23" t="s">
        <v>4</v>
      </c>
      <c r="AT3" s="23"/>
      <c r="AU3" s="15">
        <f>SUM(AU6:AU273)</f>
        <v>0.64293408593125001</v>
      </c>
      <c r="AV3" s="23" t="s">
        <v>4</v>
      </c>
      <c r="AW3" s="23"/>
      <c r="AX3" s="15">
        <f>SUM(AX6:AX273)</f>
        <v>0.15819476147624997</v>
      </c>
      <c r="AY3" s="23" t="s">
        <v>4</v>
      </c>
      <c r="AZ3" s="23"/>
      <c r="BA3" s="15">
        <f>SUM(BA6:BA273)</f>
        <v>2.0186583463125001E-2</v>
      </c>
      <c r="BB3" s="23" t="s">
        <v>4</v>
      </c>
      <c r="BC3" s="23"/>
      <c r="BD3" s="15">
        <f>SUM(BD6:BD273)</f>
        <v>4.3631508400000012E-2</v>
      </c>
      <c r="BE3" s="23" t="s">
        <v>4</v>
      </c>
      <c r="BF3" s="23"/>
      <c r="BG3" s="15">
        <f>SUM(BG6:BG273)</f>
        <v>2.7797653849999996E-2</v>
      </c>
      <c r="BH3" s="23" t="s">
        <v>4</v>
      </c>
      <c r="BI3" s="23"/>
      <c r="BJ3" s="15">
        <f>SUM(BJ6:BJ273)</f>
        <v>0.24237783241375002</v>
      </c>
      <c r="BK3" s="23" t="s">
        <v>4</v>
      </c>
      <c r="BL3" s="23"/>
      <c r="BM3" s="15">
        <f>SUM(BM6:BM273)</f>
        <v>0.19033135833062498</v>
      </c>
    </row>
    <row r="4" spans="1:65" s="10" customFormat="1" x14ac:dyDescent="0.2">
      <c r="C4" s="23" t="s">
        <v>3</v>
      </c>
      <c r="D4" s="23"/>
      <c r="E4" s="15">
        <f>AVERAGE(E6:E273)</f>
        <v>6.5963270352279432E-2</v>
      </c>
      <c r="F4" s="23" t="s">
        <v>3</v>
      </c>
      <c r="G4" s="23"/>
      <c r="H4" s="15">
        <f>AVERAGE(H6:H273)</f>
        <v>5.9251509093883922E-2</v>
      </c>
      <c r="I4" s="23" t="s">
        <v>3</v>
      </c>
      <c r="J4" s="23"/>
      <c r="K4" s="15">
        <f>AVERAGE(K6:K273)</f>
        <v>6.2835388809539469E-2</v>
      </c>
      <c r="L4" s="23" t="s">
        <v>3</v>
      </c>
      <c r="M4" s="23"/>
      <c r="N4" s="15">
        <f>AVERAGE(N6:N273)</f>
        <v>4.0131860917916665E-2</v>
      </c>
      <c r="O4" s="23" t="s">
        <v>3</v>
      </c>
      <c r="P4" s="23"/>
      <c r="Q4" s="15">
        <f>AVERAGE(Q6:Q273)</f>
        <v>5.9828283818244052E-2</v>
      </c>
      <c r="R4" s="23" t="s">
        <v>3</v>
      </c>
      <c r="S4" s="23"/>
      <c r="T4" s="15">
        <f>AVERAGE(T6:T273)</f>
        <v>8.2131791283844582E-2</v>
      </c>
      <c r="U4" s="23" t="s">
        <v>3</v>
      </c>
      <c r="V4" s="23"/>
      <c r="W4" s="15">
        <f>AVERAGE(W6:W273)</f>
        <v>6.6800308166406253E-2</v>
      </c>
      <c r="X4" s="23" t="s">
        <v>3</v>
      </c>
      <c r="Y4" s="23"/>
      <c r="Z4" s="15">
        <f>AVERAGE(Z6:Z273)</f>
        <v>8.4206780135000006E-2</v>
      </c>
      <c r="AA4" s="23" t="s">
        <v>3</v>
      </c>
      <c r="AB4" s="23"/>
      <c r="AC4" s="15">
        <f>AVERAGE(AC6:AC273)</f>
        <v>6.2592657194374998E-2</v>
      </c>
      <c r="AD4" s="23" t="s">
        <v>3</v>
      </c>
      <c r="AE4" s="23"/>
      <c r="AF4" s="15">
        <f>AVERAGE(AF6:AF273)</f>
        <v>0.35803172342349265</v>
      </c>
      <c r="AG4" s="23" t="s">
        <v>3</v>
      </c>
      <c r="AH4" s="23"/>
      <c r="AI4" s="15">
        <f>AVERAGE(AI6:AI273)</f>
        <v>8.2117998479999982E-2</v>
      </c>
      <c r="AJ4" s="23" t="s">
        <v>3</v>
      </c>
      <c r="AK4" s="23"/>
      <c r="AL4" s="15">
        <f>AVERAGE(AL6:AL273)</f>
        <v>3.1387678539092185</v>
      </c>
      <c r="AM4" s="23" t="s">
        <v>3</v>
      </c>
      <c r="AN4" s="23"/>
      <c r="AO4" s="15">
        <f>AVERAGE(AO6:AO273)</f>
        <v>6.1254585718225008E-2</v>
      </c>
      <c r="AP4" s="23" t="s">
        <v>3</v>
      </c>
      <c r="AQ4" s="23"/>
      <c r="AR4" s="15">
        <f>AVERAGE(AR6:AR273)</f>
        <v>2.6824339311250001E-2</v>
      </c>
      <c r="AS4" s="23" t="s">
        <v>3</v>
      </c>
      <c r="AT4" s="23"/>
      <c r="AU4" s="15">
        <f>AVERAGE(AU6:AU273)</f>
        <v>0.21431136197708334</v>
      </c>
      <c r="AV4" s="23" t="s">
        <v>3</v>
      </c>
      <c r="AW4" s="23"/>
      <c r="AX4" s="15">
        <f>AVERAGE(AX6:AX273)</f>
        <v>0.15819476147624997</v>
      </c>
      <c r="AY4" s="23" t="s">
        <v>3</v>
      </c>
      <c r="AZ4" s="23"/>
      <c r="BA4" s="15">
        <f>AVERAGE(BA6:BA273)</f>
        <v>2.0186583463125001E-2</v>
      </c>
      <c r="BB4" s="23" t="s">
        <v>3</v>
      </c>
      <c r="BC4" s="23"/>
      <c r="BD4" s="15">
        <f>AVERAGE(BD6:BD273)</f>
        <v>4.3631508400000012E-2</v>
      </c>
      <c r="BE4" s="23" t="s">
        <v>3</v>
      </c>
      <c r="BF4" s="23"/>
      <c r="BG4" s="15">
        <f>AVERAGE(BG6:BG273)</f>
        <v>2.7797653849999996E-2</v>
      </c>
      <c r="BH4" s="23" t="s">
        <v>3</v>
      </c>
      <c r="BI4" s="23"/>
      <c r="BJ4" s="15">
        <f>AVERAGE(BJ6:BJ273)</f>
        <v>0.12118891620687501</v>
      </c>
      <c r="BK4" s="23" t="s">
        <v>3</v>
      </c>
      <c r="BL4" s="23"/>
      <c r="BM4" s="15">
        <f>AVERAGE(BM6:BM273)</f>
        <v>9.5165679165312489E-2</v>
      </c>
    </row>
    <row r="5" spans="1:65" x14ac:dyDescent="0.2">
      <c r="C5" s="1" t="s">
        <v>38</v>
      </c>
      <c r="D5" s="1" t="s">
        <v>1</v>
      </c>
      <c r="E5" s="2" t="s">
        <v>39</v>
      </c>
      <c r="F5" s="1" t="s">
        <v>38</v>
      </c>
      <c r="G5" s="1" t="s">
        <v>1</v>
      </c>
      <c r="H5" s="2" t="s">
        <v>39</v>
      </c>
      <c r="I5" s="1" t="s">
        <v>38</v>
      </c>
      <c r="J5" s="1" t="s">
        <v>1</v>
      </c>
      <c r="K5" s="2" t="s">
        <v>39</v>
      </c>
      <c r="L5" s="1" t="s">
        <v>38</v>
      </c>
      <c r="M5" s="1" t="s">
        <v>1</v>
      </c>
      <c r="N5" s="2" t="s">
        <v>39</v>
      </c>
      <c r="O5" s="1" t="s">
        <v>38</v>
      </c>
      <c r="P5" s="1" t="s">
        <v>1</v>
      </c>
      <c r="Q5" s="2" t="s">
        <v>39</v>
      </c>
      <c r="R5" s="1" t="s">
        <v>38</v>
      </c>
      <c r="S5" s="1" t="s">
        <v>1</v>
      </c>
      <c r="T5" s="2" t="s">
        <v>39</v>
      </c>
      <c r="U5" s="1" t="s">
        <v>38</v>
      </c>
      <c r="V5" s="1" t="s">
        <v>1</v>
      </c>
      <c r="W5" s="2" t="s">
        <v>39</v>
      </c>
      <c r="X5" s="1" t="s">
        <v>38</v>
      </c>
      <c r="Y5" s="1" t="s">
        <v>1</v>
      </c>
      <c r="Z5" s="2" t="s">
        <v>39</v>
      </c>
      <c r="AA5" s="1" t="s">
        <v>38</v>
      </c>
      <c r="AB5" s="1" t="s">
        <v>1</v>
      </c>
      <c r="AC5" s="2" t="s">
        <v>39</v>
      </c>
      <c r="AD5" s="1" t="s">
        <v>38</v>
      </c>
      <c r="AE5" s="1" t="s">
        <v>1</v>
      </c>
      <c r="AF5" s="2" t="s">
        <v>39</v>
      </c>
      <c r="AG5" s="1" t="s">
        <v>38</v>
      </c>
      <c r="AH5" s="1" t="s">
        <v>1</v>
      </c>
      <c r="AI5" s="2" t="s">
        <v>39</v>
      </c>
      <c r="AJ5" s="1" t="s">
        <v>38</v>
      </c>
      <c r="AK5" s="1" t="s">
        <v>1</v>
      </c>
      <c r="AL5" s="2" t="s">
        <v>39</v>
      </c>
      <c r="AM5" s="1" t="s">
        <v>38</v>
      </c>
      <c r="AN5" s="1" t="s">
        <v>1</v>
      </c>
      <c r="AO5" s="2" t="s">
        <v>39</v>
      </c>
      <c r="AP5" s="1" t="s">
        <v>38</v>
      </c>
      <c r="AQ5" s="1" t="s">
        <v>1</v>
      </c>
      <c r="AR5" s="14" t="s">
        <v>39</v>
      </c>
      <c r="AS5" s="1" t="s">
        <v>38</v>
      </c>
      <c r="AT5" s="1" t="s">
        <v>1</v>
      </c>
      <c r="AU5" s="14" t="s">
        <v>39</v>
      </c>
      <c r="AV5" s="1" t="s">
        <v>38</v>
      </c>
      <c r="AW5" s="1" t="s">
        <v>1</v>
      </c>
      <c r="AX5" s="14" t="s">
        <v>39</v>
      </c>
      <c r="AY5" s="1" t="s">
        <v>38</v>
      </c>
      <c r="AZ5" s="1" t="s">
        <v>1</v>
      </c>
      <c r="BA5" s="14" t="s">
        <v>39</v>
      </c>
      <c r="BB5" s="1" t="s">
        <v>38</v>
      </c>
      <c r="BC5" s="1" t="s">
        <v>1</v>
      </c>
      <c r="BD5" s="14" t="s">
        <v>39</v>
      </c>
      <c r="BE5" s="1" t="s">
        <v>38</v>
      </c>
      <c r="BF5" s="1" t="s">
        <v>1</v>
      </c>
      <c r="BG5" s="14" t="s">
        <v>39</v>
      </c>
      <c r="BH5" s="1" t="s">
        <v>38</v>
      </c>
      <c r="BI5" s="1" t="s">
        <v>1</v>
      </c>
      <c r="BJ5" s="14" t="s">
        <v>39</v>
      </c>
      <c r="BK5" s="1" t="s">
        <v>38</v>
      </c>
      <c r="BL5" s="1" t="s">
        <v>1</v>
      </c>
      <c r="BM5" s="14" t="s">
        <v>39</v>
      </c>
    </row>
    <row r="6" spans="1:65" x14ac:dyDescent="0.2">
      <c r="C6" s="1">
        <v>284.08999999999997</v>
      </c>
      <c r="D6" s="1">
        <v>14.11</v>
      </c>
      <c r="E6" s="2">
        <f t="shared" ref="E6:E22" si="0">(C6*D6*D6)/1600000</f>
        <v>3.5350046680624997E-2</v>
      </c>
      <c r="F6" s="1">
        <v>420.31</v>
      </c>
      <c r="G6" s="1">
        <v>14.22</v>
      </c>
      <c r="H6" s="2">
        <f t="shared" ref="H6:H19" si="1">(F6*G6*G6)/1600000</f>
        <v>5.3118882877500009E-2</v>
      </c>
      <c r="I6" s="1">
        <v>236.05</v>
      </c>
      <c r="J6" s="1">
        <v>16.46</v>
      </c>
      <c r="K6" s="2">
        <f t="shared" ref="K6:K24" si="2">(I6*J6*J6)/1600000</f>
        <v>3.9970877612500004E-2</v>
      </c>
      <c r="L6" s="1">
        <v>277.52999999999997</v>
      </c>
      <c r="M6" s="1">
        <v>14.81</v>
      </c>
      <c r="N6" s="2">
        <f t="shared" ref="N6:N17" si="3">(L6*M6*M6)/1600000</f>
        <v>3.8045217395624997E-2</v>
      </c>
      <c r="O6" s="1">
        <v>487.08</v>
      </c>
      <c r="P6" s="1">
        <v>18.38</v>
      </c>
      <c r="Q6" s="2">
        <f t="shared" ref="Q6:Q26" si="4">(O6*P6*P6)/1600000</f>
        <v>0.10284219297</v>
      </c>
      <c r="R6" s="1">
        <v>302.68</v>
      </c>
      <c r="S6" s="1">
        <v>17.2</v>
      </c>
      <c r="T6" s="2">
        <f t="shared" ref="T6:T37" si="5">(R6*S6*S6)/1600000</f>
        <v>5.5965531999999991E-2</v>
      </c>
      <c r="U6" s="1">
        <v>486.86</v>
      </c>
      <c r="V6" s="1">
        <v>20.23</v>
      </c>
      <c r="W6" s="2">
        <f t="shared" ref="W6:W9" si="6">(U6*V6*V6)/1600000</f>
        <v>0.12453054180875002</v>
      </c>
      <c r="X6" s="1">
        <v>353.71</v>
      </c>
      <c r="Y6" s="1">
        <v>17.89</v>
      </c>
      <c r="Z6" s="2">
        <f t="shared" ref="Z6:Z8" si="7">(X6*Y6*Y6)/1600000</f>
        <v>7.0753517681875003E-2</v>
      </c>
      <c r="AA6" s="1">
        <v>431.42</v>
      </c>
      <c r="AB6" s="1">
        <v>15.09</v>
      </c>
      <c r="AC6" s="2">
        <f t="shared" ref="AC6:AC7" si="8">(AA6*AB6*AB6)/1600000</f>
        <v>6.1398642813750001E-2</v>
      </c>
      <c r="AD6" s="1">
        <v>955.93</v>
      </c>
      <c r="AE6" s="1">
        <v>28.34</v>
      </c>
      <c r="AF6" s="2">
        <f t="shared" ref="AF6:AF22" si="9">(AD6*AE6*AE6)/1600000</f>
        <v>0.47985033294249996</v>
      </c>
      <c r="AG6" s="1">
        <v>498.18</v>
      </c>
      <c r="AH6" s="1">
        <v>16.239999999999998</v>
      </c>
      <c r="AI6" s="2">
        <f t="shared" ref="AI6" si="10">(AG6*AH6*AH6)/1600000</f>
        <v>8.2117998479999982E-2</v>
      </c>
      <c r="AJ6" s="1">
        <v>1086.8399999999999</v>
      </c>
      <c r="AK6" s="1">
        <v>42.87</v>
      </c>
      <c r="AL6" s="2">
        <f t="shared" ref="AL6:AL9" si="11">(AJ6*AK6*AK6)/1600000</f>
        <v>1.2483966602474998</v>
      </c>
      <c r="AM6" s="1">
        <v>392.46</v>
      </c>
      <c r="AN6" s="1">
        <v>16.12</v>
      </c>
      <c r="AO6" s="2">
        <f t="shared" ref="AO6:AO10" si="12">(AM6*AN6*AN6)/1600000</f>
        <v>6.373903614000001E-2</v>
      </c>
      <c r="AP6" s="1">
        <v>239.38</v>
      </c>
      <c r="AQ6" s="1">
        <v>13.39</v>
      </c>
      <c r="AR6" s="2">
        <f t="shared" ref="AR6" si="13">(AP6*AQ6*AQ6)/1600000</f>
        <v>2.6824339311250001E-2</v>
      </c>
      <c r="AS6" s="1">
        <v>256.41000000000003</v>
      </c>
      <c r="AT6" s="1">
        <v>16.41</v>
      </c>
      <c r="AU6" s="2">
        <f t="shared" ref="AU6:AU8" si="14">(AS6*AT6*AT6)/1600000</f>
        <v>4.3155101075625008E-2</v>
      </c>
      <c r="AV6" s="1">
        <v>614.82000000000005</v>
      </c>
      <c r="AW6" s="1">
        <v>20.29</v>
      </c>
      <c r="AX6" s="2">
        <f t="shared" ref="AX6" si="15">(AV6*AW6*AW6)/1600000</f>
        <v>0.15819476147624997</v>
      </c>
      <c r="AY6" s="1">
        <v>330.21</v>
      </c>
      <c r="AZ6" s="1">
        <v>9.89</v>
      </c>
      <c r="BA6" s="2">
        <f t="shared" ref="BA6" si="16">(AY6*AZ6*AZ6)/1600000</f>
        <v>2.0186583463125001E-2</v>
      </c>
      <c r="BB6" s="1">
        <v>337.6</v>
      </c>
      <c r="BC6" s="1">
        <v>14.38</v>
      </c>
      <c r="BD6" s="2">
        <f t="shared" ref="BD6" si="17">(BB6*BC6*BC6)/1600000</f>
        <v>4.3631508400000012E-2</v>
      </c>
      <c r="BE6" s="1">
        <v>242.6</v>
      </c>
      <c r="BF6" s="1">
        <v>13.54</v>
      </c>
      <c r="BG6" s="2">
        <f t="shared" ref="BG6" si="18">(BE6*BF6*BF6)/1600000</f>
        <v>2.7797653849999996E-2</v>
      </c>
      <c r="BH6" s="1">
        <v>256.39</v>
      </c>
      <c r="BI6" s="1">
        <v>14.1</v>
      </c>
      <c r="BJ6" s="2">
        <f t="shared" ref="BJ6:BJ7" si="19">(BH6*BI6*BI6)/1600000</f>
        <v>3.1858059937499995E-2</v>
      </c>
      <c r="BK6" s="1">
        <v>349.93</v>
      </c>
      <c r="BL6" s="1">
        <v>18.11</v>
      </c>
      <c r="BM6" s="2">
        <f t="shared" ref="BM6:BM7" si="20">(BK6*BL6*BL6)/1600000</f>
        <v>7.1729548095624998E-2</v>
      </c>
    </row>
    <row r="7" spans="1:65" x14ac:dyDescent="0.2">
      <c r="C7" s="1">
        <v>387.93</v>
      </c>
      <c r="D7" s="1">
        <v>17.07</v>
      </c>
      <c r="E7" s="2">
        <f t="shared" si="0"/>
        <v>7.064809016062501E-2</v>
      </c>
      <c r="F7" s="1">
        <v>535.22</v>
      </c>
      <c r="G7" s="1">
        <v>17.27</v>
      </c>
      <c r="H7" s="2">
        <f t="shared" si="1"/>
        <v>9.9769323211250011E-2</v>
      </c>
      <c r="I7" s="1">
        <v>382.01</v>
      </c>
      <c r="J7" s="1">
        <v>16.88</v>
      </c>
      <c r="K7" s="2">
        <f t="shared" si="2"/>
        <v>6.8029868839999993E-2</v>
      </c>
      <c r="L7" s="1">
        <v>301.72000000000003</v>
      </c>
      <c r="M7" s="1">
        <v>16.53</v>
      </c>
      <c r="N7" s="2">
        <f t="shared" si="3"/>
        <v>5.1526402717500017E-2</v>
      </c>
      <c r="O7" s="1">
        <v>338.66</v>
      </c>
      <c r="P7" s="1">
        <v>15.13</v>
      </c>
      <c r="Q7" s="2">
        <f t="shared" si="4"/>
        <v>4.8453123346250015E-2</v>
      </c>
      <c r="R7" s="1">
        <v>266.73</v>
      </c>
      <c r="S7" s="1">
        <v>37.14</v>
      </c>
      <c r="T7" s="2">
        <f t="shared" si="5"/>
        <v>0.22995120044250006</v>
      </c>
      <c r="U7" s="1">
        <v>322.04000000000002</v>
      </c>
      <c r="V7" s="1">
        <v>14.18</v>
      </c>
      <c r="W7" s="2">
        <f t="shared" si="6"/>
        <v>4.0470847310000002E-2</v>
      </c>
      <c r="X7" s="1">
        <v>399.73</v>
      </c>
      <c r="Y7" s="1">
        <v>17.78</v>
      </c>
      <c r="Z7" s="2">
        <f t="shared" si="7"/>
        <v>7.8978753332500012E-2</v>
      </c>
      <c r="AA7" s="1">
        <v>418.3</v>
      </c>
      <c r="AB7" s="1">
        <v>15.62</v>
      </c>
      <c r="AC7" s="2">
        <f t="shared" si="8"/>
        <v>6.3786671574999995E-2</v>
      </c>
      <c r="AD7" s="1">
        <v>872.28</v>
      </c>
      <c r="AE7" s="1">
        <v>29.61</v>
      </c>
      <c r="AF7" s="2">
        <f t="shared" si="9"/>
        <v>0.47798332611749994</v>
      </c>
      <c r="AI7" s="2"/>
      <c r="AJ7" s="1">
        <v>1415.71</v>
      </c>
      <c r="AK7" s="1">
        <v>53.37</v>
      </c>
      <c r="AL7" s="2">
        <f t="shared" si="11"/>
        <v>2.520279591811875</v>
      </c>
      <c r="AM7" s="1">
        <v>443.26</v>
      </c>
      <c r="AN7" s="1">
        <v>16.22</v>
      </c>
      <c r="AO7" s="2">
        <f t="shared" si="12"/>
        <v>7.2885352614999982E-2</v>
      </c>
      <c r="AR7" s="2"/>
      <c r="AS7" s="1">
        <v>575.44000000000005</v>
      </c>
      <c r="AT7" s="1">
        <v>29.74</v>
      </c>
      <c r="AU7" s="2">
        <f t="shared" si="14"/>
        <v>0.31809877234000006</v>
      </c>
      <c r="AX7" s="2"/>
      <c r="BA7" s="2"/>
      <c r="BD7" s="2"/>
      <c r="BG7" s="2"/>
      <c r="BH7" s="1">
        <v>576.58000000000004</v>
      </c>
      <c r="BI7" s="1">
        <v>24.17</v>
      </c>
      <c r="BJ7" s="2">
        <f t="shared" si="19"/>
        <v>0.21051977247625003</v>
      </c>
      <c r="BK7" s="1">
        <v>464.14</v>
      </c>
      <c r="BL7" s="1">
        <v>20.22</v>
      </c>
      <c r="BM7" s="2">
        <f t="shared" si="20"/>
        <v>0.11860181023499999</v>
      </c>
    </row>
    <row r="8" spans="1:65" x14ac:dyDescent="0.2">
      <c r="C8" s="1">
        <v>388.33</v>
      </c>
      <c r="D8" s="1">
        <v>16.440000000000001</v>
      </c>
      <c r="E8" s="2">
        <f t="shared" si="0"/>
        <v>6.5597091930000004E-2</v>
      </c>
      <c r="F8" s="1">
        <v>340.33</v>
      </c>
      <c r="G8" s="1">
        <v>16.66</v>
      </c>
      <c r="H8" s="2">
        <f t="shared" si="1"/>
        <v>5.9037810842499996E-2</v>
      </c>
      <c r="I8" s="1">
        <v>344.61</v>
      </c>
      <c r="J8" s="1">
        <v>16.29</v>
      </c>
      <c r="K8" s="2">
        <f t="shared" si="2"/>
        <v>5.7154451563124993E-2</v>
      </c>
      <c r="L8" s="1">
        <v>195.64</v>
      </c>
      <c r="M8" s="1">
        <v>13.9</v>
      </c>
      <c r="N8" s="2">
        <f t="shared" si="3"/>
        <v>2.3624752749999998E-2</v>
      </c>
      <c r="O8" s="1">
        <v>555.67999999999995</v>
      </c>
      <c r="P8" s="1">
        <v>23.28</v>
      </c>
      <c r="Q8" s="2">
        <f t="shared" si="4"/>
        <v>0.18822215232000003</v>
      </c>
      <c r="R8" s="1">
        <v>355.45</v>
      </c>
      <c r="S8" s="1">
        <v>22.59</v>
      </c>
      <c r="T8" s="2">
        <f t="shared" si="5"/>
        <v>0.113368133840625</v>
      </c>
      <c r="U8" s="1">
        <v>367.87</v>
      </c>
      <c r="V8" s="1">
        <v>14.01</v>
      </c>
      <c r="W8" s="2">
        <f t="shared" si="6"/>
        <v>4.5128475241874993E-2</v>
      </c>
      <c r="X8" s="1">
        <v>473.29</v>
      </c>
      <c r="Y8" s="1">
        <v>18.649999999999999</v>
      </c>
      <c r="Z8" s="2">
        <f t="shared" si="7"/>
        <v>0.10288806939062499</v>
      </c>
      <c r="AC8" s="2"/>
      <c r="AD8" s="1">
        <v>670.96</v>
      </c>
      <c r="AE8" s="1">
        <v>29.24</v>
      </c>
      <c r="AF8" s="2">
        <f t="shared" si="9"/>
        <v>0.35853485655999995</v>
      </c>
      <c r="AI8" s="2"/>
      <c r="AJ8" s="1">
        <v>811.16</v>
      </c>
      <c r="AK8" s="1">
        <v>46.58</v>
      </c>
      <c r="AL8" s="2">
        <f t="shared" si="11"/>
        <v>1.0999818323899999</v>
      </c>
      <c r="AM8" s="1">
        <v>391.11200000000002</v>
      </c>
      <c r="AN8" s="1">
        <v>16.170000000000002</v>
      </c>
      <c r="AO8" s="2">
        <f t="shared" si="12"/>
        <v>6.3914765260500023E-2</v>
      </c>
      <c r="AR8" s="2"/>
      <c r="AS8" s="1">
        <v>572.80999999999995</v>
      </c>
      <c r="AT8" s="1">
        <v>28.05</v>
      </c>
      <c r="AU8" s="2">
        <f t="shared" si="14"/>
        <v>0.28168021251562497</v>
      </c>
      <c r="AX8" s="2"/>
      <c r="BA8" s="2"/>
      <c r="BD8" s="2"/>
      <c r="BG8" s="2"/>
      <c r="BJ8" s="2"/>
      <c r="BM8" s="2"/>
    </row>
    <row r="9" spans="1:65" x14ac:dyDescent="0.2">
      <c r="C9" s="1">
        <v>376.78</v>
      </c>
      <c r="D9" s="1">
        <v>14.62</v>
      </c>
      <c r="E9" s="2">
        <f t="shared" si="0"/>
        <v>5.0334134394999994E-2</v>
      </c>
      <c r="F9" s="1">
        <v>293.16000000000003</v>
      </c>
      <c r="G9" s="1">
        <v>13.17</v>
      </c>
      <c r="H9" s="2">
        <f t="shared" si="1"/>
        <v>3.1780174702500004E-2</v>
      </c>
      <c r="I9" s="1">
        <v>413.78</v>
      </c>
      <c r="J9" s="1">
        <v>18.57</v>
      </c>
      <c r="K9" s="2">
        <f t="shared" si="2"/>
        <v>8.918120170124999E-2</v>
      </c>
      <c r="L9" s="1">
        <v>307.58999999999997</v>
      </c>
      <c r="M9" s="1">
        <v>17.7</v>
      </c>
      <c r="N9" s="2">
        <f t="shared" si="3"/>
        <v>6.0228044437499982E-2</v>
      </c>
      <c r="O9" s="1">
        <v>612.57000000000005</v>
      </c>
      <c r="P9" s="1">
        <v>21.28</v>
      </c>
      <c r="Q9" s="2">
        <f t="shared" si="4"/>
        <v>0.17337201168000002</v>
      </c>
      <c r="R9" s="1">
        <v>339.63</v>
      </c>
      <c r="S9" s="1">
        <v>16.05</v>
      </c>
      <c r="T9" s="2">
        <f t="shared" si="5"/>
        <v>5.4680960671875001E-2</v>
      </c>
      <c r="U9" s="1">
        <v>345.38</v>
      </c>
      <c r="V9" s="1">
        <v>16.260000000000002</v>
      </c>
      <c r="W9" s="2">
        <f t="shared" si="6"/>
        <v>5.7071368305000009E-2</v>
      </c>
      <c r="Z9" s="2"/>
      <c r="AC9" s="2"/>
      <c r="AD9" s="1">
        <v>714.61</v>
      </c>
      <c r="AE9" s="1">
        <v>26.49</v>
      </c>
      <c r="AF9" s="2">
        <f t="shared" si="9"/>
        <v>0.31341012541312496</v>
      </c>
      <c r="AI9" s="2"/>
      <c r="AJ9" s="1">
        <v>2239.79</v>
      </c>
      <c r="AK9" s="1">
        <v>74.099999999999994</v>
      </c>
      <c r="AL9" s="2">
        <f t="shared" si="11"/>
        <v>7.6864133311874987</v>
      </c>
      <c r="AM9" s="1">
        <v>344.49</v>
      </c>
      <c r="AN9" s="1">
        <v>15.77</v>
      </c>
      <c r="AO9" s="2">
        <f t="shared" si="12"/>
        <v>5.3545135700624996E-2</v>
      </c>
      <c r="AR9" s="2"/>
      <c r="AU9" s="2"/>
      <c r="AX9" s="2"/>
      <c r="BA9" s="2"/>
      <c r="BD9" s="2"/>
      <c r="BG9" s="2"/>
      <c r="BJ9" s="2"/>
      <c r="BM9" s="2"/>
    </row>
    <row r="10" spans="1:65" x14ac:dyDescent="0.2">
      <c r="C10" s="1">
        <v>396.95</v>
      </c>
      <c r="D10" s="1">
        <v>15.8</v>
      </c>
      <c r="E10" s="2">
        <f t="shared" si="0"/>
        <v>6.1934123750000007E-2</v>
      </c>
      <c r="F10" s="1">
        <v>387.75</v>
      </c>
      <c r="G10" s="1">
        <v>18.87</v>
      </c>
      <c r="H10" s="2">
        <f t="shared" si="1"/>
        <v>8.6293011234375008E-2</v>
      </c>
      <c r="I10" s="1">
        <v>391.66</v>
      </c>
      <c r="J10" s="1">
        <v>14.65</v>
      </c>
      <c r="K10" s="2">
        <f t="shared" si="2"/>
        <v>5.2536905218750006E-2</v>
      </c>
      <c r="L10" s="1">
        <v>278.04000000000002</v>
      </c>
      <c r="M10" s="1">
        <v>16.510000000000002</v>
      </c>
      <c r="N10" s="2">
        <f t="shared" si="3"/>
        <v>4.736760687750001E-2</v>
      </c>
      <c r="O10" s="1">
        <v>221.71</v>
      </c>
      <c r="P10" s="1">
        <v>10.96</v>
      </c>
      <c r="Q10" s="2">
        <f t="shared" si="4"/>
        <v>1.6645099960000003E-2</v>
      </c>
      <c r="R10" s="1">
        <v>347.2</v>
      </c>
      <c r="S10" s="1">
        <v>19.09</v>
      </c>
      <c r="T10" s="2">
        <f t="shared" si="5"/>
        <v>7.90808977E-2</v>
      </c>
      <c r="W10" s="2"/>
      <c r="Z10" s="2"/>
      <c r="AC10" s="2"/>
      <c r="AD10" s="1">
        <v>684.78</v>
      </c>
      <c r="AE10" s="1">
        <v>27</v>
      </c>
      <c r="AF10" s="2">
        <f t="shared" si="9"/>
        <v>0.31200288749999994</v>
      </c>
      <c r="AI10" s="2"/>
      <c r="AL10" s="2"/>
      <c r="AM10" s="1">
        <v>366.22</v>
      </c>
      <c r="AN10" s="1">
        <v>15.1</v>
      </c>
      <c r="AO10" s="2">
        <f t="shared" si="12"/>
        <v>5.2188638875000005E-2</v>
      </c>
      <c r="AR10" s="2"/>
      <c r="AU10" s="2"/>
      <c r="AX10" s="2"/>
      <c r="BA10" s="2"/>
      <c r="BD10" s="2"/>
      <c r="BG10" s="2"/>
      <c r="BJ10" s="2"/>
      <c r="BM10" s="2"/>
    </row>
    <row r="11" spans="1:65" x14ac:dyDescent="0.2">
      <c r="C11" s="1">
        <v>395.06</v>
      </c>
      <c r="D11" s="1">
        <v>15.27</v>
      </c>
      <c r="E11" s="2">
        <f t="shared" si="0"/>
        <v>5.7573303671249999E-2</v>
      </c>
      <c r="F11" s="1">
        <v>261.14</v>
      </c>
      <c r="G11" s="1">
        <v>12.23</v>
      </c>
      <c r="H11" s="2">
        <f t="shared" si="1"/>
        <v>2.4412166941250001E-2</v>
      </c>
      <c r="I11" s="1">
        <v>373.9</v>
      </c>
      <c r="J11" s="1">
        <v>14.49</v>
      </c>
      <c r="K11" s="2">
        <f t="shared" si="2"/>
        <v>4.9065050868749994E-2</v>
      </c>
      <c r="L11" s="1">
        <v>324.57</v>
      </c>
      <c r="M11" s="1">
        <v>15.54</v>
      </c>
      <c r="N11" s="2">
        <f t="shared" si="3"/>
        <v>4.8988080382499993E-2</v>
      </c>
      <c r="O11" s="1">
        <v>435.86</v>
      </c>
      <c r="P11" s="1">
        <v>14.57</v>
      </c>
      <c r="Q11" s="2">
        <f t="shared" si="4"/>
        <v>5.782906032125E-2</v>
      </c>
      <c r="R11" s="1">
        <v>358.83</v>
      </c>
      <c r="S11" s="1">
        <v>24.91</v>
      </c>
      <c r="T11" s="2">
        <f t="shared" si="5"/>
        <v>0.139160575951875</v>
      </c>
      <c r="W11" s="2"/>
      <c r="Z11" s="2"/>
      <c r="AC11" s="2"/>
      <c r="AD11" s="1">
        <v>748.2</v>
      </c>
      <c r="AE11" s="1">
        <v>28.6</v>
      </c>
      <c r="AF11" s="2">
        <f t="shared" si="9"/>
        <v>0.38249854500000008</v>
      </c>
      <c r="AI11" s="2"/>
      <c r="AL11" s="2"/>
      <c r="AO11" s="2"/>
      <c r="AR11" s="2"/>
      <c r="AU11" s="2"/>
      <c r="AX11" s="2"/>
      <c r="BA11" s="2"/>
      <c r="BD11" s="2"/>
      <c r="BG11" s="2"/>
      <c r="BJ11" s="2"/>
      <c r="BM11" s="2"/>
    </row>
    <row r="12" spans="1:65" x14ac:dyDescent="0.2">
      <c r="C12" s="1">
        <v>360.19</v>
      </c>
      <c r="D12" s="1">
        <v>15.37</v>
      </c>
      <c r="E12" s="2">
        <f t="shared" si="0"/>
        <v>5.3181355631874996E-2</v>
      </c>
      <c r="F12" s="1">
        <v>550.67999999999995</v>
      </c>
      <c r="G12" s="1">
        <v>15.74</v>
      </c>
      <c r="H12" s="2">
        <f t="shared" si="1"/>
        <v>8.526853023E-2</v>
      </c>
      <c r="I12" s="1">
        <v>419.97</v>
      </c>
      <c r="J12" s="1">
        <v>14.75</v>
      </c>
      <c r="K12" s="2">
        <f t="shared" si="2"/>
        <v>5.7106076953125015E-2</v>
      </c>
      <c r="L12" s="1">
        <v>256.33</v>
      </c>
      <c r="M12" s="1">
        <v>12.85</v>
      </c>
      <c r="N12" s="2">
        <f t="shared" si="3"/>
        <v>2.6453656515624997E-2</v>
      </c>
      <c r="O12" s="1">
        <v>392.25</v>
      </c>
      <c r="P12" s="1">
        <v>13.95</v>
      </c>
      <c r="Q12" s="2">
        <f t="shared" si="4"/>
        <v>4.7708019140624995E-2</v>
      </c>
      <c r="R12" s="1">
        <v>316.91000000000003</v>
      </c>
      <c r="S12" s="1">
        <v>17.82</v>
      </c>
      <c r="T12" s="2">
        <f t="shared" si="5"/>
        <v>6.2897206927500005E-2</v>
      </c>
      <c r="W12" s="2"/>
      <c r="Z12" s="2"/>
      <c r="AC12" s="2"/>
      <c r="AD12" s="1">
        <v>536.86</v>
      </c>
      <c r="AE12" s="1">
        <v>21.49</v>
      </c>
      <c r="AF12" s="2">
        <f t="shared" si="9"/>
        <v>0.15495796180374999</v>
      </c>
      <c r="AI12" s="2"/>
      <c r="AL12" s="2"/>
      <c r="AO12" s="2"/>
      <c r="AR12" s="2"/>
      <c r="AU12" s="2"/>
      <c r="AX12" s="2"/>
      <c r="BA12" s="2"/>
      <c r="BD12" s="2"/>
      <c r="BG12" s="2"/>
      <c r="BJ12" s="2"/>
      <c r="BM12" s="2"/>
    </row>
    <row r="13" spans="1:65" x14ac:dyDescent="0.2">
      <c r="C13" s="1">
        <v>403.11</v>
      </c>
      <c r="D13" s="1">
        <v>15.27</v>
      </c>
      <c r="E13" s="2">
        <f t="shared" si="0"/>
        <v>5.8746454824374995E-2</v>
      </c>
      <c r="F13" s="1">
        <v>432.03</v>
      </c>
      <c r="G13" s="1">
        <v>14.88</v>
      </c>
      <c r="H13" s="2">
        <f t="shared" si="1"/>
        <v>5.9786039520000001E-2</v>
      </c>
      <c r="I13" s="1">
        <v>340.55</v>
      </c>
      <c r="J13" s="1">
        <v>16.77</v>
      </c>
      <c r="K13" s="2">
        <f t="shared" si="2"/>
        <v>5.9858665059374996E-2</v>
      </c>
      <c r="L13" s="1">
        <v>291.48</v>
      </c>
      <c r="M13" s="1">
        <v>12.38</v>
      </c>
      <c r="N13" s="2">
        <f t="shared" si="3"/>
        <v>2.7920942070000006E-2</v>
      </c>
      <c r="O13" s="1">
        <v>208.49</v>
      </c>
      <c r="P13" s="1">
        <v>11.13</v>
      </c>
      <c r="Q13" s="2">
        <f t="shared" si="4"/>
        <v>1.6141934300625004E-2</v>
      </c>
      <c r="R13" s="1">
        <v>368.99</v>
      </c>
      <c r="S13" s="1">
        <v>26.28</v>
      </c>
      <c r="T13" s="2">
        <f t="shared" si="5"/>
        <v>0.15927416451000004</v>
      </c>
      <c r="W13" s="2"/>
      <c r="Z13" s="2"/>
      <c r="AC13" s="2"/>
      <c r="AD13" s="1">
        <v>623.12</v>
      </c>
      <c r="AE13" s="1">
        <v>19.510000000000002</v>
      </c>
      <c r="AF13" s="2">
        <f t="shared" si="9"/>
        <v>0.14824028694499999</v>
      </c>
      <c r="AI13" s="2"/>
      <c r="AL13" s="2"/>
      <c r="AO13" s="2"/>
      <c r="AR13" s="2"/>
      <c r="AU13" s="2"/>
      <c r="AX13" s="2"/>
      <c r="BA13" s="2"/>
      <c r="BD13" s="2"/>
      <c r="BG13" s="2"/>
      <c r="BJ13" s="2"/>
      <c r="BM13" s="2"/>
    </row>
    <row r="14" spans="1:65" x14ac:dyDescent="0.2">
      <c r="C14" s="1">
        <v>432.14</v>
      </c>
      <c r="D14" s="1">
        <v>15.53</v>
      </c>
      <c r="E14" s="2">
        <f t="shared" si="0"/>
        <v>6.513994632874999E-2</v>
      </c>
      <c r="F14" s="1">
        <v>305.33</v>
      </c>
      <c r="G14" s="1">
        <v>15.57</v>
      </c>
      <c r="H14" s="2">
        <f t="shared" si="1"/>
        <v>4.6262246698125002E-2</v>
      </c>
      <c r="I14" s="1">
        <v>365.95</v>
      </c>
      <c r="J14" s="1">
        <v>16.87</v>
      </c>
      <c r="K14" s="2">
        <f t="shared" si="2"/>
        <v>6.5092647221875008E-2</v>
      </c>
      <c r="L14" s="1">
        <v>249.4</v>
      </c>
      <c r="M14" s="1">
        <v>14.01</v>
      </c>
      <c r="N14" s="2">
        <f t="shared" si="3"/>
        <v>3.05951605875E-2</v>
      </c>
      <c r="O14" s="1">
        <v>285.92</v>
      </c>
      <c r="P14" s="1">
        <v>13.03</v>
      </c>
      <c r="Q14" s="2">
        <f t="shared" si="4"/>
        <v>3.0339846830000003E-2</v>
      </c>
      <c r="R14" s="1">
        <v>376.42</v>
      </c>
      <c r="S14" s="1">
        <v>19.7</v>
      </c>
      <c r="T14" s="2">
        <f t="shared" si="5"/>
        <v>9.1303023625000007E-2</v>
      </c>
      <c r="W14" s="2"/>
      <c r="Z14" s="2"/>
      <c r="AC14" s="2"/>
      <c r="AD14" s="1">
        <v>873.33</v>
      </c>
      <c r="AE14" s="1">
        <v>29.5</v>
      </c>
      <c r="AF14" s="2">
        <f t="shared" si="9"/>
        <v>0.47500964531250001</v>
      </c>
      <c r="AI14" s="2"/>
      <c r="AL14" s="2"/>
      <c r="AO14" s="2"/>
      <c r="AR14" s="2"/>
      <c r="AU14" s="2"/>
      <c r="AX14" s="2"/>
      <c r="BA14" s="2"/>
      <c r="BD14" s="2"/>
      <c r="BG14" s="2"/>
      <c r="BJ14" s="2"/>
      <c r="BM14" s="2"/>
    </row>
    <row r="15" spans="1:65" x14ac:dyDescent="0.2">
      <c r="C15" s="1">
        <v>394.37</v>
      </c>
      <c r="D15" s="1">
        <v>18.88</v>
      </c>
      <c r="E15" s="2">
        <f t="shared" si="0"/>
        <v>8.7859326079999994E-2</v>
      </c>
      <c r="F15" s="1">
        <v>416.13</v>
      </c>
      <c r="G15" s="1">
        <v>17.95</v>
      </c>
      <c r="H15" s="2">
        <f t="shared" si="1"/>
        <v>8.3798828953124987E-2</v>
      </c>
      <c r="I15" s="1">
        <v>363.49</v>
      </c>
      <c r="J15" s="1">
        <v>18.48</v>
      </c>
      <c r="K15" s="2">
        <f t="shared" si="2"/>
        <v>7.7584759560000008E-2</v>
      </c>
      <c r="L15" s="1">
        <v>295.06</v>
      </c>
      <c r="M15" s="1">
        <v>14.88</v>
      </c>
      <c r="N15" s="2">
        <f t="shared" si="3"/>
        <v>4.0831583040000001E-2</v>
      </c>
      <c r="O15" s="1">
        <v>476.26</v>
      </c>
      <c r="P15" s="1">
        <v>16.809999999999999</v>
      </c>
      <c r="Q15" s="2">
        <f t="shared" si="4"/>
        <v>8.4112308366249999E-2</v>
      </c>
      <c r="R15" s="1">
        <v>268.19</v>
      </c>
      <c r="S15" s="1">
        <v>17.09</v>
      </c>
      <c r="T15" s="2">
        <f t="shared" si="5"/>
        <v>4.8956089836875001E-2</v>
      </c>
      <c r="W15" s="2"/>
      <c r="Z15" s="2"/>
      <c r="AC15" s="2"/>
      <c r="AD15" s="1">
        <v>378.51</v>
      </c>
      <c r="AE15" s="1">
        <v>15.02</v>
      </c>
      <c r="AF15" s="2">
        <f t="shared" si="9"/>
        <v>5.3370004627499995E-2</v>
      </c>
      <c r="AI15" s="2"/>
      <c r="AL15" s="2"/>
      <c r="AO15" s="2"/>
      <c r="AR15" s="2"/>
      <c r="AU15" s="2"/>
      <c r="AX15" s="2"/>
      <c r="BA15" s="2"/>
      <c r="BD15" s="2"/>
      <c r="BG15" s="2"/>
      <c r="BJ15" s="2"/>
      <c r="BM15" s="2"/>
    </row>
    <row r="16" spans="1:65" x14ac:dyDescent="0.2">
      <c r="C16" s="1">
        <v>388.51</v>
      </c>
      <c r="D16" s="1">
        <v>18.04</v>
      </c>
      <c r="E16" s="2">
        <f t="shared" si="0"/>
        <v>7.9023322509999994E-2</v>
      </c>
      <c r="F16" s="1">
        <v>295.39999999999998</v>
      </c>
      <c r="G16" s="1">
        <v>18.22</v>
      </c>
      <c r="H16" s="2">
        <f t="shared" si="1"/>
        <v>6.128966584999998E-2</v>
      </c>
      <c r="I16" s="1">
        <v>393.04</v>
      </c>
      <c r="J16" s="1">
        <v>18.21</v>
      </c>
      <c r="K16" s="2">
        <f t="shared" si="2"/>
        <v>8.1458547165000006E-2</v>
      </c>
      <c r="L16" s="1">
        <v>324.18</v>
      </c>
      <c r="M16" s="1">
        <v>16.87</v>
      </c>
      <c r="N16" s="2">
        <f t="shared" si="3"/>
        <v>5.7662889401250007E-2</v>
      </c>
      <c r="O16" s="1">
        <v>537.49</v>
      </c>
      <c r="P16" s="1">
        <v>16.46</v>
      </c>
      <c r="Q16" s="2">
        <f t="shared" si="4"/>
        <v>9.1014391052499991E-2</v>
      </c>
      <c r="R16" s="1">
        <v>302.95</v>
      </c>
      <c r="S16" s="1">
        <v>14.38</v>
      </c>
      <c r="T16" s="2">
        <f t="shared" si="5"/>
        <v>3.9153333737500004E-2</v>
      </c>
      <c r="W16" s="2"/>
      <c r="Z16" s="2"/>
      <c r="AC16" s="2"/>
      <c r="AD16" s="1">
        <v>925.14</v>
      </c>
      <c r="AE16" s="1">
        <v>27.68</v>
      </c>
      <c r="AF16" s="2">
        <f t="shared" si="9"/>
        <v>0.44301624095999997</v>
      </c>
      <c r="AI16" s="2"/>
      <c r="AL16" s="2"/>
      <c r="AO16" s="2"/>
      <c r="AR16" s="2"/>
      <c r="AU16" s="2"/>
      <c r="AX16" s="2"/>
      <c r="BA16" s="2"/>
      <c r="BD16" s="2"/>
      <c r="BG16" s="2"/>
      <c r="BJ16" s="2"/>
      <c r="BM16" s="2"/>
    </row>
    <row r="17" spans="3:65" x14ac:dyDescent="0.2">
      <c r="C17" s="1">
        <v>348.94</v>
      </c>
      <c r="D17" s="1">
        <v>16.43</v>
      </c>
      <c r="E17" s="2">
        <f t="shared" si="0"/>
        <v>5.8871608378749996E-2</v>
      </c>
      <c r="F17" s="1">
        <v>338.62</v>
      </c>
      <c r="G17" s="1">
        <v>15.09</v>
      </c>
      <c r="H17" s="2">
        <f t="shared" si="1"/>
        <v>4.8191573013750003E-2</v>
      </c>
      <c r="I17" s="1">
        <v>342.85</v>
      </c>
      <c r="J17" s="1">
        <v>17.16</v>
      </c>
      <c r="K17" s="2">
        <f t="shared" si="2"/>
        <v>6.3098456849999998E-2</v>
      </c>
      <c r="L17" s="1">
        <v>310.70999999999998</v>
      </c>
      <c r="M17" s="1">
        <v>12.08</v>
      </c>
      <c r="N17" s="2">
        <f t="shared" si="3"/>
        <v>2.8337994839999995E-2</v>
      </c>
      <c r="O17" s="1">
        <v>245.38</v>
      </c>
      <c r="P17" s="1">
        <v>9.89</v>
      </c>
      <c r="Q17" s="2">
        <f t="shared" si="4"/>
        <v>1.5000708186250001E-2</v>
      </c>
      <c r="R17" s="1">
        <v>299.89</v>
      </c>
      <c r="S17" s="1">
        <v>19.32</v>
      </c>
      <c r="T17" s="2">
        <f t="shared" si="5"/>
        <v>6.9961038209999993E-2</v>
      </c>
      <c r="W17" s="2"/>
      <c r="Z17" s="2"/>
      <c r="AC17" s="2"/>
      <c r="AD17" s="1">
        <v>828.57</v>
      </c>
      <c r="AE17" s="1">
        <v>23.31</v>
      </c>
      <c r="AF17" s="2">
        <f t="shared" si="9"/>
        <v>0.28138035236062497</v>
      </c>
      <c r="AI17" s="2"/>
      <c r="AL17" s="2"/>
      <c r="AO17" s="2"/>
      <c r="AR17" s="2"/>
      <c r="AU17" s="2"/>
      <c r="AX17" s="2"/>
      <c r="BA17" s="2"/>
      <c r="BD17" s="2"/>
      <c r="BG17" s="2"/>
      <c r="BJ17" s="2"/>
      <c r="BM17" s="2"/>
    </row>
    <row r="18" spans="3:65" x14ac:dyDescent="0.2">
      <c r="C18" s="1">
        <v>407.71</v>
      </c>
      <c r="D18" s="1">
        <v>15.54</v>
      </c>
      <c r="E18" s="2">
        <f t="shared" si="0"/>
        <v>6.1536587647499995E-2</v>
      </c>
      <c r="F18" s="1">
        <v>252.32</v>
      </c>
      <c r="G18" s="1">
        <v>14.62</v>
      </c>
      <c r="H18" s="2">
        <f t="shared" si="1"/>
        <v>3.3707491879999996E-2</v>
      </c>
      <c r="I18" s="1">
        <v>364.67</v>
      </c>
      <c r="J18" s="1">
        <v>14.96</v>
      </c>
      <c r="K18" s="2">
        <f t="shared" si="2"/>
        <v>5.1008580920000005E-2</v>
      </c>
      <c r="N18" s="2"/>
      <c r="O18" s="1">
        <v>438.16</v>
      </c>
      <c r="P18" s="1">
        <v>17.329999999999998</v>
      </c>
      <c r="Q18" s="2">
        <f t="shared" si="4"/>
        <v>8.2245069264999984E-2</v>
      </c>
      <c r="R18" s="1">
        <v>323.19</v>
      </c>
      <c r="S18" s="1">
        <v>18.54</v>
      </c>
      <c r="T18" s="2">
        <f t="shared" si="5"/>
        <v>6.9431634877499995E-2</v>
      </c>
      <c r="W18" s="2"/>
      <c r="Z18" s="2"/>
      <c r="AC18" s="2"/>
      <c r="AD18" s="1">
        <v>439.72</v>
      </c>
      <c r="AE18" s="1">
        <v>19.28</v>
      </c>
      <c r="AF18" s="2">
        <f t="shared" si="9"/>
        <v>0.10215750928000002</v>
      </c>
      <c r="AI18" s="2"/>
      <c r="AL18" s="2"/>
      <c r="AO18" s="2"/>
      <c r="AR18" s="2"/>
      <c r="AU18" s="2"/>
      <c r="AX18" s="2"/>
      <c r="BA18" s="2"/>
      <c r="BD18" s="2"/>
      <c r="BG18" s="2"/>
      <c r="BJ18" s="2"/>
      <c r="BM18" s="2"/>
    </row>
    <row r="19" spans="3:65" x14ac:dyDescent="0.2">
      <c r="C19" s="1">
        <v>393.2</v>
      </c>
      <c r="D19" s="1">
        <v>18.38</v>
      </c>
      <c r="E19" s="2">
        <f t="shared" si="0"/>
        <v>8.3020346299999978E-2</v>
      </c>
      <c r="F19" s="1">
        <v>424.06</v>
      </c>
      <c r="G19" s="1">
        <v>14.64</v>
      </c>
      <c r="H19" s="2">
        <f t="shared" si="1"/>
        <v>5.6805381360000004E-2</v>
      </c>
      <c r="I19" s="1">
        <v>417.39</v>
      </c>
      <c r="J19" s="1">
        <v>15.49</v>
      </c>
      <c r="K19" s="2">
        <f t="shared" si="2"/>
        <v>6.2592873961875004E-2</v>
      </c>
      <c r="N19" s="2"/>
      <c r="O19" s="1">
        <v>359.35</v>
      </c>
      <c r="P19" s="1">
        <v>12.6</v>
      </c>
      <c r="Q19" s="2">
        <f t="shared" si="4"/>
        <v>3.5656503749999999E-2</v>
      </c>
      <c r="R19" s="1">
        <v>395.84</v>
      </c>
      <c r="S19" s="1">
        <v>21.19</v>
      </c>
      <c r="T19" s="2">
        <f t="shared" si="5"/>
        <v>0.11108658314</v>
      </c>
      <c r="W19" s="2"/>
      <c r="Z19" s="2"/>
      <c r="AC19" s="2"/>
      <c r="AD19" s="1">
        <v>799.35</v>
      </c>
      <c r="AE19" s="1">
        <v>27.55</v>
      </c>
      <c r="AF19" s="2">
        <f t="shared" si="9"/>
        <v>0.37919290523437504</v>
      </c>
      <c r="AI19" s="2"/>
      <c r="AL19" s="2"/>
      <c r="AO19" s="2"/>
      <c r="AR19" s="2"/>
      <c r="AU19" s="2"/>
      <c r="AX19" s="2"/>
      <c r="BA19" s="2"/>
      <c r="BD19" s="2"/>
      <c r="BG19" s="2"/>
      <c r="BJ19" s="2"/>
      <c r="BM19" s="2"/>
    </row>
    <row r="20" spans="3:65" x14ac:dyDescent="0.2">
      <c r="C20" s="1">
        <v>423.18</v>
      </c>
      <c r="D20" s="1">
        <v>18.04</v>
      </c>
      <c r="E20" s="2">
        <f t="shared" si="0"/>
        <v>8.6075235180000001E-2</v>
      </c>
      <c r="H20" s="2"/>
      <c r="I20" s="1">
        <v>360.06</v>
      </c>
      <c r="J20" s="1">
        <v>17.25</v>
      </c>
      <c r="K20" s="2">
        <f t="shared" si="2"/>
        <v>6.6962721093749997E-2</v>
      </c>
      <c r="N20" s="2"/>
      <c r="O20" s="1">
        <v>234.66</v>
      </c>
      <c r="P20" s="1">
        <v>10.56</v>
      </c>
      <c r="Q20" s="2">
        <f t="shared" si="4"/>
        <v>1.6354863359999999E-2</v>
      </c>
      <c r="R20" s="1">
        <v>374.2</v>
      </c>
      <c r="S20" s="1">
        <v>25.64</v>
      </c>
      <c r="T20" s="2">
        <f t="shared" si="5"/>
        <v>0.1537516702</v>
      </c>
      <c r="W20" s="2"/>
      <c r="Z20" s="2"/>
      <c r="AC20" s="2"/>
      <c r="AD20" s="1">
        <v>904.7</v>
      </c>
      <c r="AE20" s="1">
        <v>25.89</v>
      </c>
      <c r="AF20" s="2">
        <f t="shared" si="9"/>
        <v>0.37900828929375008</v>
      </c>
      <c r="AI20" s="2"/>
      <c r="AL20" s="2"/>
      <c r="AO20" s="2"/>
      <c r="AR20" s="2"/>
      <c r="AU20" s="2"/>
      <c r="AX20" s="2"/>
      <c r="BA20" s="2"/>
      <c r="BD20" s="2"/>
      <c r="BG20" s="2"/>
      <c r="BJ20" s="2"/>
      <c r="BM20" s="2"/>
    </row>
    <row r="21" spans="3:65" x14ac:dyDescent="0.2">
      <c r="C21" s="1">
        <v>378.4</v>
      </c>
      <c r="D21" s="1">
        <v>16.46</v>
      </c>
      <c r="E21" s="2">
        <f t="shared" si="0"/>
        <v>6.4075323400000009E-2</v>
      </c>
      <c r="H21" s="2"/>
      <c r="I21" s="1">
        <v>340.07</v>
      </c>
      <c r="J21" s="1">
        <v>15.4</v>
      </c>
      <c r="K21" s="2">
        <f t="shared" si="2"/>
        <v>5.040687575000001E-2</v>
      </c>
      <c r="N21" s="2"/>
      <c r="O21" s="1">
        <v>336.88</v>
      </c>
      <c r="P21" s="1">
        <v>10.45</v>
      </c>
      <c r="Q21" s="2">
        <f t="shared" si="4"/>
        <v>2.2992586374999995E-2</v>
      </c>
      <c r="R21" s="1">
        <v>194.38</v>
      </c>
      <c r="S21" s="1">
        <v>15.62</v>
      </c>
      <c r="T21" s="2">
        <f t="shared" si="5"/>
        <v>2.9641054795E-2</v>
      </c>
      <c r="W21" s="2"/>
      <c r="Z21" s="2"/>
      <c r="AC21" s="2"/>
      <c r="AD21" s="1">
        <v>794.7</v>
      </c>
      <c r="AE21" s="1">
        <v>36.03</v>
      </c>
      <c r="AF21" s="2">
        <f t="shared" si="9"/>
        <v>0.64478029201875009</v>
      </c>
      <c r="AI21" s="2"/>
      <c r="AL21" s="2"/>
      <c r="AO21" s="2"/>
      <c r="AR21" s="2"/>
      <c r="AU21" s="2"/>
      <c r="AX21" s="2"/>
      <c r="BA21" s="2"/>
      <c r="BD21" s="2"/>
      <c r="BG21" s="2"/>
      <c r="BJ21" s="2"/>
      <c r="BM21" s="2"/>
    </row>
    <row r="22" spans="3:65" x14ac:dyDescent="0.2">
      <c r="C22" s="1">
        <v>399.82</v>
      </c>
      <c r="D22" s="1">
        <v>18.16</v>
      </c>
      <c r="E22" s="2">
        <f t="shared" si="0"/>
        <v>8.2409299120000001E-2</v>
      </c>
      <c r="H22" s="2"/>
      <c r="I22" s="1">
        <v>377.56</v>
      </c>
      <c r="J22" s="1">
        <v>15.62</v>
      </c>
      <c r="K22" s="2">
        <f t="shared" si="2"/>
        <v>5.7574218789999992E-2</v>
      </c>
      <c r="N22" s="2"/>
      <c r="O22" s="1">
        <v>380.14</v>
      </c>
      <c r="P22" s="1">
        <v>17.03</v>
      </c>
      <c r="Q22" s="2">
        <f t="shared" si="4"/>
        <v>6.8905340578750002E-2</v>
      </c>
      <c r="R22" s="1">
        <v>330.26</v>
      </c>
      <c r="S22" s="1">
        <v>22.02</v>
      </c>
      <c r="T22" s="2">
        <f t="shared" si="5"/>
        <v>0.100085375565</v>
      </c>
      <c r="W22" s="2"/>
      <c r="Z22" s="2"/>
      <c r="AC22" s="2"/>
      <c r="AD22" s="1">
        <v>859.87</v>
      </c>
      <c r="AE22" s="1">
        <v>36.119999999999997</v>
      </c>
      <c r="AF22" s="2">
        <f t="shared" si="9"/>
        <v>0.70114573682999992</v>
      </c>
      <c r="AI22" s="2"/>
      <c r="AL22" s="2"/>
      <c r="AO22" s="2"/>
      <c r="AR22" s="2"/>
      <c r="AU22" s="2"/>
      <c r="AX22" s="2"/>
      <c r="BA22" s="2"/>
      <c r="BD22" s="2"/>
      <c r="BG22" s="2"/>
      <c r="BJ22" s="2"/>
      <c r="BM22" s="2"/>
    </row>
    <row r="23" spans="3:65" x14ac:dyDescent="0.2">
      <c r="E23" s="2"/>
      <c r="H23" s="2"/>
      <c r="I23" s="1">
        <v>414.03</v>
      </c>
      <c r="J23" s="1">
        <v>17.57</v>
      </c>
      <c r="K23" s="2">
        <f t="shared" si="2"/>
        <v>7.9883181091875005E-2</v>
      </c>
      <c r="N23" s="2"/>
      <c r="O23" s="1">
        <v>248.32</v>
      </c>
      <c r="P23" s="1">
        <v>10.85</v>
      </c>
      <c r="Q23" s="2">
        <f t="shared" si="4"/>
        <v>1.8270531999999999E-2</v>
      </c>
      <c r="R23" s="1">
        <v>302.7</v>
      </c>
      <c r="S23" s="1">
        <v>18.420000000000002</v>
      </c>
      <c r="T23" s="2">
        <f t="shared" si="5"/>
        <v>6.4190637675000009E-2</v>
      </c>
      <c r="W23" s="2"/>
      <c r="Z23" s="2"/>
      <c r="AC23" s="2"/>
      <c r="AF23" s="2"/>
      <c r="AI23" s="2"/>
      <c r="AL23" s="2"/>
      <c r="AO23" s="2"/>
      <c r="AR23" s="2"/>
      <c r="AU23" s="2"/>
      <c r="AX23" s="2"/>
      <c r="BA23" s="2"/>
      <c r="BD23" s="2"/>
      <c r="BG23" s="2"/>
      <c r="BJ23" s="2"/>
      <c r="BM23" s="2"/>
    </row>
    <row r="24" spans="3:65" x14ac:dyDescent="0.2">
      <c r="E24" s="2"/>
      <c r="H24" s="2"/>
      <c r="I24" s="1">
        <v>357.76</v>
      </c>
      <c r="J24" s="1">
        <v>17.09</v>
      </c>
      <c r="K24" s="2">
        <f t="shared" si="2"/>
        <v>6.530642716E-2</v>
      </c>
      <c r="N24" s="2"/>
      <c r="O24" s="1">
        <v>403.13</v>
      </c>
      <c r="P24" s="1">
        <v>12.33</v>
      </c>
      <c r="Q24" s="2">
        <f t="shared" si="4"/>
        <v>3.8304631535625001E-2</v>
      </c>
      <c r="R24" s="1">
        <v>400.03</v>
      </c>
      <c r="S24" s="1">
        <v>18.46</v>
      </c>
      <c r="T24" s="2">
        <f t="shared" si="5"/>
        <v>8.5199289467500008E-2</v>
      </c>
      <c r="W24" s="2"/>
      <c r="Z24" s="2"/>
      <c r="AC24" s="2"/>
      <c r="AF24" s="2"/>
      <c r="AI24" s="2"/>
      <c r="AL24" s="2"/>
      <c r="AO24" s="2"/>
      <c r="AR24" s="2"/>
      <c r="AU24" s="2"/>
      <c r="AX24" s="2"/>
      <c r="BA24" s="2"/>
      <c r="BD24" s="2"/>
      <c r="BG24" s="2"/>
      <c r="BJ24" s="2"/>
      <c r="BM24" s="2"/>
    </row>
    <row r="25" spans="3:65" x14ac:dyDescent="0.2">
      <c r="E25" s="2"/>
      <c r="H25" s="2"/>
      <c r="K25" s="2"/>
      <c r="N25" s="2"/>
      <c r="O25" s="1">
        <v>326.70999999999998</v>
      </c>
      <c r="P25" s="1">
        <v>12.02</v>
      </c>
      <c r="Q25" s="2">
        <f t="shared" si="4"/>
        <v>2.9501994677499997E-2</v>
      </c>
      <c r="R25" s="1">
        <v>353.69</v>
      </c>
      <c r="S25" s="1">
        <v>17.66</v>
      </c>
      <c r="T25" s="2">
        <f t="shared" si="5"/>
        <v>6.8942050602499999E-2</v>
      </c>
      <c r="W25" s="2"/>
      <c r="Z25" s="2"/>
      <c r="AC25" s="2"/>
      <c r="AF25" s="2"/>
      <c r="AI25" s="2"/>
      <c r="AL25" s="2"/>
      <c r="AO25" s="2"/>
      <c r="AR25" s="2"/>
      <c r="AU25" s="2"/>
      <c r="AX25" s="2"/>
      <c r="BA25" s="2"/>
      <c r="BD25" s="2"/>
      <c r="BG25" s="2"/>
      <c r="BJ25" s="2"/>
      <c r="BM25" s="2"/>
    </row>
    <row r="26" spans="3:65" x14ac:dyDescent="0.2">
      <c r="E26" s="2"/>
      <c r="H26" s="2"/>
      <c r="K26" s="2"/>
      <c r="N26" s="2"/>
      <c r="O26" s="1">
        <v>421.87</v>
      </c>
      <c r="P26" s="1">
        <v>16.579999999999998</v>
      </c>
      <c r="Q26" s="2">
        <f t="shared" si="4"/>
        <v>7.2481590167499985E-2</v>
      </c>
      <c r="R26" s="1">
        <v>311.91000000000003</v>
      </c>
      <c r="S26" s="1">
        <v>18.190000000000001</v>
      </c>
      <c r="T26" s="2">
        <f t="shared" si="5"/>
        <v>6.4502227719375013E-2</v>
      </c>
      <c r="W26" s="2"/>
      <c r="Z26" s="2"/>
      <c r="AC26" s="2"/>
      <c r="AF26" s="2"/>
      <c r="AI26" s="2"/>
      <c r="AL26" s="2"/>
      <c r="AO26" s="2"/>
      <c r="AR26" s="2"/>
      <c r="AU26" s="2"/>
      <c r="AX26" s="2"/>
      <c r="BA26" s="2"/>
      <c r="BD26" s="2"/>
      <c r="BG26" s="2"/>
      <c r="BJ26" s="2"/>
      <c r="BM26" s="2"/>
    </row>
    <row r="27" spans="3:65" x14ac:dyDescent="0.2">
      <c r="E27" s="2"/>
      <c r="H27" s="2"/>
      <c r="K27" s="2"/>
      <c r="N27" s="2"/>
      <c r="Q27" s="2"/>
      <c r="R27" s="1">
        <v>379.21</v>
      </c>
      <c r="S27" s="1">
        <v>20.87</v>
      </c>
      <c r="T27" s="2">
        <f t="shared" si="5"/>
        <v>0.10322970753062501</v>
      </c>
      <c r="W27" s="2"/>
      <c r="Z27" s="2"/>
      <c r="AC27" s="2"/>
      <c r="AF27" s="2"/>
      <c r="AI27" s="2"/>
      <c r="AL27" s="2"/>
      <c r="AO27" s="2"/>
      <c r="AR27" s="2"/>
      <c r="AU27" s="2"/>
      <c r="AX27" s="2"/>
      <c r="BA27" s="2"/>
      <c r="BD27" s="2"/>
      <c r="BG27" s="2"/>
      <c r="BJ27" s="2"/>
      <c r="BM27" s="2"/>
    </row>
    <row r="28" spans="3:65" x14ac:dyDescent="0.2">
      <c r="E28" s="2"/>
      <c r="H28" s="2"/>
      <c r="K28" s="2"/>
      <c r="N28" s="2"/>
      <c r="Q28" s="2"/>
      <c r="R28" s="1">
        <v>539.16</v>
      </c>
      <c r="S28" s="1">
        <v>21.27</v>
      </c>
      <c r="T28" s="2">
        <f t="shared" si="5"/>
        <v>0.15245183697749998</v>
      </c>
      <c r="W28" s="2"/>
      <c r="Z28" s="2"/>
      <c r="AC28" s="2"/>
      <c r="AF28" s="2"/>
      <c r="AI28" s="2"/>
      <c r="AL28" s="2"/>
      <c r="AO28" s="2"/>
      <c r="AR28" s="2"/>
      <c r="AU28" s="2"/>
      <c r="AX28" s="2"/>
      <c r="BA28" s="2"/>
      <c r="BD28" s="2"/>
      <c r="BG28" s="2"/>
      <c r="BJ28" s="2"/>
      <c r="BM28" s="2"/>
    </row>
    <row r="29" spans="3:65" x14ac:dyDescent="0.2">
      <c r="E29" s="2"/>
      <c r="H29" s="2"/>
      <c r="K29" s="2"/>
      <c r="N29" s="2"/>
      <c r="Q29" s="2"/>
      <c r="R29" s="1">
        <v>359.52</v>
      </c>
      <c r="S29" s="1">
        <v>19.100000000000001</v>
      </c>
      <c r="T29" s="2">
        <f t="shared" si="5"/>
        <v>8.1972807000000009E-2</v>
      </c>
      <c r="W29" s="2"/>
      <c r="Z29" s="2"/>
      <c r="AC29" s="2"/>
      <c r="AF29" s="2"/>
      <c r="AI29" s="2"/>
      <c r="AL29" s="2"/>
      <c r="AO29" s="2"/>
      <c r="AR29" s="2"/>
      <c r="AU29" s="2"/>
      <c r="AX29" s="2"/>
      <c r="BA29" s="2"/>
      <c r="BD29" s="2"/>
      <c r="BG29" s="2"/>
      <c r="BJ29" s="2"/>
      <c r="BM29" s="2"/>
    </row>
    <row r="30" spans="3:65" x14ac:dyDescent="0.2">
      <c r="E30" s="2"/>
      <c r="H30" s="2"/>
      <c r="K30" s="2"/>
      <c r="N30" s="2"/>
      <c r="Q30" s="2"/>
      <c r="R30" s="1">
        <v>398.78</v>
      </c>
      <c r="S30" s="1">
        <v>31.79</v>
      </c>
      <c r="T30" s="2">
        <f t="shared" si="5"/>
        <v>0.25188043937374999</v>
      </c>
      <c r="W30" s="2"/>
      <c r="Z30" s="2"/>
      <c r="AC30" s="2"/>
      <c r="AF30" s="2"/>
      <c r="AI30" s="2"/>
      <c r="AL30" s="2"/>
      <c r="AO30" s="2"/>
      <c r="AR30" s="2"/>
      <c r="AU30" s="2"/>
      <c r="AX30" s="2"/>
      <c r="BA30" s="2"/>
      <c r="BD30" s="2"/>
      <c r="BG30" s="2"/>
      <c r="BJ30" s="2"/>
      <c r="BM30" s="2"/>
    </row>
    <row r="31" spans="3:65" x14ac:dyDescent="0.2">
      <c r="E31" s="2"/>
      <c r="H31" s="2"/>
      <c r="K31" s="2"/>
      <c r="N31" s="2"/>
      <c r="Q31" s="2"/>
      <c r="R31" s="1">
        <v>401.31</v>
      </c>
      <c r="S31" s="1">
        <v>29.17</v>
      </c>
      <c r="T31" s="2">
        <f t="shared" si="5"/>
        <v>0.21341889028687502</v>
      </c>
      <c r="W31" s="2"/>
      <c r="Z31" s="2"/>
      <c r="AC31" s="2"/>
      <c r="AF31" s="2"/>
      <c r="AI31" s="2"/>
      <c r="AL31" s="2"/>
      <c r="AO31" s="2"/>
      <c r="AR31" s="2"/>
      <c r="AU31" s="2"/>
      <c r="AX31" s="2"/>
      <c r="BA31" s="2"/>
      <c r="BD31" s="2"/>
      <c r="BG31" s="2"/>
      <c r="BJ31" s="2"/>
      <c r="BM31" s="2"/>
    </row>
    <row r="32" spans="3:65" x14ac:dyDescent="0.2">
      <c r="E32" s="2"/>
      <c r="H32" s="2"/>
      <c r="K32" s="2"/>
      <c r="N32" s="2"/>
      <c r="Q32" s="2"/>
      <c r="R32" s="1">
        <v>249.78</v>
      </c>
      <c r="S32" s="1">
        <v>22.63</v>
      </c>
      <c r="T32" s="2">
        <f t="shared" si="5"/>
        <v>7.9947849551249991E-2</v>
      </c>
      <c r="W32" s="2"/>
      <c r="Z32" s="2"/>
      <c r="AC32" s="2"/>
      <c r="AF32" s="2"/>
      <c r="AI32" s="2"/>
      <c r="AL32" s="2"/>
      <c r="AO32" s="2"/>
      <c r="AR32" s="2"/>
      <c r="AU32" s="2"/>
      <c r="AX32" s="2"/>
      <c r="BA32" s="2"/>
      <c r="BD32" s="2"/>
      <c r="BG32" s="2"/>
      <c r="BJ32" s="2"/>
      <c r="BM32" s="2"/>
    </row>
    <row r="33" spans="5:65" x14ac:dyDescent="0.2">
      <c r="E33" s="2"/>
      <c r="H33" s="2"/>
      <c r="K33" s="2"/>
      <c r="N33" s="2"/>
      <c r="Q33" s="2"/>
      <c r="R33" s="1">
        <v>274.26</v>
      </c>
      <c r="S33" s="1">
        <v>17.02</v>
      </c>
      <c r="T33" s="2">
        <f t="shared" si="5"/>
        <v>4.9654841564999996E-2</v>
      </c>
      <c r="W33" s="2"/>
      <c r="Z33" s="2"/>
      <c r="AC33" s="2"/>
      <c r="AF33" s="2"/>
      <c r="AI33" s="2"/>
      <c r="AL33" s="2"/>
      <c r="AO33" s="2"/>
      <c r="AR33" s="2"/>
      <c r="AU33" s="2"/>
      <c r="AX33" s="2"/>
      <c r="BA33" s="2"/>
      <c r="BD33" s="2"/>
      <c r="BG33" s="2"/>
      <c r="BJ33" s="2"/>
      <c r="BM33" s="2"/>
    </row>
    <row r="34" spans="5:65" x14ac:dyDescent="0.2">
      <c r="E34" s="2"/>
      <c r="H34" s="2"/>
      <c r="K34" s="2"/>
      <c r="N34" s="2"/>
      <c r="Q34" s="2"/>
      <c r="R34" s="1">
        <v>315.45999999999998</v>
      </c>
      <c r="S34" s="1">
        <v>15.06</v>
      </c>
      <c r="T34" s="2">
        <f t="shared" si="5"/>
        <v>4.4717164784999992E-2</v>
      </c>
      <c r="W34" s="2"/>
      <c r="Z34" s="2"/>
      <c r="AC34" s="2"/>
      <c r="AF34" s="2"/>
      <c r="AI34" s="2"/>
      <c r="AL34" s="2"/>
      <c r="AO34" s="2"/>
      <c r="AR34" s="2"/>
      <c r="AU34" s="2"/>
      <c r="AX34" s="2"/>
      <c r="BA34" s="2"/>
      <c r="BD34" s="2"/>
      <c r="BG34" s="2"/>
      <c r="BJ34" s="2"/>
      <c r="BM34" s="2"/>
    </row>
    <row r="35" spans="5:65" x14ac:dyDescent="0.2">
      <c r="E35" s="2"/>
      <c r="H35" s="2"/>
      <c r="K35" s="2"/>
      <c r="N35" s="2"/>
      <c r="Q35" s="2"/>
      <c r="R35" s="1">
        <v>364.65</v>
      </c>
      <c r="S35" s="1">
        <v>20.68</v>
      </c>
      <c r="T35" s="2">
        <f t="shared" si="5"/>
        <v>9.7466933849999993E-2</v>
      </c>
      <c r="W35" s="2"/>
      <c r="Z35" s="2"/>
      <c r="AC35" s="2"/>
      <c r="AF35" s="2"/>
      <c r="AI35" s="2"/>
      <c r="AL35" s="2"/>
      <c r="AO35" s="2"/>
      <c r="AR35" s="2"/>
      <c r="AU35" s="2"/>
      <c r="AX35" s="2"/>
      <c r="BA35" s="2"/>
      <c r="BD35" s="2"/>
      <c r="BG35" s="2"/>
      <c r="BJ35" s="2"/>
      <c r="BM35" s="2"/>
    </row>
    <row r="36" spans="5:65" x14ac:dyDescent="0.2">
      <c r="E36" s="2"/>
      <c r="H36" s="2"/>
      <c r="K36" s="2"/>
      <c r="N36" s="2"/>
      <c r="Q36" s="2"/>
      <c r="R36" s="1">
        <v>258.08</v>
      </c>
      <c r="S36" s="1">
        <v>15.12</v>
      </c>
      <c r="T36" s="2">
        <f t="shared" si="5"/>
        <v>3.6875502719999995E-2</v>
      </c>
      <c r="W36" s="2"/>
      <c r="Z36" s="2"/>
      <c r="AC36" s="2"/>
      <c r="AF36" s="2"/>
      <c r="AI36" s="2"/>
      <c r="AL36" s="2"/>
      <c r="AO36" s="2"/>
      <c r="AR36" s="2"/>
      <c r="AU36" s="2"/>
      <c r="AX36" s="2"/>
      <c r="BA36" s="2"/>
      <c r="BD36" s="2"/>
      <c r="BG36" s="2"/>
      <c r="BJ36" s="2"/>
      <c r="BM36" s="2"/>
    </row>
    <row r="37" spans="5:65" x14ac:dyDescent="0.2">
      <c r="E37" s="2"/>
      <c r="H37" s="2"/>
      <c r="K37" s="2"/>
      <c r="N37" s="2"/>
      <c r="Q37" s="2"/>
      <c r="R37" s="1">
        <v>423.38</v>
      </c>
      <c r="S37" s="1">
        <v>21.55</v>
      </c>
      <c r="T37" s="2">
        <f t="shared" si="5"/>
        <v>0.12288670653125</v>
      </c>
      <c r="W37" s="2"/>
      <c r="Z37" s="2"/>
      <c r="AC37" s="2"/>
      <c r="AF37" s="2"/>
      <c r="AI37" s="2"/>
      <c r="AL37" s="2"/>
      <c r="AO37" s="2"/>
      <c r="AR37" s="2"/>
      <c r="AU37" s="2"/>
      <c r="AX37" s="2"/>
      <c r="BA37" s="2"/>
      <c r="BD37" s="2"/>
      <c r="BG37" s="2"/>
      <c r="BJ37" s="2"/>
      <c r="BM37" s="2"/>
    </row>
    <row r="38" spans="5:65" x14ac:dyDescent="0.2">
      <c r="E38" s="2"/>
      <c r="H38" s="2"/>
      <c r="K38" s="2"/>
      <c r="N38" s="2"/>
      <c r="Q38" s="2"/>
      <c r="R38" s="1">
        <v>383.53</v>
      </c>
      <c r="S38" s="1">
        <v>29.96</v>
      </c>
      <c r="T38" s="2">
        <f t="shared" ref="T38:T69" si="21">(R38*S38*S38)/1600000</f>
        <v>0.21516071352999999</v>
      </c>
      <c r="W38" s="2"/>
      <c r="Z38" s="2"/>
      <c r="AC38" s="2"/>
      <c r="AF38" s="2"/>
      <c r="AI38" s="2"/>
      <c r="AL38" s="2"/>
      <c r="AO38" s="2"/>
      <c r="AR38" s="2"/>
      <c r="AU38" s="2"/>
      <c r="AX38" s="2"/>
      <c r="BA38" s="2"/>
      <c r="BD38" s="2"/>
      <c r="BG38" s="2"/>
      <c r="BJ38" s="2"/>
      <c r="BM38" s="2"/>
    </row>
    <row r="39" spans="5:65" x14ac:dyDescent="0.2">
      <c r="E39" s="2"/>
      <c r="H39" s="2"/>
      <c r="K39" s="2"/>
      <c r="N39" s="2"/>
      <c r="Q39" s="2"/>
      <c r="R39" s="1">
        <v>311.24</v>
      </c>
      <c r="S39" s="1">
        <v>20.47</v>
      </c>
      <c r="T39" s="2">
        <f t="shared" si="21"/>
        <v>8.1510040572499998E-2</v>
      </c>
      <c r="W39" s="2"/>
      <c r="Z39" s="2"/>
      <c r="AC39" s="2"/>
      <c r="AF39" s="2"/>
      <c r="AI39" s="2"/>
      <c r="AL39" s="2"/>
      <c r="AO39" s="2"/>
      <c r="AR39" s="2"/>
      <c r="AU39" s="2"/>
      <c r="AX39" s="2"/>
      <c r="BA39" s="2"/>
      <c r="BD39" s="2"/>
      <c r="BG39" s="2"/>
      <c r="BJ39" s="2"/>
      <c r="BM39" s="2"/>
    </row>
    <row r="40" spans="5:65" x14ac:dyDescent="0.2">
      <c r="E40" s="2"/>
      <c r="H40" s="2"/>
      <c r="K40" s="2"/>
      <c r="N40" s="2"/>
      <c r="Q40" s="2"/>
      <c r="R40" s="1">
        <v>309.2</v>
      </c>
      <c r="S40" s="1">
        <v>21.63</v>
      </c>
      <c r="T40" s="2">
        <f t="shared" si="21"/>
        <v>9.0413345924999972E-2</v>
      </c>
      <c r="W40" s="2"/>
      <c r="Z40" s="2"/>
      <c r="AC40" s="2"/>
      <c r="AF40" s="2"/>
      <c r="AI40" s="2"/>
      <c r="AL40" s="2"/>
      <c r="AO40" s="2"/>
      <c r="AR40" s="2"/>
      <c r="AU40" s="2"/>
      <c r="AX40" s="2"/>
      <c r="BA40" s="2"/>
      <c r="BD40" s="2"/>
      <c r="BG40" s="2"/>
      <c r="BJ40" s="2"/>
      <c r="BM40" s="2"/>
    </row>
    <row r="41" spans="5:65" x14ac:dyDescent="0.2">
      <c r="E41" s="2"/>
      <c r="H41" s="2"/>
      <c r="K41" s="2"/>
      <c r="N41" s="2"/>
      <c r="Q41" s="2"/>
      <c r="R41" s="1">
        <v>324.64999999999998</v>
      </c>
      <c r="S41" s="1">
        <v>19.71</v>
      </c>
      <c r="T41" s="2">
        <f t="shared" si="21"/>
        <v>7.8825851915624995E-2</v>
      </c>
      <c r="W41" s="2"/>
      <c r="Z41" s="2"/>
      <c r="AC41" s="2"/>
      <c r="AF41" s="2"/>
      <c r="AI41" s="2"/>
      <c r="AL41" s="2"/>
      <c r="AO41" s="2"/>
      <c r="AR41" s="2"/>
      <c r="AU41" s="2"/>
      <c r="AX41" s="2"/>
      <c r="BA41" s="2"/>
      <c r="BD41" s="2"/>
      <c r="BG41" s="2"/>
      <c r="BJ41" s="2"/>
      <c r="BM41" s="2"/>
    </row>
    <row r="42" spans="5:65" x14ac:dyDescent="0.2">
      <c r="E42" s="2"/>
      <c r="H42" s="2"/>
      <c r="K42" s="2"/>
      <c r="N42" s="2"/>
      <c r="Q42" s="2"/>
      <c r="R42" s="1">
        <v>290.36</v>
      </c>
      <c r="S42" s="1">
        <v>15.62</v>
      </c>
      <c r="T42" s="2">
        <f t="shared" si="21"/>
        <v>4.4277068990000001E-2</v>
      </c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  <c r="BJ42" s="2"/>
      <c r="BM42" s="2"/>
    </row>
    <row r="43" spans="5:65" x14ac:dyDescent="0.2">
      <c r="E43" s="2"/>
      <c r="H43" s="2"/>
      <c r="K43" s="2"/>
      <c r="N43" s="2"/>
      <c r="Q43" s="2"/>
      <c r="R43" s="1">
        <v>357.21</v>
      </c>
      <c r="S43" s="1">
        <v>18.52</v>
      </c>
      <c r="T43" s="2">
        <f t="shared" si="21"/>
        <v>7.6574750489999982E-2</v>
      </c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  <c r="BJ43" s="2"/>
      <c r="BM43" s="2"/>
    </row>
    <row r="44" spans="5:65" x14ac:dyDescent="0.2">
      <c r="E44" s="2"/>
      <c r="H44" s="2"/>
      <c r="K44" s="2"/>
      <c r="N44" s="2"/>
      <c r="Q44" s="2"/>
      <c r="R44" s="1">
        <v>285.11</v>
      </c>
      <c r="S44" s="1">
        <v>18.440000000000001</v>
      </c>
      <c r="T44" s="2">
        <f t="shared" si="21"/>
        <v>6.0591862310000015E-2</v>
      </c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  <c r="BJ44" s="2"/>
      <c r="BM44" s="2"/>
    </row>
    <row r="45" spans="5:65" x14ac:dyDescent="0.2">
      <c r="E45" s="2"/>
      <c r="H45" s="2"/>
      <c r="K45" s="2"/>
      <c r="N45" s="2"/>
      <c r="Q45" s="2"/>
      <c r="R45" s="1">
        <v>423.46</v>
      </c>
      <c r="S45" s="1">
        <v>26.06</v>
      </c>
      <c r="T45" s="2">
        <f t="shared" si="21"/>
        <v>0.17973854978500001</v>
      </c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  <c r="BJ45" s="2"/>
      <c r="BM45" s="2"/>
    </row>
    <row r="46" spans="5:65" x14ac:dyDescent="0.2">
      <c r="E46" s="2"/>
      <c r="H46" s="2"/>
      <c r="K46" s="2"/>
      <c r="N46" s="2"/>
      <c r="Q46" s="2"/>
      <c r="R46" s="1">
        <v>312.52999999999997</v>
      </c>
      <c r="S46" s="1">
        <v>20</v>
      </c>
      <c r="T46" s="2">
        <f t="shared" si="21"/>
        <v>7.8132499999999994E-2</v>
      </c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  <c r="BJ46" s="2"/>
      <c r="BM46" s="2"/>
    </row>
    <row r="47" spans="5:65" x14ac:dyDescent="0.2">
      <c r="E47" s="2"/>
      <c r="H47" s="2"/>
      <c r="K47" s="2"/>
      <c r="N47" s="2"/>
      <c r="Q47" s="2"/>
      <c r="R47" s="1">
        <v>268.77999999999997</v>
      </c>
      <c r="S47" s="1">
        <v>17.11</v>
      </c>
      <c r="T47" s="2">
        <f t="shared" si="21"/>
        <v>4.9178693398749994E-2</v>
      </c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  <c r="BJ47" s="2"/>
      <c r="BM47" s="2"/>
    </row>
    <row r="48" spans="5:65" x14ac:dyDescent="0.2">
      <c r="E48" s="2"/>
      <c r="H48" s="2"/>
      <c r="K48" s="2"/>
      <c r="N48" s="2"/>
      <c r="Q48" s="2"/>
      <c r="R48" s="1">
        <v>306.64</v>
      </c>
      <c r="S48" s="1">
        <v>17.29</v>
      </c>
      <c r="T48" s="2">
        <f t="shared" si="21"/>
        <v>5.7292636764999995E-2</v>
      </c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  <c r="BJ48" s="2"/>
      <c r="BM48" s="2"/>
    </row>
    <row r="49" spans="5:65" x14ac:dyDescent="0.2">
      <c r="E49" s="2"/>
      <c r="H49" s="2"/>
      <c r="K49" s="2"/>
      <c r="N49" s="2"/>
      <c r="Q49" s="2"/>
      <c r="R49" s="1">
        <v>380.15</v>
      </c>
      <c r="S49" s="1">
        <v>25.48</v>
      </c>
      <c r="T49" s="2">
        <f t="shared" si="21"/>
        <v>0.15425308535000001</v>
      </c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  <c r="BJ49" s="2"/>
      <c r="BM49" s="2"/>
    </row>
    <row r="50" spans="5:65" x14ac:dyDescent="0.2">
      <c r="E50" s="2"/>
      <c r="H50" s="2"/>
      <c r="K50" s="2"/>
      <c r="N50" s="2"/>
      <c r="Q50" s="2"/>
      <c r="R50" s="1">
        <v>325.42</v>
      </c>
      <c r="S50" s="1">
        <v>18.260000000000002</v>
      </c>
      <c r="T50" s="2">
        <f t="shared" si="21"/>
        <v>6.7815005995000024E-2</v>
      </c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  <c r="BJ50" s="2"/>
      <c r="BM50" s="2"/>
    </row>
    <row r="51" spans="5:65" x14ac:dyDescent="0.2">
      <c r="E51" s="2"/>
      <c r="H51" s="2"/>
      <c r="K51" s="2"/>
      <c r="N51" s="2"/>
      <c r="Q51" s="2"/>
      <c r="R51" s="1">
        <v>331.68</v>
      </c>
      <c r="S51" s="1">
        <v>23.27</v>
      </c>
      <c r="T51" s="2">
        <f t="shared" si="21"/>
        <v>0.11225147816999999</v>
      </c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  <c r="BJ51" s="2"/>
      <c r="BM51" s="2"/>
    </row>
    <row r="52" spans="5:65" x14ac:dyDescent="0.2">
      <c r="E52" s="2"/>
      <c r="H52" s="2"/>
      <c r="K52" s="2"/>
      <c r="N52" s="2"/>
      <c r="Q52" s="2"/>
      <c r="R52" s="1">
        <v>449.42</v>
      </c>
      <c r="S52" s="1">
        <v>24.71</v>
      </c>
      <c r="T52" s="2">
        <f t="shared" si="21"/>
        <v>0.17150544138875001</v>
      </c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  <c r="BJ52" s="2"/>
      <c r="BM52" s="2"/>
    </row>
    <row r="53" spans="5:65" x14ac:dyDescent="0.2">
      <c r="E53" s="2"/>
      <c r="H53" s="2"/>
      <c r="K53" s="2"/>
      <c r="N53" s="2"/>
      <c r="Q53" s="2"/>
      <c r="R53" s="1">
        <v>347.76</v>
      </c>
      <c r="S53" s="1">
        <v>20.79</v>
      </c>
      <c r="T53" s="2">
        <f t="shared" si="21"/>
        <v>9.394390813499999E-2</v>
      </c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  <c r="BJ53" s="2"/>
      <c r="BM53" s="2"/>
    </row>
    <row r="54" spans="5:65" x14ac:dyDescent="0.2">
      <c r="E54" s="2"/>
      <c r="H54" s="2"/>
      <c r="K54" s="2"/>
      <c r="N54" s="2"/>
      <c r="Q54" s="2"/>
      <c r="R54" s="1">
        <v>180.19</v>
      </c>
      <c r="S54" s="1">
        <v>21.68</v>
      </c>
      <c r="T54" s="2">
        <f t="shared" si="21"/>
        <v>5.2933335159999997E-2</v>
      </c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  <c r="BJ54" s="2"/>
      <c r="BM54" s="2"/>
    </row>
    <row r="55" spans="5:65" x14ac:dyDescent="0.2">
      <c r="E55" s="2"/>
      <c r="H55" s="2"/>
      <c r="K55" s="2"/>
      <c r="N55" s="2"/>
      <c r="Q55" s="2"/>
      <c r="R55" s="1">
        <v>231.34</v>
      </c>
      <c r="S55" s="1">
        <v>16.78</v>
      </c>
      <c r="T55" s="2">
        <f t="shared" si="21"/>
        <v>4.0711271035000003E-2</v>
      </c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  <c r="BJ55" s="2"/>
      <c r="BM55" s="2"/>
    </row>
    <row r="56" spans="5:65" x14ac:dyDescent="0.2">
      <c r="E56" s="2"/>
      <c r="H56" s="2"/>
      <c r="K56" s="2"/>
      <c r="N56" s="2"/>
      <c r="Q56" s="2"/>
      <c r="R56" s="1">
        <v>343.95</v>
      </c>
      <c r="S56" s="1">
        <v>20.100000000000001</v>
      </c>
      <c r="T56" s="2">
        <f t="shared" si="21"/>
        <v>8.6849524687500013E-2</v>
      </c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  <c r="BJ56" s="2"/>
      <c r="BM56" s="2"/>
    </row>
    <row r="57" spans="5:65" x14ac:dyDescent="0.2">
      <c r="E57" s="2"/>
      <c r="H57" s="2"/>
      <c r="K57" s="2"/>
      <c r="N57" s="2"/>
      <c r="Q57" s="2"/>
      <c r="R57" s="1">
        <v>304.52999999999997</v>
      </c>
      <c r="S57" s="1">
        <v>16.25</v>
      </c>
      <c r="T57" s="2">
        <f t="shared" si="21"/>
        <v>5.0259345703124993E-2</v>
      </c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  <c r="BJ57" s="2"/>
      <c r="BM57" s="2"/>
    </row>
    <row r="58" spans="5:65" x14ac:dyDescent="0.2">
      <c r="E58" s="2"/>
      <c r="H58" s="2"/>
      <c r="K58" s="2"/>
      <c r="N58" s="2"/>
      <c r="Q58" s="2"/>
      <c r="R58" s="1">
        <v>322.77999999999997</v>
      </c>
      <c r="S58" s="1">
        <v>19.87</v>
      </c>
      <c r="T58" s="2">
        <f t="shared" si="21"/>
        <v>7.9649374363749997E-2</v>
      </c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  <c r="BJ58" s="2"/>
      <c r="BM58" s="2"/>
    </row>
    <row r="59" spans="5:65" x14ac:dyDescent="0.2">
      <c r="E59" s="2"/>
      <c r="H59" s="2"/>
      <c r="K59" s="2"/>
      <c r="N59" s="2"/>
      <c r="Q59" s="2"/>
      <c r="R59" s="1">
        <v>268.88</v>
      </c>
      <c r="S59" s="1">
        <v>15.45</v>
      </c>
      <c r="T59" s="2">
        <f t="shared" si="21"/>
        <v>4.0113955124999996E-2</v>
      </c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  <c r="BJ59" s="2"/>
      <c r="BM59" s="2"/>
    </row>
    <row r="60" spans="5:65" x14ac:dyDescent="0.2">
      <c r="E60" s="2"/>
      <c r="H60" s="2"/>
      <c r="K60" s="2"/>
      <c r="N60" s="2"/>
      <c r="Q60" s="2"/>
      <c r="R60" s="1">
        <v>321.38</v>
      </c>
      <c r="S60" s="1">
        <v>20.73</v>
      </c>
      <c r="T60" s="2">
        <f t="shared" si="21"/>
        <v>8.6317224626250008E-2</v>
      </c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  <c r="BJ60" s="2"/>
      <c r="BM60" s="2"/>
    </row>
    <row r="61" spans="5:65" x14ac:dyDescent="0.2">
      <c r="E61" s="2"/>
      <c r="H61" s="2"/>
      <c r="K61" s="2"/>
      <c r="N61" s="2"/>
      <c r="Q61" s="2"/>
      <c r="R61" s="1">
        <v>209.86</v>
      </c>
      <c r="S61" s="1">
        <v>15.68</v>
      </c>
      <c r="T61" s="2">
        <f t="shared" si="21"/>
        <v>3.2247927039999999E-2</v>
      </c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  <c r="BJ61" s="2"/>
      <c r="BM61" s="2"/>
    </row>
    <row r="62" spans="5:65" x14ac:dyDescent="0.2">
      <c r="E62" s="2"/>
      <c r="H62" s="2"/>
      <c r="K62" s="2"/>
      <c r="N62" s="2"/>
      <c r="Q62" s="2"/>
      <c r="R62" s="1">
        <v>227.87</v>
      </c>
      <c r="S62" s="1">
        <v>15.68</v>
      </c>
      <c r="T62" s="2">
        <f t="shared" si="21"/>
        <v>3.5015415680000002E-2</v>
      </c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  <c r="BJ62" s="2"/>
      <c r="BM62" s="2"/>
    </row>
    <row r="63" spans="5:65" x14ac:dyDescent="0.2">
      <c r="E63" s="2"/>
      <c r="H63" s="2"/>
      <c r="K63" s="2"/>
      <c r="N63" s="2"/>
      <c r="Q63" s="2"/>
      <c r="R63" s="1">
        <v>298.77</v>
      </c>
      <c r="S63" s="1">
        <v>19.34</v>
      </c>
      <c r="T63" s="2">
        <f t="shared" si="21"/>
        <v>6.9844135132499999E-2</v>
      </c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  <c r="BJ63" s="2"/>
      <c r="BM63" s="2"/>
    </row>
    <row r="64" spans="5:65" x14ac:dyDescent="0.2">
      <c r="E64" s="2"/>
      <c r="H64" s="2"/>
      <c r="K64" s="2"/>
      <c r="N64" s="2"/>
      <c r="Q64" s="2"/>
      <c r="R64" s="1">
        <v>330.24</v>
      </c>
      <c r="S64" s="1">
        <v>18.96</v>
      </c>
      <c r="T64" s="2">
        <f t="shared" si="21"/>
        <v>7.4197002240000004E-2</v>
      </c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  <c r="BJ64" s="2"/>
      <c r="BM64" s="2"/>
    </row>
    <row r="65" spans="5:65" x14ac:dyDescent="0.2">
      <c r="E65" s="2"/>
      <c r="H65" s="2"/>
      <c r="K65" s="2"/>
      <c r="N65" s="2"/>
      <c r="Q65" s="2"/>
      <c r="R65" s="1">
        <v>445.77</v>
      </c>
      <c r="S65" s="1">
        <v>29.28</v>
      </c>
      <c r="T65" s="2">
        <f t="shared" si="21"/>
        <v>0.23885426448000002</v>
      </c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  <c r="BJ65" s="2"/>
      <c r="BM65" s="2"/>
    </row>
    <row r="66" spans="5:65" x14ac:dyDescent="0.2">
      <c r="E66" s="2"/>
      <c r="H66" s="2"/>
      <c r="K66" s="2"/>
      <c r="N66" s="2"/>
      <c r="Q66" s="2"/>
      <c r="R66" s="1">
        <v>225.07</v>
      </c>
      <c r="S66" s="1">
        <v>15.01</v>
      </c>
      <c r="T66" s="2">
        <f t="shared" si="21"/>
        <v>3.1692683441874994E-2</v>
      </c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  <c r="BJ66" s="2"/>
      <c r="BM66" s="2"/>
    </row>
    <row r="67" spans="5:65" x14ac:dyDescent="0.2">
      <c r="E67" s="2"/>
      <c r="H67" s="2"/>
      <c r="K67" s="2"/>
      <c r="N67" s="2"/>
      <c r="Q67" s="2"/>
      <c r="R67" s="1">
        <v>338.45</v>
      </c>
      <c r="S67" s="1">
        <v>19.170000000000002</v>
      </c>
      <c r="T67" s="2">
        <f t="shared" si="21"/>
        <v>7.7735386378125007E-2</v>
      </c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  <c r="BJ67" s="2"/>
      <c r="BM67" s="2"/>
    </row>
    <row r="68" spans="5:65" x14ac:dyDescent="0.2">
      <c r="E68" s="2"/>
      <c r="H68" s="2"/>
      <c r="K68" s="2"/>
      <c r="N68" s="2"/>
      <c r="Q68" s="2"/>
      <c r="R68" s="1">
        <v>263.64</v>
      </c>
      <c r="S68" s="1">
        <v>14.4</v>
      </c>
      <c r="T68" s="2">
        <f t="shared" si="21"/>
        <v>3.4167744E-2</v>
      </c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  <c r="BJ68" s="2"/>
      <c r="BM68" s="2"/>
    </row>
    <row r="69" spans="5:65" x14ac:dyDescent="0.2">
      <c r="E69" s="2"/>
      <c r="H69" s="2"/>
      <c r="K69" s="2"/>
      <c r="N69" s="2"/>
      <c r="Q69" s="2"/>
      <c r="R69" s="1">
        <v>253.23</v>
      </c>
      <c r="S69" s="1">
        <v>22.62</v>
      </c>
      <c r="T69" s="2">
        <f t="shared" si="21"/>
        <v>8.0980485007500005E-2</v>
      </c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  <c r="BJ69" s="2"/>
      <c r="BM69" s="2"/>
    </row>
    <row r="70" spans="5:65" x14ac:dyDescent="0.2">
      <c r="E70" s="2"/>
      <c r="H70" s="2"/>
      <c r="K70" s="2"/>
      <c r="N70" s="2"/>
      <c r="Q70" s="2"/>
      <c r="R70" s="1">
        <v>225.43</v>
      </c>
      <c r="S70" s="1">
        <v>24.44</v>
      </c>
      <c r="T70" s="2">
        <f t="shared" ref="T70:T101" si="22">(R70*S70*S70)/1600000</f>
        <v>8.4157753030000004E-2</v>
      </c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  <c r="BJ70" s="2"/>
      <c r="BM70" s="2"/>
    </row>
    <row r="71" spans="5:65" x14ac:dyDescent="0.2">
      <c r="E71" s="2"/>
      <c r="H71" s="2"/>
      <c r="K71" s="2"/>
      <c r="N71" s="2"/>
      <c r="Q71" s="2"/>
      <c r="R71" s="1">
        <v>302.16000000000003</v>
      </c>
      <c r="S71" s="1">
        <v>21.6</v>
      </c>
      <c r="T71" s="2">
        <f t="shared" si="22"/>
        <v>8.8109856000000014E-2</v>
      </c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  <c r="BJ71" s="2"/>
      <c r="BM71" s="2"/>
    </row>
    <row r="72" spans="5:65" x14ac:dyDescent="0.2">
      <c r="E72" s="2"/>
      <c r="H72" s="2"/>
      <c r="K72" s="2"/>
      <c r="N72" s="2"/>
      <c r="Q72" s="2"/>
      <c r="R72" s="1">
        <v>327.26</v>
      </c>
      <c r="S72" s="1">
        <v>17.48</v>
      </c>
      <c r="T72" s="2">
        <f t="shared" si="22"/>
        <v>6.2496514939999998E-2</v>
      </c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  <c r="BJ72" s="2"/>
      <c r="BM72" s="2"/>
    </row>
    <row r="73" spans="5:65" x14ac:dyDescent="0.2">
      <c r="E73" s="2"/>
      <c r="H73" s="2"/>
      <c r="K73" s="2"/>
      <c r="N73" s="2"/>
      <c r="Q73" s="2"/>
      <c r="R73" s="1">
        <v>238.04</v>
      </c>
      <c r="S73" s="1">
        <v>12.42</v>
      </c>
      <c r="T73" s="2">
        <f t="shared" si="22"/>
        <v>2.2949495909999999E-2</v>
      </c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  <c r="BJ73" s="2"/>
      <c r="BM73" s="2"/>
    </row>
    <row r="74" spans="5:65" x14ac:dyDescent="0.2">
      <c r="E74" s="2"/>
      <c r="H74" s="2"/>
      <c r="K74" s="2"/>
      <c r="N74" s="2"/>
      <c r="Q74" s="2"/>
      <c r="R74" s="1">
        <v>252.01</v>
      </c>
      <c r="S74" s="1">
        <v>14.3</v>
      </c>
      <c r="T74" s="2">
        <f t="shared" si="22"/>
        <v>3.2208453062500003E-2</v>
      </c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  <c r="BJ74" s="2"/>
      <c r="BM74" s="2"/>
    </row>
    <row r="75" spans="5:65" x14ac:dyDescent="0.2">
      <c r="E75" s="2"/>
      <c r="H75" s="2"/>
      <c r="K75" s="2"/>
      <c r="N75" s="2"/>
      <c r="Q75" s="2"/>
      <c r="R75" s="1">
        <v>361.65</v>
      </c>
      <c r="S75" s="1">
        <v>18.510000000000002</v>
      </c>
      <c r="T75" s="2">
        <f t="shared" si="22"/>
        <v>7.7442849478125006E-2</v>
      </c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  <c r="BJ75" s="2"/>
      <c r="BM75" s="2"/>
    </row>
    <row r="76" spans="5:65" x14ac:dyDescent="0.2">
      <c r="E76" s="2"/>
      <c r="H76" s="2"/>
      <c r="K76" s="2"/>
      <c r="N76" s="2"/>
      <c r="Q76" s="2"/>
      <c r="R76" s="1">
        <v>312.79000000000002</v>
      </c>
      <c r="S76" s="1">
        <v>18.8</v>
      </c>
      <c r="T76" s="2">
        <f t="shared" si="22"/>
        <v>6.9095311000000006E-2</v>
      </c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  <c r="BJ76" s="2"/>
      <c r="BM76" s="2"/>
    </row>
    <row r="77" spans="5:65" x14ac:dyDescent="0.2">
      <c r="E77" s="2"/>
      <c r="H77" s="2"/>
      <c r="K77" s="2"/>
      <c r="N77" s="2"/>
      <c r="Q77" s="2"/>
      <c r="R77" s="1">
        <v>219.97</v>
      </c>
      <c r="S77" s="1">
        <v>17.100000000000001</v>
      </c>
      <c r="T77" s="2">
        <f t="shared" si="22"/>
        <v>4.0200892312500007E-2</v>
      </c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  <c r="BJ77" s="2"/>
      <c r="BM77" s="2"/>
    </row>
    <row r="78" spans="5:65" x14ac:dyDescent="0.2">
      <c r="E78" s="2"/>
      <c r="H78" s="2"/>
      <c r="K78" s="2"/>
      <c r="N78" s="2"/>
      <c r="Q78" s="2"/>
      <c r="R78" s="1">
        <v>255.8</v>
      </c>
      <c r="S78" s="1">
        <v>15.27</v>
      </c>
      <c r="T78" s="2">
        <f t="shared" si="22"/>
        <v>3.7278517387500001E-2</v>
      </c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  <c r="BJ78" s="2"/>
      <c r="BM78" s="2"/>
    </row>
    <row r="79" spans="5:65" x14ac:dyDescent="0.2">
      <c r="E79" s="2"/>
      <c r="H79" s="2"/>
      <c r="K79" s="2"/>
      <c r="N79" s="2"/>
      <c r="Q79" s="2"/>
      <c r="R79" s="1">
        <v>336.04</v>
      </c>
      <c r="S79" s="1">
        <v>16.22</v>
      </c>
      <c r="T79" s="2">
        <f t="shared" si="22"/>
        <v>5.525514120999999E-2</v>
      </c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  <c r="BJ79" s="2"/>
      <c r="BM79" s="2"/>
    </row>
    <row r="80" spans="5:65" x14ac:dyDescent="0.2">
      <c r="E80" s="2"/>
      <c r="H80" s="2"/>
      <c r="K80" s="2"/>
      <c r="N80" s="2"/>
      <c r="Q80" s="2"/>
      <c r="R80" s="1">
        <v>225.95</v>
      </c>
      <c r="S80" s="1">
        <v>11.3</v>
      </c>
      <c r="T80" s="2">
        <f t="shared" si="22"/>
        <v>1.8032222187500002E-2</v>
      </c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  <c r="BJ80" s="2"/>
      <c r="BM80" s="2"/>
    </row>
    <row r="81" spans="5:65" x14ac:dyDescent="0.2">
      <c r="E81" s="2"/>
      <c r="H81" s="2"/>
      <c r="K81" s="2"/>
      <c r="N81" s="2"/>
      <c r="Q81" s="2"/>
      <c r="R81" s="1">
        <v>318.3</v>
      </c>
      <c r="S81" s="1">
        <v>19.239999999999998</v>
      </c>
      <c r="T81" s="2">
        <f t="shared" si="22"/>
        <v>7.3642206299999985E-2</v>
      </c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  <c r="BJ81" s="2"/>
      <c r="BM81" s="2"/>
    </row>
    <row r="82" spans="5:65" x14ac:dyDescent="0.2">
      <c r="E82" s="2"/>
      <c r="H82" s="2"/>
      <c r="K82" s="2"/>
      <c r="N82" s="2"/>
      <c r="Q82" s="2"/>
      <c r="R82" s="1">
        <v>400.86</v>
      </c>
      <c r="S82" s="1">
        <v>17.16</v>
      </c>
      <c r="T82" s="2">
        <f t="shared" si="22"/>
        <v>7.3774675260000006E-2</v>
      </c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  <c r="BJ82" s="2"/>
      <c r="BM82" s="2"/>
    </row>
    <row r="83" spans="5:65" x14ac:dyDescent="0.2">
      <c r="E83" s="2"/>
      <c r="H83" s="2"/>
      <c r="K83" s="2"/>
      <c r="N83" s="2"/>
      <c r="Q83" s="2"/>
      <c r="R83" s="1">
        <v>273</v>
      </c>
      <c r="S83" s="1">
        <v>12.83</v>
      </c>
      <c r="T83" s="2">
        <f t="shared" si="22"/>
        <v>2.8086393562500003E-2</v>
      </c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  <c r="BJ83" s="2"/>
      <c r="BM83" s="2"/>
    </row>
    <row r="84" spans="5:65" x14ac:dyDescent="0.2">
      <c r="E84" s="2"/>
      <c r="H84" s="2"/>
      <c r="K84" s="2"/>
      <c r="N84" s="2"/>
      <c r="Q84" s="2"/>
      <c r="R84" s="1">
        <v>227.33</v>
      </c>
      <c r="S84" s="1">
        <v>19.34</v>
      </c>
      <c r="T84" s="2">
        <f t="shared" si="22"/>
        <v>5.3143445592500005E-2</v>
      </c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  <c r="BJ84" s="2"/>
      <c r="BM84" s="2"/>
    </row>
    <row r="85" spans="5:65" x14ac:dyDescent="0.2">
      <c r="E85" s="2"/>
      <c r="H85" s="2"/>
      <c r="K85" s="2"/>
      <c r="N85" s="2"/>
      <c r="Q85" s="2"/>
      <c r="R85" s="1">
        <v>293.49</v>
      </c>
      <c r="S85" s="1">
        <v>15.8</v>
      </c>
      <c r="T85" s="2">
        <f t="shared" si="22"/>
        <v>4.5791777250000013E-2</v>
      </c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  <c r="BJ85" s="2"/>
      <c r="BM85" s="2"/>
    </row>
    <row r="86" spans="5:65" x14ac:dyDescent="0.2">
      <c r="E86" s="2"/>
      <c r="H86" s="2"/>
      <c r="K86" s="2"/>
      <c r="N86" s="2"/>
      <c r="Q86" s="2"/>
      <c r="R86" s="1">
        <v>307.72000000000003</v>
      </c>
      <c r="S86" s="1">
        <v>14.87</v>
      </c>
      <c r="T86" s="2">
        <f t="shared" si="22"/>
        <v>4.2526307792500002E-2</v>
      </c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  <c r="BJ86" s="2"/>
      <c r="BM86" s="2"/>
    </row>
    <row r="87" spans="5:65" x14ac:dyDescent="0.2">
      <c r="E87" s="2"/>
      <c r="H87" s="2"/>
      <c r="K87" s="2"/>
      <c r="N87" s="2"/>
      <c r="Q87" s="2"/>
      <c r="R87" s="1">
        <v>244.52</v>
      </c>
      <c r="S87" s="1">
        <v>21.53</v>
      </c>
      <c r="T87" s="2">
        <f t="shared" si="22"/>
        <v>7.0840638042500015E-2</v>
      </c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  <c r="BJ87" s="2"/>
      <c r="BM87" s="2"/>
    </row>
    <row r="88" spans="5:65" x14ac:dyDescent="0.2">
      <c r="E88" s="2"/>
      <c r="H88" s="2"/>
      <c r="K88" s="2"/>
      <c r="N88" s="2"/>
      <c r="Q88" s="2"/>
      <c r="R88" s="1">
        <v>419.34</v>
      </c>
      <c r="S88" s="1">
        <v>22.46</v>
      </c>
      <c r="T88" s="2">
        <f t="shared" si="22"/>
        <v>0.13221045871499998</v>
      </c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  <c r="BJ88" s="2"/>
      <c r="BM88" s="2"/>
    </row>
    <row r="89" spans="5:65" x14ac:dyDescent="0.2">
      <c r="E89" s="2"/>
      <c r="H89" s="2"/>
      <c r="K89" s="2"/>
      <c r="N89" s="2"/>
      <c r="Q89" s="2"/>
      <c r="R89" s="1">
        <v>298.26</v>
      </c>
      <c r="S89" s="1">
        <v>12.56</v>
      </c>
      <c r="T89" s="2">
        <f t="shared" si="22"/>
        <v>2.940724296E-2</v>
      </c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  <c r="BJ89" s="2"/>
      <c r="BM89" s="2"/>
    </row>
    <row r="90" spans="5:65" x14ac:dyDescent="0.2">
      <c r="E90" s="2"/>
      <c r="H90" s="2"/>
      <c r="K90" s="2"/>
      <c r="N90" s="2"/>
      <c r="Q90" s="2"/>
      <c r="R90" s="1">
        <v>224.65</v>
      </c>
      <c r="S90" s="1">
        <v>23.46</v>
      </c>
      <c r="T90" s="2">
        <f t="shared" si="22"/>
        <v>7.7275612462500018E-2</v>
      </c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  <c r="BJ90" s="2"/>
      <c r="BM90" s="2"/>
    </row>
    <row r="91" spans="5:65" x14ac:dyDescent="0.2">
      <c r="E91" s="2"/>
      <c r="H91" s="2"/>
      <c r="K91" s="2"/>
      <c r="N91" s="2"/>
      <c r="Q91" s="2"/>
      <c r="R91" s="1">
        <v>439.69</v>
      </c>
      <c r="S91" s="1">
        <v>22.75</v>
      </c>
      <c r="T91" s="2">
        <f t="shared" si="22"/>
        <v>0.14222940976562501</v>
      </c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  <c r="BJ91" s="2"/>
      <c r="BM91" s="2"/>
    </row>
    <row r="92" spans="5:65" x14ac:dyDescent="0.2">
      <c r="E92" s="2"/>
      <c r="H92" s="2"/>
      <c r="K92" s="2"/>
      <c r="N92" s="2"/>
      <c r="Q92" s="2"/>
      <c r="R92" s="1">
        <v>333.88</v>
      </c>
      <c r="S92" s="1">
        <v>17.11</v>
      </c>
      <c r="T92" s="2">
        <f t="shared" si="22"/>
        <v>6.1090044467499993E-2</v>
      </c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  <c r="BJ92" s="2"/>
      <c r="BM92" s="2"/>
    </row>
    <row r="93" spans="5:65" x14ac:dyDescent="0.2">
      <c r="E93" s="2"/>
      <c r="H93" s="2"/>
      <c r="K93" s="2"/>
      <c r="N93" s="2"/>
      <c r="Q93" s="2"/>
      <c r="R93" s="1">
        <v>222</v>
      </c>
      <c r="S93" s="1">
        <v>13.43</v>
      </c>
      <c r="T93" s="2">
        <f t="shared" si="22"/>
        <v>2.5025629875E-2</v>
      </c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  <c r="BJ93" s="2"/>
      <c r="BM93" s="2"/>
    </row>
    <row r="94" spans="5:65" x14ac:dyDescent="0.2">
      <c r="E94" s="2"/>
      <c r="H94" s="2"/>
      <c r="K94" s="2"/>
      <c r="N94" s="2"/>
      <c r="Q94" s="2"/>
      <c r="R94" s="1">
        <v>289.04000000000002</v>
      </c>
      <c r="S94" s="1">
        <v>10.99</v>
      </c>
      <c r="T94" s="2">
        <f t="shared" si="22"/>
        <v>2.1818925065000005E-2</v>
      </c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  <c r="BJ94" s="2"/>
      <c r="BM94" s="2"/>
    </row>
    <row r="95" spans="5:65" x14ac:dyDescent="0.2">
      <c r="E95" s="2"/>
      <c r="H95" s="2"/>
      <c r="K95" s="2"/>
      <c r="N95" s="2"/>
      <c r="Q95" s="2"/>
      <c r="R95" s="1">
        <v>254.92</v>
      </c>
      <c r="S95" s="1">
        <v>21.45</v>
      </c>
      <c r="T95" s="2">
        <f t="shared" si="22"/>
        <v>7.3305830812499986E-2</v>
      </c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  <c r="BJ95" s="2"/>
      <c r="BM95" s="2"/>
    </row>
    <row r="96" spans="5:65" x14ac:dyDescent="0.2">
      <c r="E96" s="2"/>
      <c r="H96" s="2"/>
      <c r="K96" s="2"/>
      <c r="N96" s="2"/>
      <c r="Q96" s="2"/>
      <c r="R96" s="1">
        <v>302.69</v>
      </c>
      <c r="S96" s="1">
        <v>17</v>
      </c>
      <c r="T96" s="2">
        <f t="shared" si="22"/>
        <v>5.4673381249999993E-2</v>
      </c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  <c r="BJ96" s="2"/>
      <c r="BM96" s="2"/>
    </row>
    <row r="97" spans="5:65" x14ac:dyDescent="0.2">
      <c r="E97" s="2"/>
      <c r="H97" s="2"/>
      <c r="K97" s="2"/>
      <c r="N97" s="2"/>
      <c r="Q97" s="2"/>
      <c r="R97" s="1">
        <v>344.44</v>
      </c>
      <c r="S97" s="1">
        <v>21.21</v>
      </c>
      <c r="T97" s="2">
        <f t="shared" si="22"/>
        <v>9.68444941275E-2</v>
      </c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  <c r="BJ97" s="2"/>
      <c r="BM97" s="2"/>
    </row>
    <row r="98" spans="5:65" x14ac:dyDescent="0.2">
      <c r="E98" s="2"/>
      <c r="H98" s="2"/>
      <c r="K98" s="2"/>
      <c r="N98" s="2"/>
      <c r="Q98" s="2"/>
      <c r="R98" s="1">
        <v>469.61</v>
      </c>
      <c r="S98" s="1">
        <v>23.09</v>
      </c>
      <c r="T98" s="2">
        <f t="shared" si="22"/>
        <v>0.15648229952562501</v>
      </c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  <c r="BJ98" s="2"/>
      <c r="BM98" s="2"/>
    </row>
    <row r="99" spans="5:65" x14ac:dyDescent="0.2">
      <c r="E99" s="2"/>
      <c r="H99" s="2"/>
      <c r="K99" s="2"/>
      <c r="N99" s="2"/>
      <c r="Q99" s="2"/>
      <c r="R99" s="1">
        <v>309.12</v>
      </c>
      <c r="S99" s="1">
        <v>17.36</v>
      </c>
      <c r="T99" s="2">
        <f t="shared" si="22"/>
        <v>5.8224606719999995E-2</v>
      </c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  <c r="BJ99" s="2"/>
      <c r="BM99" s="2"/>
    </row>
    <row r="100" spans="5:65" x14ac:dyDescent="0.2">
      <c r="E100" s="2"/>
      <c r="H100" s="2"/>
      <c r="K100" s="2"/>
      <c r="N100" s="2"/>
      <c r="Q100" s="2"/>
      <c r="R100" s="1">
        <v>356.99</v>
      </c>
      <c r="S100" s="1">
        <v>26.86</v>
      </c>
      <c r="T100" s="2">
        <f t="shared" si="22"/>
        <v>0.16097116412749998</v>
      </c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  <c r="BJ100" s="2"/>
      <c r="BM100" s="2"/>
    </row>
    <row r="101" spans="5:65" x14ac:dyDescent="0.2">
      <c r="E101" s="2"/>
      <c r="H101" s="2"/>
      <c r="K101" s="2"/>
      <c r="N101" s="2"/>
      <c r="Q101" s="2"/>
      <c r="R101" s="1">
        <v>283</v>
      </c>
      <c r="S101" s="1">
        <v>16.510000000000002</v>
      </c>
      <c r="T101" s="2">
        <f t="shared" si="22"/>
        <v>4.8212605187500014E-2</v>
      </c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  <c r="BJ101" s="2"/>
      <c r="BM101" s="2"/>
    </row>
    <row r="102" spans="5:65" x14ac:dyDescent="0.2">
      <c r="E102" s="2"/>
      <c r="H102" s="2"/>
      <c r="K102" s="2"/>
      <c r="N102" s="2"/>
      <c r="Q102" s="2"/>
      <c r="R102" s="1">
        <v>305.04000000000002</v>
      </c>
      <c r="S102" s="1">
        <v>18.829999999999998</v>
      </c>
      <c r="T102" s="2">
        <f t="shared" ref="T102:T124" si="23">(R102*S102*S102)/1600000</f>
        <v>6.7598560784999984E-2</v>
      </c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  <c r="BJ102" s="2"/>
      <c r="BM102" s="2"/>
    </row>
    <row r="103" spans="5:65" x14ac:dyDescent="0.2">
      <c r="E103" s="2"/>
      <c r="H103" s="2"/>
      <c r="K103" s="2"/>
      <c r="N103" s="2"/>
      <c r="Q103" s="2"/>
      <c r="R103" s="1">
        <v>352.47</v>
      </c>
      <c r="S103" s="1">
        <v>17.88</v>
      </c>
      <c r="T103" s="2">
        <f t="shared" si="23"/>
        <v>7.0426678229999998E-2</v>
      </c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  <c r="BJ103" s="2"/>
      <c r="BM103" s="2"/>
    </row>
    <row r="104" spans="5:65" x14ac:dyDescent="0.2">
      <c r="E104" s="2"/>
      <c r="H104" s="2"/>
      <c r="K104" s="2"/>
      <c r="N104" s="2"/>
      <c r="Q104" s="2"/>
      <c r="R104" s="1">
        <v>218.45</v>
      </c>
      <c r="S104" s="1">
        <v>14.97</v>
      </c>
      <c r="T104" s="2">
        <f t="shared" si="23"/>
        <v>3.0596776003124999E-2</v>
      </c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  <c r="BJ104" s="2"/>
      <c r="BM104" s="2"/>
    </row>
    <row r="105" spans="5:65" x14ac:dyDescent="0.2">
      <c r="E105" s="2"/>
      <c r="H105" s="2"/>
      <c r="K105" s="2"/>
      <c r="N105" s="2"/>
      <c r="Q105" s="2"/>
      <c r="R105" s="1">
        <v>440.98</v>
      </c>
      <c r="S105" s="1">
        <v>22.39</v>
      </c>
      <c r="T105" s="2">
        <f t="shared" si="23"/>
        <v>0.13816788116125001</v>
      </c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  <c r="BJ105" s="2"/>
      <c r="BM105" s="2"/>
    </row>
    <row r="106" spans="5:65" x14ac:dyDescent="0.2">
      <c r="E106" s="2"/>
      <c r="H106" s="2"/>
      <c r="K106" s="2"/>
      <c r="N106" s="2"/>
      <c r="Q106" s="2"/>
      <c r="R106" s="1">
        <v>324.29000000000002</v>
      </c>
      <c r="S106" s="1">
        <v>18.170000000000002</v>
      </c>
      <c r="T106" s="2">
        <f t="shared" si="23"/>
        <v>6.6914991738125013E-2</v>
      </c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  <c r="BJ106" s="2"/>
      <c r="BM106" s="2"/>
    </row>
    <row r="107" spans="5:65" x14ac:dyDescent="0.2">
      <c r="E107" s="2"/>
      <c r="H107" s="2"/>
      <c r="K107" s="2"/>
      <c r="N107" s="2"/>
      <c r="Q107" s="2"/>
      <c r="R107" s="1">
        <v>307</v>
      </c>
      <c r="S107" s="1">
        <v>20.04</v>
      </c>
      <c r="T107" s="2">
        <f t="shared" si="23"/>
        <v>7.7057306999999992E-2</v>
      </c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  <c r="BJ107" s="2"/>
      <c r="BM107" s="2"/>
    </row>
    <row r="108" spans="5:65" x14ac:dyDescent="0.2">
      <c r="E108" s="2"/>
      <c r="H108" s="2"/>
      <c r="K108" s="2"/>
      <c r="N108" s="2"/>
      <c r="Q108" s="2"/>
      <c r="R108" s="1">
        <v>289.74</v>
      </c>
      <c r="S108" s="1">
        <v>20.58</v>
      </c>
      <c r="T108" s="2">
        <f t="shared" si="23"/>
        <v>7.6697147834999993E-2</v>
      </c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  <c r="BJ108" s="2"/>
      <c r="BM108" s="2"/>
    </row>
    <row r="109" spans="5:65" x14ac:dyDescent="0.2">
      <c r="E109" s="2"/>
      <c r="H109" s="2"/>
      <c r="K109" s="2"/>
      <c r="N109" s="2"/>
      <c r="Q109" s="2"/>
      <c r="R109" s="1">
        <v>266.19</v>
      </c>
      <c r="S109" s="1">
        <v>15.85</v>
      </c>
      <c r="T109" s="2">
        <f t="shared" si="23"/>
        <v>4.1795573296874999E-2</v>
      </c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  <c r="BJ109" s="2"/>
      <c r="BM109" s="2"/>
    </row>
    <row r="110" spans="5:65" x14ac:dyDescent="0.2">
      <c r="E110" s="2"/>
      <c r="H110" s="2"/>
      <c r="K110" s="2"/>
      <c r="N110" s="2"/>
      <c r="Q110" s="2"/>
      <c r="R110" s="1">
        <v>338.72</v>
      </c>
      <c r="S110" s="1">
        <v>26.37</v>
      </c>
      <c r="T110" s="2">
        <f t="shared" si="23"/>
        <v>0.14721128973000003</v>
      </c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  <c r="BJ110" s="2"/>
      <c r="BM110" s="2"/>
    </row>
    <row r="111" spans="5:65" x14ac:dyDescent="0.2">
      <c r="E111" s="2"/>
      <c r="H111" s="2"/>
      <c r="K111" s="2"/>
      <c r="N111" s="2"/>
      <c r="Q111" s="2"/>
      <c r="R111" s="1">
        <v>435.4</v>
      </c>
      <c r="S111" s="1">
        <v>25.26</v>
      </c>
      <c r="T111" s="2">
        <f t="shared" si="23"/>
        <v>0.17363414564999999</v>
      </c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  <c r="BJ111" s="2"/>
      <c r="BM111" s="2"/>
    </row>
    <row r="112" spans="5:65" x14ac:dyDescent="0.2">
      <c r="E112" s="2"/>
      <c r="H112" s="2"/>
      <c r="K112" s="2"/>
      <c r="N112" s="2"/>
      <c r="Q112" s="2"/>
      <c r="R112" s="1">
        <v>348.74</v>
      </c>
      <c r="S112" s="1">
        <v>16.13</v>
      </c>
      <c r="T112" s="2">
        <f t="shared" si="23"/>
        <v>5.6708807566249998E-2</v>
      </c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  <c r="BJ112" s="2"/>
      <c r="BM112" s="2"/>
    </row>
    <row r="113" spans="5:65" x14ac:dyDescent="0.2">
      <c r="E113" s="2"/>
      <c r="H113" s="2"/>
      <c r="K113" s="2"/>
      <c r="N113" s="2"/>
      <c r="Q113" s="2"/>
      <c r="R113" s="1">
        <v>296.10000000000002</v>
      </c>
      <c r="S113" s="1">
        <v>17.079999999999998</v>
      </c>
      <c r="T113" s="2">
        <f t="shared" si="23"/>
        <v>5.3987616899999993E-2</v>
      </c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  <c r="BJ113" s="2"/>
      <c r="BM113" s="2"/>
    </row>
    <row r="114" spans="5:65" x14ac:dyDescent="0.2">
      <c r="E114" s="2"/>
      <c r="H114" s="2"/>
      <c r="K114" s="2"/>
      <c r="N114" s="2"/>
      <c r="Q114" s="2"/>
      <c r="R114" s="1">
        <v>296.05</v>
      </c>
      <c r="S114" s="1">
        <v>14.32</v>
      </c>
      <c r="T114" s="2">
        <f t="shared" si="23"/>
        <v>3.7942952200000005E-2</v>
      </c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  <c r="BJ114" s="2"/>
      <c r="BM114" s="2"/>
    </row>
    <row r="115" spans="5:65" x14ac:dyDescent="0.2">
      <c r="E115" s="2"/>
      <c r="H115" s="2"/>
      <c r="K115" s="2"/>
      <c r="N115" s="2"/>
      <c r="Q115" s="2"/>
      <c r="R115" s="1">
        <v>205.45</v>
      </c>
      <c r="S115" s="1">
        <v>11.12</v>
      </c>
      <c r="T115" s="2">
        <f t="shared" si="23"/>
        <v>1.5877997799999998E-2</v>
      </c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  <c r="BJ115" s="2"/>
      <c r="BM115" s="2"/>
    </row>
    <row r="116" spans="5:65" x14ac:dyDescent="0.2">
      <c r="E116" s="2"/>
      <c r="H116" s="2"/>
      <c r="K116" s="2"/>
      <c r="N116" s="2"/>
      <c r="Q116" s="2"/>
      <c r="R116" s="1">
        <v>271.07</v>
      </c>
      <c r="S116" s="1">
        <v>14.8</v>
      </c>
      <c r="T116" s="2">
        <f t="shared" si="23"/>
        <v>3.7109483000000006E-2</v>
      </c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  <c r="BJ116" s="2"/>
      <c r="BM116" s="2"/>
    </row>
    <row r="117" spans="5:65" x14ac:dyDescent="0.2">
      <c r="E117" s="2"/>
      <c r="H117" s="2"/>
      <c r="K117" s="2"/>
      <c r="N117" s="2"/>
      <c r="Q117" s="2"/>
      <c r="R117" s="1">
        <v>339.97</v>
      </c>
      <c r="S117" s="1">
        <v>17.78</v>
      </c>
      <c r="T117" s="2">
        <f t="shared" si="23"/>
        <v>6.7171357592500008E-2</v>
      </c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  <c r="BJ117" s="2"/>
      <c r="BM117" s="2"/>
    </row>
    <row r="118" spans="5:65" x14ac:dyDescent="0.2">
      <c r="E118" s="2"/>
      <c r="H118" s="2"/>
      <c r="K118" s="2"/>
      <c r="N118" s="2"/>
      <c r="Q118" s="2"/>
      <c r="R118" s="1">
        <v>327.98</v>
      </c>
      <c r="S118" s="1">
        <v>16.600000000000001</v>
      </c>
      <c r="T118" s="2">
        <f t="shared" si="23"/>
        <v>5.6486355500000009E-2</v>
      </c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  <c r="BJ118" s="2"/>
      <c r="BM118" s="2"/>
    </row>
    <row r="119" spans="5:65" x14ac:dyDescent="0.2">
      <c r="E119" s="2"/>
      <c r="H119" s="2"/>
      <c r="K119" s="2"/>
      <c r="N119" s="2"/>
      <c r="Q119" s="2"/>
      <c r="R119" s="1">
        <v>451.5</v>
      </c>
      <c r="S119" s="1">
        <v>22.71</v>
      </c>
      <c r="T119" s="2">
        <f t="shared" si="23"/>
        <v>0.14553653821875001</v>
      </c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  <c r="BJ119" s="2"/>
      <c r="BM119" s="2"/>
    </row>
    <row r="120" spans="5:65" x14ac:dyDescent="0.2">
      <c r="E120" s="2"/>
      <c r="H120" s="2"/>
      <c r="K120" s="2"/>
      <c r="N120" s="2"/>
      <c r="Q120" s="2"/>
      <c r="R120" s="1">
        <v>359.44</v>
      </c>
      <c r="S120" s="1">
        <v>19.440000000000001</v>
      </c>
      <c r="T120" s="2">
        <f t="shared" si="23"/>
        <v>8.4898290240000007E-2</v>
      </c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  <c r="BJ120" s="2"/>
      <c r="BM120" s="2"/>
    </row>
    <row r="121" spans="5:65" x14ac:dyDescent="0.2">
      <c r="E121" s="2"/>
      <c r="H121" s="2"/>
      <c r="K121" s="2"/>
      <c r="N121" s="2"/>
      <c r="Q121" s="2"/>
      <c r="R121" s="1">
        <v>450.47</v>
      </c>
      <c r="S121" s="1">
        <v>22.56</v>
      </c>
      <c r="T121" s="2">
        <f t="shared" si="23"/>
        <v>0.14329270512</v>
      </c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  <c r="BJ121" s="2"/>
      <c r="BM121" s="2"/>
    </row>
    <row r="122" spans="5:65" x14ac:dyDescent="0.2">
      <c r="E122" s="2"/>
      <c r="H122" s="2"/>
      <c r="K122" s="2"/>
      <c r="N122" s="2"/>
      <c r="Q122" s="2"/>
      <c r="R122" s="1">
        <v>375.89</v>
      </c>
      <c r="S122" s="1">
        <v>22.32</v>
      </c>
      <c r="T122" s="2">
        <f t="shared" si="23"/>
        <v>0.11703861395999998</v>
      </c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  <c r="BJ122" s="2"/>
      <c r="BM122" s="2"/>
    </row>
    <row r="123" spans="5:65" x14ac:dyDescent="0.2">
      <c r="E123" s="2"/>
      <c r="H123" s="2"/>
      <c r="K123" s="2"/>
      <c r="N123" s="2"/>
      <c r="Q123" s="2"/>
      <c r="R123" s="1">
        <v>277.25</v>
      </c>
      <c r="S123" s="1">
        <v>17.73</v>
      </c>
      <c r="T123" s="2">
        <f t="shared" si="23"/>
        <v>5.4471463453125001E-2</v>
      </c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  <c r="BJ123" s="2"/>
      <c r="BM123" s="2"/>
    </row>
    <row r="124" spans="5:65" x14ac:dyDescent="0.2">
      <c r="E124" s="2"/>
      <c r="H124" s="2"/>
      <c r="K124" s="2"/>
      <c r="N124" s="2"/>
      <c r="Q124" s="2"/>
      <c r="R124" s="1">
        <v>281.32</v>
      </c>
      <c r="S124" s="1">
        <v>17.22</v>
      </c>
      <c r="T124" s="2">
        <f t="shared" si="23"/>
        <v>5.2137105929999997E-2</v>
      </c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  <c r="BJ124" s="2"/>
      <c r="BM124" s="2"/>
    </row>
    <row r="125" spans="5:65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  <c r="BJ125" s="2"/>
      <c r="BM125" s="2"/>
    </row>
    <row r="126" spans="5:65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  <c r="BJ126" s="2"/>
      <c r="BM126" s="2"/>
    </row>
    <row r="127" spans="5:65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  <c r="BJ127" s="2"/>
      <c r="BM127" s="2"/>
    </row>
    <row r="128" spans="5:65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  <c r="BJ128" s="2"/>
      <c r="BM128" s="2"/>
    </row>
    <row r="129" spans="5:65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  <c r="BJ129" s="2"/>
      <c r="BM129" s="2"/>
    </row>
    <row r="130" spans="5:65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  <c r="BJ130" s="2"/>
      <c r="BM130" s="2"/>
    </row>
    <row r="131" spans="5:65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  <c r="BJ131" s="2"/>
      <c r="BM131" s="2"/>
    </row>
    <row r="132" spans="5:65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  <c r="BJ132" s="2"/>
      <c r="BM132" s="2"/>
    </row>
    <row r="133" spans="5:65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  <c r="BJ133" s="2"/>
      <c r="BM133" s="2"/>
    </row>
    <row r="134" spans="5:65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  <c r="BJ134" s="2"/>
      <c r="BM134" s="2"/>
    </row>
    <row r="135" spans="5:65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  <c r="BJ135" s="2"/>
      <c r="BM135" s="2"/>
    </row>
    <row r="136" spans="5:65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  <c r="BJ136" s="2"/>
      <c r="BM136" s="2"/>
    </row>
    <row r="137" spans="5:65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  <c r="BJ137" s="2"/>
      <c r="BM137" s="2"/>
    </row>
    <row r="138" spans="5:65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  <c r="BJ138" s="2"/>
      <c r="BM138" s="2"/>
    </row>
    <row r="139" spans="5:65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  <c r="BJ139" s="2"/>
      <c r="BM139" s="2"/>
    </row>
    <row r="140" spans="5:65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  <c r="BJ140" s="2"/>
      <c r="BM140" s="2"/>
    </row>
    <row r="141" spans="5:65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  <c r="BJ141" s="2"/>
      <c r="BM141" s="2"/>
    </row>
    <row r="142" spans="5:65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  <c r="BJ142" s="2"/>
      <c r="BM142" s="2"/>
    </row>
    <row r="143" spans="5:65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  <c r="BJ143" s="2"/>
      <c r="BM143" s="2"/>
    </row>
    <row r="144" spans="5:65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  <c r="BJ144" s="2"/>
      <c r="BM144" s="2"/>
    </row>
    <row r="145" spans="5:65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  <c r="BJ145" s="2"/>
      <c r="BM145" s="2"/>
    </row>
    <row r="146" spans="5:65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D146" s="2"/>
      <c r="BG146" s="2"/>
      <c r="BJ146" s="2"/>
      <c r="BM146" s="2"/>
    </row>
    <row r="147" spans="5:65" x14ac:dyDescent="0.2"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  <c r="AU147" s="2"/>
      <c r="AX147" s="2"/>
      <c r="BA147" s="2"/>
      <c r="BD147" s="2"/>
      <c r="BG147" s="2"/>
      <c r="BJ147" s="2"/>
      <c r="BM147" s="2"/>
    </row>
    <row r="148" spans="5:65" x14ac:dyDescent="0.2"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  <c r="AU148" s="2"/>
      <c r="AX148" s="2"/>
      <c r="BA148" s="2"/>
      <c r="BD148" s="2"/>
      <c r="BG148" s="2"/>
      <c r="BJ148" s="2"/>
      <c r="BM148" s="2"/>
    </row>
    <row r="149" spans="5:65" x14ac:dyDescent="0.2"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  <c r="AU149" s="2"/>
      <c r="AX149" s="2"/>
      <c r="BA149" s="2"/>
      <c r="BD149" s="2"/>
      <c r="BG149" s="2"/>
      <c r="BJ149" s="2"/>
      <c r="BM149" s="2"/>
    </row>
  </sheetData>
  <mergeCells count="85">
    <mergeCell ref="O1:Q1"/>
    <mergeCell ref="R1:T1"/>
    <mergeCell ref="U1:W1"/>
    <mergeCell ref="BE1:BG1"/>
    <mergeCell ref="X1:Z1"/>
    <mergeCell ref="AA1:AC1"/>
    <mergeCell ref="AD1:AF1"/>
    <mergeCell ref="AG1:AI1"/>
    <mergeCell ref="AJ1:AL1"/>
    <mergeCell ref="AM1:AO1"/>
    <mergeCell ref="AP1:AR1"/>
    <mergeCell ref="AV1:AX1"/>
    <mergeCell ref="AS1:AU1"/>
    <mergeCell ref="AY1:BA1"/>
    <mergeCell ref="BB1:BD1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U2:V2"/>
    <mergeCell ref="X2:Y2"/>
    <mergeCell ref="AA2:AB2"/>
    <mergeCell ref="AD2:AE2"/>
    <mergeCell ref="O2:P2"/>
    <mergeCell ref="R2:S2"/>
    <mergeCell ref="AG3:AH3"/>
    <mergeCell ref="AJ3:AK3"/>
    <mergeCell ref="AM3:AN3"/>
    <mergeCell ref="AM2:AN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2:AH2"/>
    <mergeCell ref="AJ2:AK2"/>
    <mergeCell ref="O4:P4"/>
    <mergeCell ref="R4:S4"/>
    <mergeCell ref="U4:V4"/>
    <mergeCell ref="C4:D4"/>
    <mergeCell ref="F4:G4"/>
    <mergeCell ref="I4:J4"/>
    <mergeCell ref="L4:M4"/>
    <mergeCell ref="AG4:AH4"/>
    <mergeCell ref="AJ4:AK4"/>
    <mergeCell ref="AM4:AN4"/>
    <mergeCell ref="X4:Y4"/>
    <mergeCell ref="AA4:AB4"/>
    <mergeCell ref="AD4:AE4"/>
    <mergeCell ref="AV2:AW2"/>
    <mergeCell ref="AP3:AQ3"/>
    <mergeCell ref="AS3:AT3"/>
    <mergeCell ref="AV3:AW3"/>
    <mergeCell ref="AP4:AQ4"/>
    <mergeCell ref="AS4:AT4"/>
    <mergeCell ref="AV4:AW4"/>
    <mergeCell ref="AP2:AQ2"/>
    <mergeCell ref="AS2:AT2"/>
    <mergeCell ref="AY4:AZ4"/>
    <mergeCell ref="BB4:BC4"/>
    <mergeCell ref="BE4:BF4"/>
    <mergeCell ref="BH2:BI2"/>
    <mergeCell ref="BK2:BL2"/>
    <mergeCell ref="AY2:AZ2"/>
    <mergeCell ref="BB2:BC2"/>
    <mergeCell ref="BE2:BF2"/>
    <mergeCell ref="AY3:AZ3"/>
    <mergeCell ref="BB3:BC3"/>
    <mergeCell ref="BE3:BF3"/>
    <mergeCell ref="BH1:BJ1"/>
    <mergeCell ref="BK1:BM1"/>
    <mergeCell ref="BH3:BI3"/>
    <mergeCell ref="BK3:BL3"/>
    <mergeCell ref="BH4:BI4"/>
    <mergeCell ref="BK4:BL4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4478-2AB8-4E58-AB71-EEDEC61227B7}">
  <dimension ref="A1:CH161"/>
  <sheetViews>
    <sheetView zoomScale="130" zoomScaleNormal="130" workbookViewId="0">
      <selection activeCell="CH4" sqref="CH4"/>
    </sheetView>
  </sheetViews>
  <sheetFormatPr defaultColWidth="9" defaultRowHeight="14.25" x14ac:dyDescent="0.2"/>
  <cols>
    <col min="1" max="1" width="14.875" style="10" customWidth="1"/>
    <col min="2" max="2" width="9" style="10"/>
    <col min="3" max="16384" width="9" style="1"/>
  </cols>
  <sheetData>
    <row r="1" spans="1:86" s="5" customFormat="1" x14ac:dyDescent="0.2">
      <c r="A1" s="22" t="s">
        <v>63</v>
      </c>
      <c r="B1" s="22"/>
      <c r="C1" s="18" t="s">
        <v>17</v>
      </c>
      <c r="D1" s="18"/>
      <c r="E1" s="18"/>
      <c r="F1" s="18" t="s">
        <v>34</v>
      </c>
      <c r="G1" s="18"/>
      <c r="H1" s="18"/>
      <c r="I1" s="18" t="s">
        <v>10</v>
      </c>
      <c r="J1" s="18"/>
      <c r="K1" s="18"/>
      <c r="L1" s="18" t="s">
        <v>46</v>
      </c>
      <c r="M1" s="18"/>
      <c r="N1" s="18"/>
      <c r="O1" s="18" t="s">
        <v>41</v>
      </c>
      <c r="P1" s="18"/>
      <c r="Q1" s="18"/>
      <c r="R1" s="18" t="s">
        <v>21</v>
      </c>
      <c r="S1" s="18"/>
      <c r="T1" s="18"/>
      <c r="U1" s="18" t="s">
        <v>12</v>
      </c>
      <c r="V1" s="18"/>
      <c r="W1" s="18"/>
      <c r="X1" s="18" t="s">
        <v>40</v>
      </c>
      <c r="Y1" s="18"/>
      <c r="Z1" s="18"/>
      <c r="AA1" s="18" t="s">
        <v>9</v>
      </c>
      <c r="AB1" s="18"/>
      <c r="AC1" s="18"/>
      <c r="AD1" s="18" t="s">
        <v>23</v>
      </c>
      <c r="AE1" s="18"/>
      <c r="AF1" s="18"/>
      <c r="AG1" s="18" t="s">
        <v>16</v>
      </c>
      <c r="AH1" s="18"/>
      <c r="AI1" s="18"/>
      <c r="AJ1" s="18" t="s">
        <v>25</v>
      </c>
      <c r="AK1" s="18"/>
      <c r="AL1" s="18"/>
      <c r="AM1" s="18" t="s">
        <v>20</v>
      </c>
      <c r="AN1" s="18"/>
      <c r="AO1" s="18"/>
      <c r="AP1" s="18" t="s">
        <v>48</v>
      </c>
      <c r="AQ1" s="18"/>
      <c r="AR1" s="18"/>
      <c r="AS1" s="18" t="s">
        <v>19</v>
      </c>
      <c r="AT1" s="18"/>
      <c r="AU1" s="18"/>
      <c r="AV1" s="18" t="s">
        <v>33</v>
      </c>
      <c r="AW1" s="18"/>
      <c r="AX1" s="18"/>
      <c r="AY1" s="18" t="s">
        <v>49</v>
      </c>
      <c r="AZ1" s="18"/>
      <c r="BA1" s="18"/>
      <c r="BB1" s="18" t="s">
        <v>29</v>
      </c>
      <c r="BC1" s="18"/>
      <c r="BD1" s="18"/>
      <c r="BE1" s="18" t="s">
        <v>8</v>
      </c>
      <c r="BF1" s="18"/>
      <c r="BG1" s="18"/>
      <c r="BH1" s="18" t="s">
        <v>44</v>
      </c>
      <c r="BI1" s="18"/>
      <c r="BJ1" s="18"/>
      <c r="BK1" s="18" t="s">
        <v>28</v>
      </c>
      <c r="BL1" s="18"/>
      <c r="BM1" s="18"/>
      <c r="BN1" s="18" t="s">
        <v>31</v>
      </c>
      <c r="BO1" s="18"/>
      <c r="BP1" s="18"/>
      <c r="BQ1" s="18" t="s">
        <v>13</v>
      </c>
      <c r="BR1" s="18"/>
      <c r="BS1" s="18"/>
      <c r="BT1" s="18" t="s">
        <v>50</v>
      </c>
      <c r="BU1" s="18"/>
      <c r="BV1" s="18"/>
      <c r="BW1" s="18" t="s">
        <v>42</v>
      </c>
      <c r="BX1" s="18"/>
      <c r="BY1" s="18"/>
      <c r="BZ1" s="18" t="s">
        <v>67</v>
      </c>
      <c r="CA1" s="18"/>
      <c r="CB1" s="18"/>
      <c r="CC1" s="18" t="s">
        <v>68</v>
      </c>
      <c r="CD1" s="18"/>
      <c r="CE1" s="18"/>
      <c r="CF1" s="18" t="s">
        <v>14</v>
      </c>
      <c r="CG1" s="18"/>
      <c r="CH1" s="18"/>
    </row>
    <row r="2" spans="1:86" s="10" customFormat="1" x14ac:dyDescent="0.2">
      <c r="A2" s="10" t="s">
        <v>5</v>
      </c>
      <c r="B2" s="10">
        <f>SUM(C2:TZ2)</f>
        <v>141</v>
      </c>
      <c r="C2" s="23" t="s">
        <v>5</v>
      </c>
      <c r="D2" s="23"/>
      <c r="E2" s="15">
        <f>COUNT(E6:E273)</f>
        <v>28</v>
      </c>
      <c r="F2" s="23" t="s">
        <v>5</v>
      </c>
      <c r="G2" s="23"/>
      <c r="H2" s="15">
        <f>COUNT(H6:H273)</f>
        <v>9</v>
      </c>
      <c r="I2" s="23" t="s">
        <v>5</v>
      </c>
      <c r="J2" s="23"/>
      <c r="K2" s="15">
        <f>COUNT(K6:K273)</f>
        <v>4</v>
      </c>
      <c r="L2" s="23" t="s">
        <v>5</v>
      </c>
      <c r="M2" s="23"/>
      <c r="N2" s="15">
        <f>COUNT(N6:N273)</f>
        <v>7</v>
      </c>
      <c r="O2" s="23" t="s">
        <v>5</v>
      </c>
      <c r="P2" s="23"/>
      <c r="Q2" s="15">
        <f>COUNT(Q6:Q273)</f>
        <v>5</v>
      </c>
      <c r="R2" s="23" t="s">
        <v>5</v>
      </c>
      <c r="S2" s="23"/>
      <c r="T2" s="15">
        <f>COUNT(T6:T273)</f>
        <v>10</v>
      </c>
      <c r="U2" s="23" t="s">
        <v>5</v>
      </c>
      <c r="V2" s="23"/>
      <c r="W2" s="15">
        <f>COUNT(W6:W273)</f>
        <v>10</v>
      </c>
      <c r="X2" s="23" t="s">
        <v>5</v>
      </c>
      <c r="Y2" s="23"/>
      <c r="Z2" s="15">
        <f>COUNT(Z6:Z273)</f>
        <v>2</v>
      </c>
      <c r="AA2" s="23" t="s">
        <v>5</v>
      </c>
      <c r="AB2" s="23"/>
      <c r="AC2" s="15">
        <f>COUNT(AC6:AC273)</f>
        <v>1</v>
      </c>
      <c r="AD2" s="23" t="s">
        <v>5</v>
      </c>
      <c r="AE2" s="23"/>
      <c r="AF2" s="15">
        <f>COUNT(AF6:AF273)</f>
        <v>9</v>
      </c>
      <c r="AG2" s="23" t="s">
        <v>5</v>
      </c>
      <c r="AH2" s="23"/>
      <c r="AI2" s="15">
        <f>COUNT(AI6:AI273)</f>
        <v>4</v>
      </c>
      <c r="AJ2" s="23" t="s">
        <v>5</v>
      </c>
      <c r="AK2" s="23"/>
      <c r="AL2" s="15">
        <f>COUNT(AL6:AL273)</f>
        <v>8</v>
      </c>
      <c r="AM2" s="23" t="s">
        <v>5</v>
      </c>
      <c r="AN2" s="23"/>
      <c r="AO2" s="15">
        <f>COUNT(AO6:AO273)</f>
        <v>8</v>
      </c>
      <c r="AP2" s="23" t="s">
        <v>5</v>
      </c>
      <c r="AQ2" s="23"/>
      <c r="AR2" s="15">
        <f>COUNT(AR6:AR273)</f>
        <v>1</v>
      </c>
      <c r="AS2" s="23" t="s">
        <v>5</v>
      </c>
      <c r="AT2" s="23"/>
      <c r="AU2" s="15">
        <f>COUNT(AU6:AU273)</f>
        <v>3</v>
      </c>
      <c r="AV2" s="23" t="s">
        <v>5</v>
      </c>
      <c r="AW2" s="23"/>
      <c r="AX2" s="15">
        <f>COUNT(AX6:AX273)</f>
        <v>1</v>
      </c>
      <c r="AY2" s="23" t="s">
        <v>5</v>
      </c>
      <c r="AZ2" s="23"/>
      <c r="BA2" s="15">
        <f>COUNT(BA6:BA273)</f>
        <v>2</v>
      </c>
      <c r="BB2" s="23" t="s">
        <v>5</v>
      </c>
      <c r="BC2" s="23"/>
      <c r="BD2" s="15">
        <f>COUNT(BD6:BD273)</f>
        <v>6</v>
      </c>
      <c r="BE2" s="23" t="s">
        <v>5</v>
      </c>
      <c r="BF2" s="23"/>
      <c r="BG2" s="15">
        <f>COUNT(BG6:BG273)</f>
        <v>3</v>
      </c>
      <c r="BH2" s="23" t="s">
        <v>5</v>
      </c>
      <c r="BI2" s="23"/>
      <c r="BJ2" s="15">
        <f>COUNT(BJ6:BJ273)</f>
        <v>3</v>
      </c>
      <c r="BK2" s="23" t="s">
        <v>5</v>
      </c>
      <c r="BL2" s="23"/>
      <c r="BM2" s="15">
        <f>COUNT(BM6:BM273)</f>
        <v>1</v>
      </c>
      <c r="BN2" s="23" t="s">
        <v>5</v>
      </c>
      <c r="BO2" s="23"/>
      <c r="BP2" s="15">
        <f>COUNT(BP6:BP273)</f>
        <v>1</v>
      </c>
      <c r="BQ2" s="23" t="s">
        <v>5</v>
      </c>
      <c r="BR2" s="23"/>
      <c r="BS2" s="15">
        <f>COUNT(BS6:BS273)</f>
        <v>1</v>
      </c>
      <c r="BT2" s="23" t="s">
        <v>5</v>
      </c>
      <c r="BU2" s="23"/>
      <c r="BV2" s="15">
        <f>COUNT(BV6:BV273)</f>
        <v>3</v>
      </c>
      <c r="BW2" s="23" t="s">
        <v>5</v>
      </c>
      <c r="BX2" s="23"/>
      <c r="BY2" s="15">
        <f>COUNT(BY6:BY273)</f>
        <v>3</v>
      </c>
      <c r="BZ2" s="23" t="s">
        <v>5</v>
      </c>
      <c r="CA2" s="23"/>
      <c r="CB2" s="15">
        <f>COUNT(CB6:CB273)</f>
        <v>4</v>
      </c>
      <c r="CC2" s="23" t="s">
        <v>5</v>
      </c>
      <c r="CD2" s="23"/>
      <c r="CE2" s="15">
        <f>COUNT(CE6:CE273)</f>
        <v>1</v>
      </c>
      <c r="CF2" s="23" t="s">
        <v>5</v>
      </c>
      <c r="CG2" s="23"/>
      <c r="CH2" s="15">
        <f>COUNT(CH6:CH273)</f>
        <v>3</v>
      </c>
    </row>
    <row r="3" spans="1:86" s="10" customFormat="1" x14ac:dyDescent="0.2">
      <c r="A3" s="10" t="s">
        <v>4</v>
      </c>
      <c r="B3" s="10">
        <f>SUM(C3:TZ3)</f>
        <v>14.592733596260622</v>
      </c>
      <c r="C3" s="23" t="s">
        <v>4</v>
      </c>
      <c r="D3" s="23"/>
      <c r="E3" s="15">
        <f>SUM(E6:E273)</f>
        <v>1.6697225768375001</v>
      </c>
      <c r="F3" s="23" t="s">
        <v>4</v>
      </c>
      <c r="G3" s="23"/>
      <c r="H3" s="15">
        <f>SUM(H6:H273)</f>
        <v>0.66106483258062498</v>
      </c>
      <c r="I3" s="23" t="s">
        <v>4</v>
      </c>
      <c r="J3" s="23"/>
      <c r="K3" s="15">
        <f>SUM(K6:K273)</f>
        <v>0.24821175787812499</v>
      </c>
      <c r="L3" s="23" t="s">
        <v>4</v>
      </c>
      <c r="M3" s="23"/>
      <c r="N3" s="15">
        <f>SUM(N6:N273)</f>
        <v>0.41558129207874994</v>
      </c>
      <c r="O3" s="23" t="s">
        <v>4</v>
      </c>
      <c r="P3" s="23"/>
      <c r="Q3" s="15">
        <f>SUM(Q6:Q273)</f>
        <v>0.42136878965124996</v>
      </c>
      <c r="R3" s="23" t="s">
        <v>4</v>
      </c>
      <c r="S3" s="23"/>
      <c r="T3" s="15">
        <f>SUM(T6:T273)</f>
        <v>0.41216947888125005</v>
      </c>
      <c r="U3" s="23" t="s">
        <v>4</v>
      </c>
      <c r="V3" s="23"/>
      <c r="W3" s="15">
        <f>SUM(W6:W273)</f>
        <v>0.50160087421437505</v>
      </c>
      <c r="X3" s="23" t="s">
        <v>4</v>
      </c>
      <c r="Y3" s="23"/>
      <c r="Z3" s="15">
        <f>SUM(Z6:Z273)</f>
        <v>0.96318451577374997</v>
      </c>
      <c r="AA3" s="23" t="s">
        <v>4</v>
      </c>
      <c r="AB3" s="23"/>
      <c r="AC3" s="15">
        <f>SUM(AC6:AC273)</f>
        <v>0.11720706039999999</v>
      </c>
      <c r="AD3" s="23" t="s">
        <v>4</v>
      </c>
      <c r="AE3" s="23"/>
      <c r="AF3" s="15">
        <f>SUM(AF6:AF273)</f>
        <v>0.28390172475687497</v>
      </c>
      <c r="AG3" s="23" t="s">
        <v>4</v>
      </c>
      <c r="AH3" s="23"/>
      <c r="AI3" s="15">
        <f>SUM(AI6:AI273)</f>
        <v>0.27863872924187499</v>
      </c>
      <c r="AJ3" s="23" t="s">
        <v>4</v>
      </c>
      <c r="AK3" s="23"/>
      <c r="AL3" s="15">
        <f>SUM(AL6:AL273)</f>
        <v>0.28640223187374997</v>
      </c>
      <c r="AM3" s="23" t="s">
        <v>4</v>
      </c>
      <c r="AN3" s="23"/>
      <c r="AO3" s="15">
        <f>SUM(AO6:AO273)</f>
        <v>1.8282015817925001</v>
      </c>
      <c r="AP3" s="23" t="s">
        <v>4</v>
      </c>
      <c r="AQ3" s="23"/>
      <c r="AR3" s="15">
        <f>SUM(AR6:AR273)</f>
        <v>3.2454465470000006E-2</v>
      </c>
      <c r="AS3" s="23" t="s">
        <v>4</v>
      </c>
      <c r="AT3" s="23"/>
      <c r="AU3" s="15">
        <f>SUM(AU6:AU273)</f>
        <v>0.15652562352624999</v>
      </c>
      <c r="AV3" s="23" t="s">
        <v>4</v>
      </c>
      <c r="AW3" s="23"/>
      <c r="AX3" s="15">
        <f>SUM(AX6:AX273)</f>
        <v>5.4576185062499998E-2</v>
      </c>
      <c r="AY3" s="23" t="s">
        <v>4</v>
      </c>
      <c r="AZ3" s="23"/>
      <c r="BA3" s="15">
        <f>SUM(BA6:BA273)</f>
        <v>0.1618693970175</v>
      </c>
      <c r="BB3" s="23" t="s">
        <v>4</v>
      </c>
      <c r="BC3" s="23"/>
      <c r="BD3" s="15">
        <f>SUM(BD6:BD273)</f>
        <v>0.30680586375312502</v>
      </c>
      <c r="BE3" s="23" t="s">
        <v>4</v>
      </c>
      <c r="BF3" s="23"/>
      <c r="BG3" s="15">
        <f>SUM(BG6:BG273)</f>
        <v>0.16184112443999998</v>
      </c>
      <c r="BH3" s="23" t="s">
        <v>4</v>
      </c>
      <c r="BI3" s="23"/>
      <c r="BJ3" s="15">
        <f>SUM(BJ6:BJ273)</f>
        <v>0.19140514523187502</v>
      </c>
      <c r="BK3" s="23" t="s">
        <v>4</v>
      </c>
      <c r="BL3" s="23"/>
      <c r="BM3" s="15">
        <f>SUM(BM6:BM273)</f>
        <v>5.7205491187499999E-2</v>
      </c>
      <c r="BN3" s="23" t="s">
        <v>4</v>
      </c>
      <c r="BO3" s="23"/>
      <c r="BP3" s="15">
        <f>SUM(BP6:BP273)</f>
        <v>8.0003925399999995E-2</v>
      </c>
      <c r="BQ3" s="23" t="s">
        <v>4</v>
      </c>
      <c r="BR3" s="23"/>
      <c r="BS3" s="15">
        <f>SUM(BS6:BS273)</f>
        <v>1.1566163375937502</v>
      </c>
      <c r="BT3" s="23" t="s">
        <v>4</v>
      </c>
      <c r="BU3" s="23"/>
      <c r="BV3" s="15">
        <f>SUM(BV6:BV273)</f>
        <v>0.80163132450062491</v>
      </c>
      <c r="BW3" s="23" t="s">
        <v>4</v>
      </c>
      <c r="BX3" s="23"/>
      <c r="BY3" s="15">
        <f>SUM(BY6:BY273)</f>
        <v>0.45343008523374995</v>
      </c>
      <c r="BZ3" s="23" t="s">
        <v>4</v>
      </c>
      <c r="CA3" s="23"/>
      <c r="CB3" s="15">
        <f>SUM(CB6:CB273)</f>
        <v>2.1585216318718752</v>
      </c>
      <c r="CC3" s="23" t="s">
        <v>4</v>
      </c>
      <c r="CD3" s="23"/>
      <c r="CE3" s="17">
        <f>SUM(CE6:CE273)</f>
        <v>8.5920564554999981E-2</v>
      </c>
      <c r="CF3" s="23" t="s">
        <v>4</v>
      </c>
      <c r="CG3" s="23"/>
      <c r="CH3" s="15">
        <f>SUM(CH6:CH273)</f>
        <v>0.64667098545625001</v>
      </c>
    </row>
    <row r="4" spans="1:86" s="10" customFormat="1" x14ac:dyDescent="0.2">
      <c r="C4" s="23" t="s">
        <v>3</v>
      </c>
      <c r="D4" s="23"/>
      <c r="E4" s="15">
        <f>AVERAGE(E6:E273)</f>
        <v>5.963294917276786E-2</v>
      </c>
      <c r="F4" s="23" t="s">
        <v>3</v>
      </c>
      <c r="G4" s="23"/>
      <c r="H4" s="15">
        <f>AVERAGE(H6:H273)</f>
        <v>7.3451648064513889E-2</v>
      </c>
      <c r="I4" s="23" t="s">
        <v>3</v>
      </c>
      <c r="J4" s="23"/>
      <c r="K4" s="15">
        <f>AVERAGE(K6:K273)</f>
        <v>6.2052939469531249E-2</v>
      </c>
      <c r="L4" s="23" t="s">
        <v>3</v>
      </c>
      <c r="M4" s="23"/>
      <c r="N4" s="15">
        <f>AVERAGE(N6:N273)</f>
        <v>5.9368756011249989E-2</v>
      </c>
      <c r="O4" s="23" t="s">
        <v>3</v>
      </c>
      <c r="P4" s="23"/>
      <c r="Q4" s="15">
        <f>AVERAGE(Q6:Q273)</f>
        <v>8.4273757930249993E-2</v>
      </c>
      <c r="R4" s="23" t="s">
        <v>3</v>
      </c>
      <c r="S4" s="23"/>
      <c r="T4" s="15">
        <f>AVERAGE(T6:T273)</f>
        <v>4.1216947888125008E-2</v>
      </c>
      <c r="U4" s="23" t="s">
        <v>3</v>
      </c>
      <c r="V4" s="23"/>
      <c r="W4" s="15">
        <f>AVERAGE(W6:W273)</f>
        <v>5.0160087421437502E-2</v>
      </c>
      <c r="X4" s="23" t="s">
        <v>3</v>
      </c>
      <c r="Y4" s="23"/>
      <c r="Z4" s="15">
        <f>AVERAGE(Z6:Z273)</f>
        <v>0.48159225788687499</v>
      </c>
      <c r="AA4" s="23" t="s">
        <v>3</v>
      </c>
      <c r="AB4" s="23"/>
      <c r="AC4" s="15">
        <f>AVERAGE(AC6:AC273)</f>
        <v>0.11720706039999999</v>
      </c>
      <c r="AD4" s="23" t="s">
        <v>3</v>
      </c>
      <c r="AE4" s="23"/>
      <c r="AF4" s="15">
        <f>AVERAGE(AF6:AF273)</f>
        <v>3.1544636084097216E-2</v>
      </c>
      <c r="AG4" s="23" t="s">
        <v>3</v>
      </c>
      <c r="AH4" s="23"/>
      <c r="AI4" s="15">
        <f>AVERAGE(AI6:AI273)</f>
        <v>6.9659682310468748E-2</v>
      </c>
      <c r="AJ4" s="23" t="s">
        <v>3</v>
      </c>
      <c r="AK4" s="23"/>
      <c r="AL4" s="15">
        <f>AVERAGE(AL6:AL273)</f>
        <v>3.5800278984218746E-2</v>
      </c>
      <c r="AM4" s="23" t="s">
        <v>3</v>
      </c>
      <c r="AN4" s="23"/>
      <c r="AO4" s="15">
        <f>AVERAGE(AO6:AO273)</f>
        <v>0.22852519772406252</v>
      </c>
      <c r="AP4" s="23" t="s">
        <v>3</v>
      </c>
      <c r="AQ4" s="23"/>
      <c r="AR4" s="15">
        <f>AVERAGE(AR6:AR273)</f>
        <v>3.2454465470000006E-2</v>
      </c>
      <c r="AS4" s="23" t="s">
        <v>3</v>
      </c>
      <c r="AT4" s="23"/>
      <c r="AU4" s="15">
        <f>AVERAGE(AU6:AU273)</f>
        <v>5.2175207842083328E-2</v>
      </c>
      <c r="AV4" s="23" t="s">
        <v>3</v>
      </c>
      <c r="AW4" s="23"/>
      <c r="AX4" s="15">
        <f>AVERAGE(AX6:AX273)</f>
        <v>5.4576185062499998E-2</v>
      </c>
      <c r="AY4" s="23" t="s">
        <v>3</v>
      </c>
      <c r="AZ4" s="23"/>
      <c r="BA4" s="15">
        <f>AVERAGE(BA6:BA273)</f>
        <v>8.093469850875E-2</v>
      </c>
      <c r="BB4" s="23" t="s">
        <v>3</v>
      </c>
      <c r="BC4" s="23"/>
      <c r="BD4" s="15">
        <f>AVERAGE(BD6:BD273)</f>
        <v>5.1134310625520839E-2</v>
      </c>
      <c r="BE4" s="23" t="s">
        <v>3</v>
      </c>
      <c r="BF4" s="23"/>
      <c r="BG4" s="15">
        <f>AVERAGE(BG6:BG273)</f>
        <v>5.3947041479999992E-2</v>
      </c>
      <c r="BH4" s="23" t="s">
        <v>3</v>
      </c>
      <c r="BI4" s="23"/>
      <c r="BJ4" s="15">
        <f>AVERAGE(BJ6:BJ273)</f>
        <v>6.3801715077291668E-2</v>
      </c>
      <c r="BK4" s="23" t="s">
        <v>3</v>
      </c>
      <c r="BL4" s="23"/>
      <c r="BM4" s="15">
        <f>AVERAGE(BM6:BM273)</f>
        <v>5.7205491187499999E-2</v>
      </c>
      <c r="BN4" s="23" t="s">
        <v>3</v>
      </c>
      <c r="BO4" s="23"/>
      <c r="BP4" s="15">
        <f>AVERAGE(BP6:BP273)</f>
        <v>8.0003925399999995E-2</v>
      </c>
      <c r="BQ4" s="23" t="s">
        <v>3</v>
      </c>
      <c r="BR4" s="23"/>
      <c r="BS4" s="15">
        <f>AVERAGE(BS6:BS273)</f>
        <v>1.1566163375937502</v>
      </c>
      <c r="BT4" s="23" t="s">
        <v>3</v>
      </c>
      <c r="BU4" s="23"/>
      <c r="BV4" s="15">
        <f>AVERAGE(BV6:BV273)</f>
        <v>0.26721044150020828</v>
      </c>
      <c r="BW4" s="23" t="s">
        <v>3</v>
      </c>
      <c r="BX4" s="23"/>
      <c r="BY4" s="15">
        <f>AVERAGE(BY6:BY273)</f>
        <v>0.15114336174458332</v>
      </c>
      <c r="BZ4" s="23" t="s">
        <v>3</v>
      </c>
      <c r="CA4" s="23"/>
      <c r="CB4" s="15">
        <f>AVERAGE(CB6:CB273)</f>
        <v>0.53963040796796879</v>
      </c>
      <c r="CC4" s="23" t="s">
        <v>3</v>
      </c>
      <c r="CD4" s="23"/>
      <c r="CE4" s="15">
        <f>AVERAGE(CE6:CE273)</f>
        <v>8.5920564554999981E-2</v>
      </c>
      <c r="CF4" s="23" t="s">
        <v>3</v>
      </c>
      <c r="CG4" s="23"/>
      <c r="CH4" s="15">
        <f>AVERAGE(CH6:CH273)</f>
        <v>0.21555699515208335</v>
      </c>
    </row>
    <row r="5" spans="1:86" x14ac:dyDescent="0.2">
      <c r="C5" s="1" t="s">
        <v>38</v>
      </c>
      <c r="D5" s="1" t="s">
        <v>1</v>
      </c>
      <c r="E5" s="2" t="s">
        <v>39</v>
      </c>
      <c r="F5" s="1" t="s">
        <v>38</v>
      </c>
      <c r="G5" s="1" t="s">
        <v>1</v>
      </c>
      <c r="H5" s="2" t="s">
        <v>39</v>
      </c>
      <c r="I5" s="1" t="s">
        <v>38</v>
      </c>
      <c r="J5" s="1" t="s">
        <v>1</v>
      </c>
      <c r="K5" s="2" t="s">
        <v>39</v>
      </c>
      <c r="L5" s="1" t="s">
        <v>38</v>
      </c>
      <c r="M5" s="1" t="s">
        <v>1</v>
      </c>
      <c r="N5" s="2" t="s">
        <v>39</v>
      </c>
      <c r="O5" s="1" t="s">
        <v>38</v>
      </c>
      <c r="P5" s="1" t="s">
        <v>1</v>
      </c>
      <c r="Q5" s="2" t="s">
        <v>39</v>
      </c>
      <c r="R5" s="1" t="s">
        <v>38</v>
      </c>
      <c r="S5" s="1" t="s">
        <v>1</v>
      </c>
      <c r="T5" s="2" t="s">
        <v>39</v>
      </c>
      <c r="U5" s="1" t="s">
        <v>38</v>
      </c>
      <c r="V5" s="1" t="s">
        <v>1</v>
      </c>
      <c r="W5" s="2" t="s">
        <v>39</v>
      </c>
      <c r="X5" s="1" t="s">
        <v>38</v>
      </c>
      <c r="Y5" s="1" t="s">
        <v>1</v>
      </c>
      <c r="Z5" s="2" t="s">
        <v>39</v>
      </c>
      <c r="AA5" s="2" t="s">
        <v>38</v>
      </c>
      <c r="AB5" s="1" t="s">
        <v>1</v>
      </c>
      <c r="AC5" s="2" t="s">
        <v>39</v>
      </c>
      <c r="AD5" s="1" t="s">
        <v>38</v>
      </c>
      <c r="AE5" s="1" t="s">
        <v>1</v>
      </c>
      <c r="AF5" s="2" t="s">
        <v>39</v>
      </c>
      <c r="AG5" s="1" t="s">
        <v>38</v>
      </c>
      <c r="AH5" s="1" t="s">
        <v>1</v>
      </c>
      <c r="AI5" s="2" t="s">
        <v>39</v>
      </c>
      <c r="AJ5" s="1" t="s">
        <v>38</v>
      </c>
      <c r="AK5" s="1" t="s">
        <v>1</v>
      </c>
      <c r="AL5" s="2" t="s">
        <v>39</v>
      </c>
      <c r="AM5" s="1" t="s">
        <v>38</v>
      </c>
      <c r="AN5" s="1" t="s">
        <v>1</v>
      </c>
      <c r="AO5" s="2" t="s">
        <v>39</v>
      </c>
      <c r="AP5" s="1" t="s">
        <v>38</v>
      </c>
      <c r="AQ5" s="1" t="s">
        <v>1</v>
      </c>
      <c r="AR5" s="2" t="s">
        <v>39</v>
      </c>
      <c r="AS5" s="1" t="s">
        <v>38</v>
      </c>
      <c r="AT5" s="1" t="s">
        <v>1</v>
      </c>
      <c r="AU5" s="2" t="s">
        <v>39</v>
      </c>
      <c r="AV5" s="1" t="s">
        <v>38</v>
      </c>
      <c r="AW5" s="1" t="s">
        <v>1</v>
      </c>
      <c r="AX5" s="14" t="s">
        <v>39</v>
      </c>
      <c r="AY5" s="1" t="s">
        <v>38</v>
      </c>
      <c r="AZ5" s="1" t="s">
        <v>1</v>
      </c>
      <c r="BA5" s="14" t="s">
        <v>39</v>
      </c>
      <c r="BB5" s="1" t="s">
        <v>38</v>
      </c>
      <c r="BC5" s="1" t="s">
        <v>1</v>
      </c>
      <c r="BD5" s="14" t="s">
        <v>39</v>
      </c>
      <c r="BE5" s="1" t="s">
        <v>38</v>
      </c>
      <c r="BF5" s="1" t="s">
        <v>1</v>
      </c>
      <c r="BG5" s="14" t="s">
        <v>39</v>
      </c>
      <c r="BH5" s="1" t="s">
        <v>38</v>
      </c>
      <c r="BI5" s="1" t="s">
        <v>1</v>
      </c>
      <c r="BJ5" s="14" t="s">
        <v>39</v>
      </c>
      <c r="BK5" s="1" t="s">
        <v>38</v>
      </c>
      <c r="BL5" s="1" t="s">
        <v>1</v>
      </c>
      <c r="BM5" s="14" t="s">
        <v>39</v>
      </c>
      <c r="BN5" s="1" t="s">
        <v>38</v>
      </c>
      <c r="BO5" s="1" t="s">
        <v>1</v>
      </c>
      <c r="BP5" s="14" t="s">
        <v>39</v>
      </c>
      <c r="BQ5" s="1" t="s">
        <v>38</v>
      </c>
      <c r="BR5" s="1" t="s">
        <v>1</v>
      </c>
      <c r="BS5" s="14" t="s">
        <v>39</v>
      </c>
      <c r="BT5" s="1" t="s">
        <v>38</v>
      </c>
      <c r="BU5" s="1" t="s">
        <v>1</v>
      </c>
      <c r="BV5" s="14" t="s">
        <v>39</v>
      </c>
      <c r="BW5" s="1" t="s">
        <v>38</v>
      </c>
      <c r="BX5" s="1" t="s">
        <v>1</v>
      </c>
      <c r="BY5" s="14" t="s">
        <v>39</v>
      </c>
      <c r="BZ5" s="1" t="s">
        <v>38</v>
      </c>
      <c r="CA5" s="1" t="s">
        <v>1</v>
      </c>
      <c r="CB5" s="14" t="s">
        <v>39</v>
      </c>
      <c r="CC5" s="1" t="s">
        <v>38</v>
      </c>
      <c r="CD5" s="1" t="s">
        <v>1</v>
      </c>
      <c r="CE5" s="14" t="s">
        <v>39</v>
      </c>
      <c r="CF5" s="1" t="s">
        <v>38</v>
      </c>
      <c r="CG5" s="1" t="s">
        <v>1</v>
      </c>
      <c r="CH5" s="14" t="s">
        <v>39</v>
      </c>
    </row>
    <row r="6" spans="1:86" x14ac:dyDescent="0.2">
      <c r="C6" s="1">
        <v>374.93</v>
      </c>
      <c r="D6" s="1">
        <v>15.12</v>
      </c>
      <c r="E6" s="2">
        <f t="shared" ref="E6:E33" si="0">(C6*D6*D6)/1600000</f>
        <v>5.3571498119999998E-2</v>
      </c>
      <c r="F6" s="1">
        <v>480.99</v>
      </c>
      <c r="G6" s="1">
        <v>21.24</v>
      </c>
      <c r="H6" s="2">
        <f t="shared" ref="H6:H14" si="1">(F6*G6*G6)/1600000</f>
        <v>0.13562042139</v>
      </c>
      <c r="I6" s="1">
        <v>307.64</v>
      </c>
      <c r="J6" s="1">
        <v>16.2</v>
      </c>
      <c r="K6" s="2">
        <f>(I6*J6*J6)/1600000</f>
        <v>5.0460650999999988E-2</v>
      </c>
      <c r="L6" s="1">
        <v>451.3</v>
      </c>
      <c r="M6" s="1">
        <v>19.87</v>
      </c>
      <c r="N6" s="2">
        <f t="shared" ref="N6:N12" si="2">(L6*M6*M6)/1600000</f>
        <v>0.11136304185625</v>
      </c>
      <c r="O6" s="1">
        <v>347.35</v>
      </c>
      <c r="P6" s="1">
        <v>18.82</v>
      </c>
      <c r="Q6" s="2">
        <f>(O6*P6*P6)/1600000</f>
        <v>7.6892956337500012E-2</v>
      </c>
      <c r="R6" s="1">
        <v>266.94</v>
      </c>
      <c r="S6" s="1">
        <v>11.13</v>
      </c>
      <c r="T6" s="2">
        <f t="shared" ref="T6:T15" si="3">(R6*S6*S6)/1600000</f>
        <v>2.0667312303750004E-2</v>
      </c>
      <c r="U6" s="1">
        <v>264.04000000000002</v>
      </c>
      <c r="V6" s="1">
        <v>16.309999999999999</v>
      </c>
      <c r="W6" s="2">
        <f t="shared" ref="W6:W15" si="4">(U6*V6*V6)/1600000</f>
        <v>4.389930690249999E-2</v>
      </c>
      <c r="X6" s="1">
        <v>1242.5</v>
      </c>
      <c r="Y6" s="1">
        <v>23.82</v>
      </c>
      <c r="Z6" s="2">
        <f t="shared" ref="Z6:Z7" si="5">(X6*Y6*Y6)/1600000</f>
        <v>0.44061566062500002</v>
      </c>
      <c r="AA6" s="1">
        <v>465.1</v>
      </c>
      <c r="AB6" s="1">
        <v>20.079999999999998</v>
      </c>
      <c r="AC6" s="2">
        <f t="shared" ref="AC6" si="6">(AA6*AB6*AB6)/1600000</f>
        <v>0.11720706039999999</v>
      </c>
      <c r="AD6" s="1">
        <v>216.08</v>
      </c>
      <c r="AE6" s="1">
        <v>11.98</v>
      </c>
      <c r="AF6" s="2">
        <f t="shared" ref="AF6:AF14" si="7">(AD6*AE6*AE6)/1600000</f>
        <v>1.9382430020000004E-2</v>
      </c>
      <c r="AG6" s="1">
        <v>336.98</v>
      </c>
      <c r="AH6" s="1">
        <v>22.9</v>
      </c>
      <c r="AI6" s="2">
        <f t="shared" ref="AI6:AI9" si="8">(AG6*AH6*AH6)/1600000</f>
        <v>0.11044730112499999</v>
      </c>
      <c r="AJ6" s="1">
        <v>289.47000000000003</v>
      </c>
      <c r="AK6" s="1">
        <v>9.32</v>
      </c>
      <c r="AL6" s="2">
        <f t="shared" ref="AL6:AL13" si="9">(AJ6*AK6*AK6)/1600000</f>
        <v>1.5715036830000004E-2</v>
      </c>
      <c r="AM6" s="1">
        <v>706.95</v>
      </c>
      <c r="AN6" s="1">
        <v>24.07</v>
      </c>
      <c r="AO6" s="2">
        <f t="shared" ref="AO6:AO13" si="10">(AM6*AN6*AN6)/1600000</f>
        <v>0.25598876003437504</v>
      </c>
      <c r="AP6" s="1">
        <v>405.23</v>
      </c>
      <c r="AQ6" s="1">
        <v>11.32</v>
      </c>
      <c r="AR6" s="2">
        <f t="shared" ref="AR6" si="11">(AP6*AQ6*AQ6)/1600000</f>
        <v>3.2454465470000006E-2</v>
      </c>
      <c r="AS6" s="1">
        <v>273.14</v>
      </c>
      <c r="AT6" s="1">
        <v>15.29</v>
      </c>
      <c r="AU6" s="2">
        <f t="shared" ref="AU6:AU8" si="12">(AS6*AT6*AT6)/1600000</f>
        <v>3.9909868171249994E-2</v>
      </c>
      <c r="AV6" s="1">
        <v>340.25</v>
      </c>
      <c r="AW6" s="1">
        <v>16.02</v>
      </c>
      <c r="AX6" s="2">
        <f t="shared" ref="AX6" si="13">(AV6*AW6*AW6)/1600000</f>
        <v>5.4576185062499998E-2</v>
      </c>
      <c r="AY6" s="1">
        <v>437.19</v>
      </c>
      <c r="AZ6" s="1">
        <v>20.5</v>
      </c>
      <c r="BA6" s="2">
        <f t="shared" ref="BA6:BA7" si="14">(AY6*AZ6*AZ6)/1600000</f>
        <v>0.1148306859375</v>
      </c>
      <c r="BB6" s="1">
        <v>357.04</v>
      </c>
      <c r="BC6" s="1">
        <v>14.04</v>
      </c>
      <c r="BD6" s="2">
        <f t="shared" ref="BD6:BD11" si="15">(BB6*BC6*BC6)/1600000</f>
        <v>4.3987685039999995E-2</v>
      </c>
      <c r="BE6" s="1">
        <v>518.92999999999995</v>
      </c>
      <c r="BF6" s="1">
        <v>14.76</v>
      </c>
      <c r="BG6" s="2">
        <f t="shared" ref="BG6:BG8" si="16">(BE6*BF6*BF6)/1600000</f>
        <v>7.0658027729999989E-2</v>
      </c>
      <c r="BH6" s="1">
        <v>414.15</v>
      </c>
      <c r="BI6" s="1">
        <v>19.510000000000002</v>
      </c>
      <c r="BJ6" s="2">
        <f t="shared" ref="BJ6:BJ8" si="17">(BH6*BI6*BI6)/1600000</f>
        <v>9.8526310884374996E-2</v>
      </c>
      <c r="BK6" s="1">
        <v>273.31</v>
      </c>
      <c r="BL6" s="1">
        <v>18.3</v>
      </c>
      <c r="BM6" s="2">
        <f t="shared" ref="BM6" si="18">(BK6*BL6*BL6)/1600000</f>
        <v>5.7205491187499999E-2</v>
      </c>
      <c r="BN6" s="1">
        <v>388.15</v>
      </c>
      <c r="BO6" s="1">
        <v>18.16</v>
      </c>
      <c r="BP6" s="2">
        <f t="shared" ref="BP6" si="19">(BN6*BO6*BO6)/1600000</f>
        <v>8.0003925399999995E-2</v>
      </c>
      <c r="BQ6" s="1">
        <v>1165.3399999999999</v>
      </c>
      <c r="BR6" s="1">
        <v>39.85</v>
      </c>
      <c r="BS6" s="2">
        <f t="shared" ref="BS6" si="20">(BQ6*BR6*BR6)/1600000</f>
        <v>1.1566163375937502</v>
      </c>
      <c r="BT6" s="1">
        <v>481.69</v>
      </c>
      <c r="BU6" s="1">
        <v>32.01</v>
      </c>
      <c r="BV6" s="2">
        <f t="shared" ref="BV6:BV8" si="21">(BT6*BU6*BU6)/1600000</f>
        <v>0.30847430610562498</v>
      </c>
      <c r="BW6" s="1">
        <v>491.82</v>
      </c>
      <c r="BX6" s="1">
        <v>13.71</v>
      </c>
      <c r="BY6" s="2">
        <f t="shared" ref="BY6:BY8" si="22">(BW6*BX6*BX6)/1600000</f>
        <v>5.777781478875E-2</v>
      </c>
      <c r="BZ6" s="1">
        <v>482.35</v>
      </c>
      <c r="CA6" s="1">
        <v>25.01</v>
      </c>
      <c r="CB6" s="2">
        <f t="shared" ref="CB6:CB9" si="23">(BZ6*CA6*CA6)/1600000</f>
        <v>0.18856873327187504</v>
      </c>
      <c r="CC6" s="1">
        <v>367.92</v>
      </c>
      <c r="CD6" s="1">
        <v>19.329999999999998</v>
      </c>
      <c r="CE6" s="2">
        <f t="shared" ref="CE6" si="24">(CC6*CD6*CD6)/1600000</f>
        <v>8.5920564554999981E-2</v>
      </c>
      <c r="CF6" s="1">
        <v>596.17999999999995</v>
      </c>
      <c r="CG6" s="1">
        <v>26.15</v>
      </c>
      <c r="CH6" s="2">
        <f t="shared" ref="CH6:CH8" si="25">(CF6*CG6*CG6)/1600000</f>
        <v>0.25480081128124993</v>
      </c>
    </row>
    <row r="7" spans="1:86" x14ac:dyDescent="0.2">
      <c r="C7" s="1">
        <v>460.6</v>
      </c>
      <c r="D7" s="1">
        <v>15.28</v>
      </c>
      <c r="E7" s="2">
        <f t="shared" si="0"/>
        <v>6.7212594399999992E-2</v>
      </c>
      <c r="F7" s="1">
        <v>242.57</v>
      </c>
      <c r="G7" s="1">
        <v>13.54</v>
      </c>
      <c r="H7" s="2">
        <f t="shared" si="1"/>
        <v>2.7794216382499994E-2</v>
      </c>
      <c r="I7" s="1">
        <v>421.57</v>
      </c>
      <c r="J7" s="1">
        <v>15.13</v>
      </c>
      <c r="K7" s="2">
        <f>(I7*J7*J7)/1600000</f>
        <v>6.0315310958125007E-2</v>
      </c>
      <c r="L7" s="1">
        <v>316.13</v>
      </c>
      <c r="M7" s="1">
        <v>16</v>
      </c>
      <c r="N7" s="2">
        <f t="shared" si="2"/>
        <v>5.0580800000000002E-2</v>
      </c>
      <c r="O7" s="1">
        <v>547.79999999999995</v>
      </c>
      <c r="P7" s="1">
        <v>25.57</v>
      </c>
      <c r="Q7" s="2">
        <f>(O7*P7*P7)/1600000</f>
        <v>0.22385330013749996</v>
      </c>
      <c r="R7" s="1">
        <v>329.33</v>
      </c>
      <c r="S7" s="1">
        <v>16.84</v>
      </c>
      <c r="T7" s="2">
        <f t="shared" si="3"/>
        <v>5.837077853E-2</v>
      </c>
      <c r="U7" s="1">
        <v>400.41</v>
      </c>
      <c r="V7" s="1">
        <v>21.38</v>
      </c>
      <c r="W7" s="2">
        <f t="shared" si="4"/>
        <v>0.1143932330025</v>
      </c>
      <c r="X7" s="1">
        <v>1179.02</v>
      </c>
      <c r="Y7" s="1">
        <v>26.63</v>
      </c>
      <c r="Z7" s="2">
        <f t="shared" si="5"/>
        <v>0.52256885514874996</v>
      </c>
      <c r="AC7" s="2"/>
      <c r="AD7" s="1">
        <v>240.32</v>
      </c>
      <c r="AE7" s="1">
        <v>14.29</v>
      </c>
      <c r="AF7" s="2">
        <f t="shared" si="7"/>
        <v>3.0671455819999995E-2</v>
      </c>
      <c r="AG7" s="1">
        <v>300.01</v>
      </c>
      <c r="AH7" s="1">
        <v>15.5</v>
      </c>
      <c r="AI7" s="2">
        <f t="shared" si="8"/>
        <v>4.5048376562499999E-2</v>
      </c>
      <c r="AJ7" s="1">
        <v>285.97000000000003</v>
      </c>
      <c r="AK7" s="1">
        <v>8.94</v>
      </c>
      <c r="AL7" s="2">
        <f t="shared" si="9"/>
        <v>1.42848449325E-2</v>
      </c>
      <c r="AM7" s="1">
        <v>463.2</v>
      </c>
      <c r="AN7" s="1">
        <v>17.440000000000001</v>
      </c>
      <c r="AO7" s="2">
        <f t="shared" si="10"/>
        <v>8.8052467200000012E-2</v>
      </c>
      <c r="AR7" s="2"/>
      <c r="AS7" s="1">
        <v>363.62</v>
      </c>
      <c r="AT7" s="1">
        <v>19.579999999999998</v>
      </c>
      <c r="AU7" s="2">
        <f t="shared" si="12"/>
        <v>8.7127079104999991E-2</v>
      </c>
      <c r="AX7" s="2"/>
      <c r="AY7" s="1">
        <v>405.12</v>
      </c>
      <c r="AZ7" s="1">
        <v>13.63</v>
      </c>
      <c r="BA7" s="2">
        <f t="shared" si="14"/>
        <v>4.7038711080000004E-2</v>
      </c>
      <c r="BB7" s="1">
        <v>357.6</v>
      </c>
      <c r="BC7" s="1">
        <v>13.51</v>
      </c>
      <c r="BD7" s="2">
        <f t="shared" si="15"/>
        <v>4.0793242350000002E-2</v>
      </c>
      <c r="BE7" s="1">
        <v>464.56</v>
      </c>
      <c r="BF7" s="1">
        <v>14.43</v>
      </c>
      <c r="BG7" s="2">
        <f t="shared" si="16"/>
        <v>6.0458099714999998E-2</v>
      </c>
      <c r="BH7" s="1">
        <v>331.64</v>
      </c>
      <c r="BI7" s="1">
        <v>10.73</v>
      </c>
      <c r="BJ7" s="2">
        <f t="shared" si="17"/>
        <v>2.3864171847500001E-2</v>
      </c>
      <c r="BM7" s="2"/>
      <c r="BP7" s="2"/>
      <c r="BS7" s="2"/>
      <c r="BT7" s="1">
        <v>469.84</v>
      </c>
      <c r="BU7" s="1">
        <v>30.85</v>
      </c>
      <c r="BV7" s="2">
        <f t="shared" si="21"/>
        <v>0.27947331212499998</v>
      </c>
      <c r="BW7" s="1">
        <v>1031.3599999999999</v>
      </c>
      <c r="BX7" s="1">
        <v>23.69</v>
      </c>
      <c r="BY7" s="2">
        <f t="shared" si="22"/>
        <v>0.36175989805999997</v>
      </c>
      <c r="BZ7" s="1">
        <v>684</v>
      </c>
      <c r="CA7" s="1">
        <v>24.66</v>
      </c>
      <c r="CB7" s="2">
        <f t="shared" si="23"/>
        <v>0.25996941899999998</v>
      </c>
      <c r="CE7" s="2"/>
      <c r="CF7" s="1">
        <v>549.5</v>
      </c>
      <c r="CG7" s="1">
        <v>24.62</v>
      </c>
      <c r="CH7" s="2">
        <f t="shared" si="25"/>
        <v>0.20817271737500004</v>
      </c>
    </row>
    <row r="8" spans="1:86" x14ac:dyDescent="0.2">
      <c r="C8" s="1">
        <v>403.02</v>
      </c>
      <c r="D8" s="1">
        <v>16.829999999999998</v>
      </c>
      <c r="E8" s="2">
        <f t="shared" si="0"/>
        <v>7.1346857298749983E-2</v>
      </c>
      <c r="F8" s="1">
        <v>353.59</v>
      </c>
      <c r="G8" s="1">
        <v>17.3</v>
      </c>
      <c r="H8" s="2">
        <f t="shared" si="1"/>
        <v>6.614121943750001E-2</v>
      </c>
      <c r="I8" s="1">
        <v>409.41</v>
      </c>
      <c r="J8" s="1">
        <v>16.66</v>
      </c>
      <c r="K8" s="2">
        <f>(I8*J8*J8)/1600000</f>
        <v>7.1021273872499999E-2</v>
      </c>
      <c r="L8" s="1">
        <v>250.1</v>
      </c>
      <c r="M8" s="1">
        <v>13.59</v>
      </c>
      <c r="N8" s="2">
        <f t="shared" si="2"/>
        <v>2.886905863125E-2</v>
      </c>
      <c r="O8" s="1">
        <v>265.81</v>
      </c>
      <c r="P8" s="1">
        <v>16.079999999999998</v>
      </c>
      <c r="Q8" s="2">
        <f>(O8*P8*P8)/1600000</f>
        <v>4.2955959239999994E-2</v>
      </c>
      <c r="R8" s="1">
        <v>233.5</v>
      </c>
      <c r="S8" s="1">
        <v>9.6999999999999993</v>
      </c>
      <c r="T8" s="2">
        <f t="shared" si="3"/>
        <v>1.3731259374999997E-2</v>
      </c>
      <c r="U8" s="1">
        <v>345.4</v>
      </c>
      <c r="V8" s="1">
        <v>19.71</v>
      </c>
      <c r="W8" s="2">
        <f t="shared" si="4"/>
        <v>8.3864005087500013E-2</v>
      </c>
      <c r="Z8" s="2"/>
      <c r="AC8" s="2"/>
      <c r="AD8" s="1">
        <v>263.33</v>
      </c>
      <c r="AE8" s="1">
        <v>13.3</v>
      </c>
      <c r="AF8" s="2">
        <f t="shared" si="7"/>
        <v>2.9112777312499998E-2</v>
      </c>
      <c r="AG8" s="1">
        <v>331.83</v>
      </c>
      <c r="AH8" s="1">
        <v>16.670000000000002</v>
      </c>
      <c r="AI8" s="2">
        <f t="shared" si="8"/>
        <v>5.7632421054375008E-2</v>
      </c>
      <c r="AJ8" s="1">
        <v>344.36</v>
      </c>
      <c r="AK8" s="1">
        <v>15.38</v>
      </c>
      <c r="AL8" s="2">
        <f t="shared" si="9"/>
        <v>5.0910268490000007E-2</v>
      </c>
      <c r="AM8" s="1">
        <v>965.88</v>
      </c>
      <c r="AN8" s="1">
        <v>30.51</v>
      </c>
      <c r="AO8" s="2">
        <f t="shared" si="10"/>
        <v>0.56193697086750005</v>
      </c>
      <c r="AR8" s="2"/>
      <c r="AS8" s="1">
        <v>244.2</v>
      </c>
      <c r="AT8" s="1">
        <v>13.9</v>
      </c>
      <c r="AU8" s="2">
        <f t="shared" si="12"/>
        <v>2.9488676250000002E-2</v>
      </c>
      <c r="AX8" s="2"/>
      <c r="BA8" s="2"/>
      <c r="BB8" s="1">
        <v>354.47</v>
      </c>
      <c r="BC8" s="1">
        <v>13.38</v>
      </c>
      <c r="BD8" s="2">
        <f t="shared" si="15"/>
        <v>3.966173691750001E-2</v>
      </c>
      <c r="BE8" s="1">
        <v>312.62</v>
      </c>
      <c r="BF8" s="1">
        <v>12.54</v>
      </c>
      <c r="BG8" s="2">
        <f t="shared" si="16"/>
        <v>3.0724996994999997E-2</v>
      </c>
      <c r="BH8" s="1">
        <v>426</v>
      </c>
      <c r="BI8" s="1">
        <v>16.100000000000001</v>
      </c>
      <c r="BJ8" s="2">
        <f t="shared" si="17"/>
        <v>6.9014662500000018E-2</v>
      </c>
      <c r="BM8" s="2"/>
      <c r="BP8" s="2"/>
      <c r="BS8" s="2"/>
      <c r="BT8" s="1">
        <v>359.47</v>
      </c>
      <c r="BU8" s="1">
        <v>30.84</v>
      </c>
      <c r="BV8" s="2">
        <f t="shared" si="21"/>
        <v>0.21368370627</v>
      </c>
      <c r="BW8" s="1">
        <v>562.34</v>
      </c>
      <c r="BX8" s="1">
        <v>9.82</v>
      </c>
      <c r="BY8" s="2">
        <f t="shared" si="22"/>
        <v>3.3892372385000001E-2</v>
      </c>
      <c r="BZ8" s="1">
        <v>713.64</v>
      </c>
      <c r="CA8" s="1">
        <v>23.7</v>
      </c>
      <c r="CB8" s="2">
        <f t="shared" si="23"/>
        <v>0.25052778225</v>
      </c>
      <c r="CE8" s="2"/>
      <c r="CF8" s="1">
        <v>561.45000000000005</v>
      </c>
      <c r="CG8" s="1">
        <v>22.88</v>
      </c>
      <c r="CH8" s="2">
        <f t="shared" si="25"/>
        <v>0.18369745679999999</v>
      </c>
    </row>
    <row r="9" spans="1:86" x14ac:dyDescent="0.2">
      <c r="C9" s="1">
        <v>344.01</v>
      </c>
      <c r="D9" s="1">
        <v>13.88</v>
      </c>
      <c r="E9" s="2">
        <f t="shared" si="0"/>
        <v>4.1421900089999998E-2</v>
      </c>
      <c r="F9" s="1">
        <v>450.36</v>
      </c>
      <c r="G9" s="1">
        <v>22.99</v>
      </c>
      <c r="H9" s="2">
        <f t="shared" si="1"/>
        <v>0.14877082464749997</v>
      </c>
      <c r="I9" s="1">
        <v>351.79</v>
      </c>
      <c r="J9" s="1">
        <v>17.38</v>
      </c>
      <c r="K9" s="2">
        <f>(I9*J9*J9)/1600000</f>
        <v>6.6414522047499994E-2</v>
      </c>
      <c r="L9" s="1">
        <v>444.35</v>
      </c>
      <c r="M9" s="1">
        <v>21.65</v>
      </c>
      <c r="N9" s="2">
        <f t="shared" si="2"/>
        <v>0.13017302679687498</v>
      </c>
      <c r="O9" s="1">
        <v>239.78</v>
      </c>
      <c r="P9" s="1">
        <v>17.16</v>
      </c>
      <c r="Q9" s="2">
        <f>(O9*P9*P9)/1600000</f>
        <v>4.4129350980000009E-2</v>
      </c>
      <c r="R9" s="1">
        <v>350.49</v>
      </c>
      <c r="S9" s="1">
        <v>14.31</v>
      </c>
      <c r="T9" s="2">
        <f t="shared" si="3"/>
        <v>4.4857484555625007E-2</v>
      </c>
      <c r="U9" s="1">
        <v>224.06</v>
      </c>
      <c r="V9" s="1">
        <v>14.85</v>
      </c>
      <c r="W9" s="2">
        <f t="shared" si="4"/>
        <v>3.0881419593750001E-2</v>
      </c>
      <c r="Z9" s="2"/>
      <c r="AC9" s="2"/>
      <c r="AD9" s="1">
        <v>306.62</v>
      </c>
      <c r="AE9" s="1">
        <v>12.89</v>
      </c>
      <c r="AF9" s="2">
        <f t="shared" si="7"/>
        <v>3.184097306375E-2</v>
      </c>
      <c r="AG9" s="1">
        <v>330.82</v>
      </c>
      <c r="AH9" s="1">
        <v>17.8</v>
      </c>
      <c r="AI9" s="2">
        <f t="shared" si="8"/>
        <v>6.55106305E-2</v>
      </c>
      <c r="AJ9" s="1">
        <v>256.36</v>
      </c>
      <c r="AK9" s="1">
        <v>10.85</v>
      </c>
      <c r="AL9" s="2">
        <f t="shared" si="9"/>
        <v>1.8862087562499998E-2</v>
      </c>
      <c r="AM9" s="1">
        <v>399.55</v>
      </c>
      <c r="AN9" s="1">
        <v>17.23</v>
      </c>
      <c r="AO9" s="2">
        <f t="shared" si="10"/>
        <v>7.413472949687501E-2</v>
      </c>
      <c r="AR9" s="2"/>
      <c r="AU9" s="2"/>
      <c r="AX9" s="2"/>
      <c r="BA9" s="2"/>
      <c r="BB9" s="1">
        <v>277.91000000000003</v>
      </c>
      <c r="BC9" s="1">
        <v>12.25</v>
      </c>
      <c r="BD9" s="2">
        <f t="shared" si="15"/>
        <v>2.6064918359375005E-2</v>
      </c>
      <c r="BG9" s="2"/>
      <c r="BJ9" s="2"/>
      <c r="BM9" s="2"/>
      <c r="BP9" s="2"/>
      <c r="BS9" s="2"/>
      <c r="BV9" s="2"/>
      <c r="BY9" s="2"/>
      <c r="BZ9" s="1">
        <v>1178.1500000000001</v>
      </c>
      <c r="CA9" s="1">
        <v>44.52</v>
      </c>
      <c r="CB9" s="2">
        <f t="shared" si="23"/>
        <v>1.4594556973500004</v>
      </c>
      <c r="CE9" s="2"/>
      <c r="CH9" s="2"/>
    </row>
    <row r="10" spans="1:86" x14ac:dyDescent="0.2">
      <c r="C10" s="1">
        <v>430.53</v>
      </c>
      <c r="D10" s="1">
        <v>14.4</v>
      </c>
      <c r="E10" s="2">
        <f t="shared" si="0"/>
        <v>5.5796687999999997E-2</v>
      </c>
      <c r="F10" s="1">
        <v>538.14</v>
      </c>
      <c r="G10" s="1">
        <v>18.48</v>
      </c>
      <c r="H10" s="2">
        <f t="shared" si="1"/>
        <v>0.11486275416000001</v>
      </c>
      <c r="K10" s="2"/>
      <c r="L10" s="1">
        <v>312.83</v>
      </c>
      <c r="M10" s="1">
        <v>15.45</v>
      </c>
      <c r="N10" s="2">
        <f t="shared" si="2"/>
        <v>4.6670814421874991E-2</v>
      </c>
      <c r="O10" s="1">
        <v>257.7</v>
      </c>
      <c r="P10" s="1">
        <v>14.43</v>
      </c>
      <c r="Q10" s="2">
        <f>(O10*P10*P10)/1600000</f>
        <v>3.3537222956250001E-2</v>
      </c>
      <c r="R10" s="1">
        <v>353.18</v>
      </c>
      <c r="S10" s="1">
        <v>18.190000000000001</v>
      </c>
      <c r="T10" s="2">
        <f t="shared" si="3"/>
        <v>7.3036763123750001E-2</v>
      </c>
      <c r="U10" s="1">
        <v>257.06</v>
      </c>
      <c r="V10" s="1">
        <v>12.8</v>
      </c>
      <c r="W10" s="2">
        <f t="shared" si="4"/>
        <v>2.6322944000000008E-2</v>
      </c>
      <c r="Z10" s="2"/>
      <c r="AC10" s="2"/>
      <c r="AD10" s="1">
        <v>235.45</v>
      </c>
      <c r="AE10" s="1">
        <v>13.5</v>
      </c>
      <c r="AF10" s="2">
        <f t="shared" si="7"/>
        <v>2.68192265625E-2</v>
      </c>
      <c r="AI10" s="2"/>
      <c r="AJ10" s="1">
        <v>289.43</v>
      </c>
      <c r="AK10" s="1">
        <v>8.94</v>
      </c>
      <c r="AL10" s="2">
        <f t="shared" si="9"/>
        <v>1.4457679717499998E-2</v>
      </c>
      <c r="AM10" s="1">
        <v>624.47</v>
      </c>
      <c r="AN10" s="1">
        <v>22.38</v>
      </c>
      <c r="AO10" s="2">
        <f t="shared" si="10"/>
        <v>0.19548424491749999</v>
      </c>
      <c r="AR10" s="2"/>
      <c r="AU10" s="2"/>
      <c r="AX10" s="2"/>
      <c r="BA10" s="2"/>
      <c r="BB10" s="1">
        <v>348.04</v>
      </c>
      <c r="BC10" s="1">
        <v>15.69</v>
      </c>
      <c r="BD10" s="2">
        <f t="shared" si="15"/>
        <v>5.3549456152500008E-2</v>
      </c>
      <c r="BG10" s="2"/>
      <c r="BJ10" s="2"/>
      <c r="BM10" s="2"/>
      <c r="BP10" s="2"/>
      <c r="BS10" s="2"/>
      <c r="BV10" s="2"/>
      <c r="BY10" s="2"/>
      <c r="CB10" s="2"/>
      <c r="CE10" s="2"/>
      <c r="CH10" s="2"/>
    </row>
    <row r="11" spans="1:86" x14ac:dyDescent="0.2">
      <c r="C11" s="1">
        <v>317.64</v>
      </c>
      <c r="D11" s="1">
        <v>14.17</v>
      </c>
      <c r="E11" s="2">
        <f t="shared" si="0"/>
        <v>3.9861616372499992E-2</v>
      </c>
      <c r="F11" s="1">
        <v>309.72000000000003</v>
      </c>
      <c r="G11" s="1">
        <v>13.7</v>
      </c>
      <c r="H11" s="2">
        <f t="shared" si="1"/>
        <v>3.6332091749999997E-2</v>
      </c>
      <c r="K11" s="2"/>
      <c r="L11" s="1">
        <v>241.96</v>
      </c>
      <c r="M11" s="1">
        <v>13.51</v>
      </c>
      <c r="N11" s="2">
        <f t="shared" si="2"/>
        <v>2.7601602122500003E-2</v>
      </c>
      <c r="Q11" s="2"/>
      <c r="R11" s="1">
        <v>495.15</v>
      </c>
      <c r="S11" s="1">
        <v>14.21</v>
      </c>
      <c r="T11" s="2">
        <f t="shared" si="3"/>
        <v>6.2489198821875008E-2</v>
      </c>
      <c r="U11" s="1">
        <v>213.01</v>
      </c>
      <c r="V11" s="1">
        <v>13.52</v>
      </c>
      <c r="W11" s="2">
        <f t="shared" si="4"/>
        <v>2.4335114439999996E-2</v>
      </c>
      <c r="Z11" s="2"/>
      <c r="AC11" s="2"/>
      <c r="AD11" s="1">
        <v>297.74</v>
      </c>
      <c r="AE11" s="1">
        <v>14.21</v>
      </c>
      <c r="AF11" s="2">
        <f t="shared" si="7"/>
        <v>3.7575550958750002E-2</v>
      </c>
      <c r="AI11" s="2"/>
      <c r="AJ11" s="1">
        <v>274.8</v>
      </c>
      <c r="AK11" s="1">
        <v>9.7799999999999994</v>
      </c>
      <c r="AL11" s="2">
        <f t="shared" si="9"/>
        <v>1.6427612699999997E-2</v>
      </c>
      <c r="AM11" s="1">
        <v>929.34</v>
      </c>
      <c r="AN11" s="1">
        <v>31.59</v>
      </c>
      <c r="AO11" s="2">
        <f t="shared" si="10"/>
        <v>0.57963406278375007</v>
      </c>
      <c r="AR11" s="2"/>
      <c r="AU11" s="2"/>
      <c r="AX11" s="2"/>
      <c r="BA11" s="2"/>
      <c r="BB11" s="1">
        <v>601.66</v>
      </c>
      <c r="BC11" s="1">
        <v>16.53</v>
      </c>
      <c r="BD11" s="2">
        <f t="shared" si="15"/>
        <v>0.10274882493375</v>
      </c>
      <c r="BG11" s="2"/>
      <c r="BJ11" s="2"/>
      <c r="BM11" s="2"/>
      <c r="BP11" s="2"/>
      <c r="BS11" s="2"/>
      <c r="BV11" s="2"/>
      <c r="BY11" s="2"/>
      <c r="CB11" s="2"/>
      <c r="CE11" s="2"/>
      <c r="CH11" s="2"/>
    </row>
    <row r="12" spans="1:86" x14ac:dyDescent="0.2">
      <c r="C12" s="1">
        <v>329.43</v>
      </c>
      <c r="D12" s="1">
        <v>16.8</v>
      </c>
      <c r="E12" s="2">
        <f t="shared" si="0"/>
        <v>5.8111452000000001E-2</v>
      </c>
      <c r="F12" s="1">
        <v>278.36</v>
      </c>
      <c r="G12" s="1">
        <v>17.600000000000001</v>
      </c>
      <c r="H12" s="2">
        <f t="shared" si="1"/>
        <v>5.389049600000001E-2</v>
      </c>
      <c r="K12" s="2"/>
      <c r="L12" s="1">
        <v>233.53</v>
      </c>
      <c r="M12" s="1">
        <v>11.8</v>
      </c>
      <c r="N12" s="2">
        <f t="shared" si="2"/>
        <v>2.032294825E-2</v>
      </c>
      <c r="Q12" s="2"/>
      <c r="R12" s="1">
        <v>429.7</v>
      </c>
      <c r="S12" s="1">
        <v>16.61</v>
      </c>
      <c r="T12" s="2">
        <f t="shared" si="3"/>
        <v>7.4094272106249998E-2</v>
      </c>
      <c r="U12" s="1">
        <v>247.62</v>
      </c>
      <c r="V12" s="1">
        <v>14.16</v>
      </c>
      <c r="W12" s="2">
        <f t="shared" si="4"/>
        <v>3.1030747919999997E-2</v>
      </c>
      <c r="Z12" s="2"/>
      <c r="AC12" s="2"/>
      <c r="AD12" s="1">
        <v>234.61</v>
      </c>
      <c r="AE12" s="1">
        <v>11.12</v>
      </c>
      <c r="AF12" s="2">
        <f t="shared" si="7"/>
        <v>1.8131599239999997E-2</v>
      </c>
      <c r="AI12" s="2"/>
      <c r="AJ12" s="1">
        <v>808.51</v>
      </c>
      <c r="AK12" s="1">
        <v>16.82</v>
      </c>
      <c r="AL12" s="2">
        <f t="shared" si="9"/>
        <v>0.14296094032749998</v>
      </c>
      <c r="AM12" s="1">
        <v>430.93</v>
      </c>
      <c r="AN12" s="1">
        <v>16.46</v>
      </c>
      <c r="AO12" s="2">
        <f t="shared" si="10"/>
        <v>7.2970346492500018E-2</v>
      </c>
      <c r="AR12" s="2"/>
      <c r="AU12" s="2"/>
      <c r="AX12" s="2"/>
      <c r="BA12" s="2"/>
      <c r="BD12" s="2"/>
      <c r="BG12" s="2"/>
      <c r="BJ12" s="2"/>
      <c r="BM12" s="2"/>
      <c r="BP12" s="2"/>
      <c r="BS12" s="2"/>
      <c r="BV12" s="2"/>
      <c r="BY12" s="2"/>
      <c r="CB12" s="2"/>
      <c r="CE12" s="2"/>
      <c r="CH12" s="2"/>
    </row>
    <row r="13" spans="1:86" x14ac:dyDescent="0.2">
      <c r="C13" s="1">
        <v>278.54000000000002</v>
      </c>
      <c r="D13" s="1">
        <v>15.89</v>
      </c>
      <c r="E13" s="2">
        <f t="shared" si="0"/>
        <v>4.3955718458750008E-2</v>
      </c>
      <c r="F13" s="1">
        <v>293.5</v>
      </c>
      <c r="G13" s="1">
        <v>14.31</v>
      </c>
      <c r="H13" s="2">
        <f t="shared" si="1"/>
        <v>3.7563615843750009E-2</v>
      </c>
      <c r="K13" s="2"/>
      <c r="N13" s="2"/>
      <c r="Q13" s="2"/>
      <c r="R13" s="1">
        <v>273.23</v>
      </c>
      <c r="S13" s="1">
        <v>9.16</v>
      </c>
      <c r="T13" s="2">
        <f t="shared" si="3"/>
        <v>1.4328454430000002E-2</v>
      </c>
      <c r="U13" s="1">
        <v>349.12</v>
      </c>
      <c r="V13" s="1">
        <v>18.04</v>
      </c>
      <c r="W13" s="2">
        <f t="shared" si="4"/>
        <v>7.1011357119999993E-2</v>
      </c>
      <c r="Z13" s="2"/>
      <c r="AC13" s="2"/>
      <c r="AD13" s="1">
        <v>334.23</v>
      </c>
      <c r="AE13" s="1">
        <v>13.59</v>
      </c>
      <c r="AF13" s="2">
        <f t="shared" si="7"/>
        <v>3.8580189789374997E-2</v>
      </c>
      <c r="AI13" s="2"/>
      <c r="AJ13" s="1">
        <v>268.38</v>
      </c>
      <c r="AK13" s="1">
        <v>8.73</v>
      </c>
      <c r="AL13" s="2">
        <f t="shared" si="9"/>
        <v>1.2783761313750001E-2</v>
      </c>
      <c r="AO13" s="2">
        <f t="shared" si="10"/>
        <v>0</v>
      </c>
      <c r="AR13" s="2"/>
      <c r="AU13" s="2"/>
      <c r="AX13" s="2"/>
      <c r="BA13" s="2"/>
      <c r="BD13" s="2"/>
      <c r="BG13" s="2"/>
      <c r="BJ13" s="2"/>
      <c r="BM13" s="2"/>
      <c r="BP13" s="2"/>
      <c r="BS13" s="2"/>
      <c r="BV13" s="2"/>
      <c r="BY13" s="2"/>
      <c r="CB13" s="2"/>
      <c r="CE13" s="2"/>
      <c r="CH13" s="2"/>
    </row>
    <row r="14" spans="1:86" x14ac:dyDescent="0.2">
      <c r="C14" s="1">
        <v>379.8</v>
      </c>
      <c r="D14" s="1">
        <v>15.32</v>
      </c>
      <c r="E14" s="2">
        <f t="shared" si="0"/>
        <v>5.5712482200000003E-2</v>
      </c>
      <c r="F14" s="1">
        <v>350.39</v>
      </c>
      <c r="G14" s="1">
        <v>13.53</v>
      </c>
      <c r="H14" s="2">
        <f t="shared" si="1"/>
        <v>4.0089192969374993E-2</v>
      </c>
      <c r="K14" s="2"/>
      <c r="N14" s="2"/>
      <c r="Q14" s="2"/>
      <c r="R14" s="1">
        <v>312.8</v>
      </c>
      <c r="S14" s="1">
        <v>12.96</v>
      </c>
      <c r="T14" s="2">
        <f t="shared" si="3"/>
        <v>3.2836492800000006E-2</v>
      </c>
      <c r="U14" s="1">
        <v>226.88</v>
      </c>
      <c r="V14" s="1">
        <v>13.29</v>
      </c>
      <c r="W14" s="2">
        <f t="shared" si="4"/>
        <v>2.5045297379999998E-2</v>
      </c>
      <c r="Z14" s="2"/>
      <c r="AC14" s="2"/>
      <c r="AD14" s="1">
        <v>332.76</v>
      </c>
      <c r="AE14" s="1">
        <v>15.78</v>
      </c>
      <c r="AF14" s="2">
        <f t="shared" si="7"/>
        <v>5.1787521989999995E-2</v>
      </c>
      <c r="AI14" s="2"/>
      <c r="AL14" s="2"/>
      <c r="AO14" s="2"/>
      <c r="AR14" s="2"/>
      <c r="AU14" s="2"/>
      <c r="AX14" s="2"/>
      <c r="BA14" s="2"/>
      <c r="BD14" s="2"/>
      <c r="BG14" s="2"/>
      <c r="BJ14" s="2"/>
      <c r="BM14" s="2"/>
      <c r="BP14" s="2"/>
      <c r="BS14" s="2"/>
      <c r="BV14" s="2"/>
      <c r="BY14" s="2"/>
      <c r="CB14" s="2"/>
      <c r="CE14" s="2"/>
      <c r="CH14" s="2"/>
    </row>
    <row r="15" spans="1:86" x14ac:dyDescent="0.2">
      <c r="C15" s="1">
        <v>361.99</v>
      </c>
      <c r="D15" s="1">
        <v>15.82</v>
      </c>
      <c r="E15" s="2">
        <f t="shared" si="0"/>
        <v>5.662256629750001E-2</v>
      </c>
      <c r="H15" s="2"/>
      <c r="K15" s="2"/>
      <c r="N15" s="2"/>
      <c r="Q15" s="2"/>
      <c r="R15" s="1">
        <v>251.44</v>
      </c>
      <c r="S15" s="1">
        <v>10.63</v>
      </c>
      <c r="T15" s="2">
        <f t="shared" si="3"/>
        <v>1.7757462835000005E-2</v>
      </c>
      <c r="U15" s="1">
        <v>298.29000000000002</v>
      </c>
      <c r="V15" s="1">
        <v>16.510000000000002</v>
      </c>
      <c r="W15" s="2">
        <f t="shared" si="4"/>
        <v>5.0817448768125016E-2</v>
      </c>
      <c r="Z15" s="2"/>
      <c r="AC15" s="2"/>
      <c r="AF15" s="2"/>
      <c r="AI15" s="2"/>
      <c r="AL15" s="2"/>
      <c r="AO15" s="2"/>
      <c r="AR15" s="2"/>
      <c r="AU15" s="2"/>
      <c r="AX15" s="2"/>
      <c r="BA15" s="2"/>
      <c r="BD15" s="2"/>
      <c r="BG15" s="2"/>
      <c r="BJ15" s="2"/>
      <c r="BM15" s="2"/>
      <c r="BP15" s="2"/>
      <c r="BS15" s="2"/>
      <c r="BV15" s="2"/>
      <c r="BY15" s="2"/>
      <c r="CB15" s="2"/>
      <c r="CE15" s="2"/>
      <c r="CH15" s="2"/>
    </row>
    <row r="16" spans="1:86" x14ac:dyDescent="0.2">
      <c r="C16" s="1">
        <v>353.8</v>
      </c>
      <c r="D16" s="1">
        <v>15.38</v>
      </c>
      <c r="E16" s="2">
        <f t="shared" si="0"/>
        <v>5.2305880450000002E-2</v>
      </c>
      <c r="H16" s="2"/>
      <c r="K16" s="2"/>
      <c r="N16" s="2"/>
      <c r="Q16" s="2"/>
      <c r="T16" s="2"/>
      <c r="W16" s="2"/>
      <c r="Z16" s="2"/>
      <c r="AC16" s="2"/>
      <c r="AF16" s="2"/>
      <c r="AI16" s="2"/>
      <c r="AL16" s="2"/>
      <c r="AO16" s="2"/>
      <c r="AR16" s="2"/>
      <c r="AU16" s="2"/>
      <c r="AX16" s="2"/>
      <c r="BA16" s="2"/>
      <c r="BD16" s="2"/>
      <c r="BG16" s="2"/>
      <c r="BJ16" s="2"/>
      <c r="BM16" s="2"/>
      <c r="BP16" s="2"/>
      <c r="BS16" s="2"/>
      <c r="BV16" s="2"/>
      <c r="BY16" s="2"/>
      <c r="CB16" s="2"/>
      <c r="CE16" s="2"/>
      <c r="CH16" s="2"/>
    </row>
    <row r="17" spans="3:86" x14ac:dyDescent="0.2">
      <c r="C17" s="1">
        <v>390.3</v>
      </c>
      <c r="D17" s="1">
        <v>17.739999999999998</v>
      </c>
      <c r="E17" s="2">
        <f t="shared" si="0"/>
        <v>7.6768985174999985E-2</v>
      </c>
      <c r="H17" s="2"/>
      <c r="K17" s="2"/>
      <c r="N17" s="2"/>
      <c r="Q17" s="2"/>
      <c r="T17" s="2"/>
      <c r="W17" s="2"/>
      <c r="Z17" s="2"/>
      <c r="AC17" s="2"/>
      <c r="AF17" s="2"/>
      <c r="AI17" s="2"/>
      <c r="AL17" s="2"/>
      <c r="AO17" s="2"/>
      <c r="AR17" s="2"/>
      <c r="AU17" s="2"/>
      <c r="AX17" s="2"/>
      <c r="BA17" s="2"/>
      <c r="BD17" s="2"/>
      <c r="BG17" s="2"/>
      <c r="BJ17" s="2"/>
      <c r="BM17" s="2"/>
      <c r="BP17" s="2"/>
      <c r="BS17" s="2"/>
      <c r="BV17" s="2"/>
      <c r="BY17" s="2"/>
      <c r="CB17" s="2"/>
      <c r="CE17" s="2"/>
      <c r="CH17" s="2"/>
    </row>
    <row r="18" spans="3:86" x14ac:dyDescent="0.2">
      <c r="C18" s="1">
        <v>387.89</v>
      </c>
      <c r="D18" s="1">
        <v>15.55</v>
      </c>
      <c r="E18" s="2">
        <f t="shared" si="0"/>
        <v>5.8620482328125008E-2</v>
      </c>
      <c r="H18" s="2"/>
      <c r="K18" s="2"/>
      <c r="N18" s="2"/>
      <c r="Q18" s="2"/>
      <c r="T18" s="2"/>
      <c r="W18" s="2"/>
      <c r="Z18" s="2"/>
      <c r="AC18" s="2"/>
      <c r="AF18" s="2"/>
      <c r="AI18" s="2"/>
      <c r="AL18" s="2"/>
      <c r="AO18" s="2"/>
      <c r="AR18" s="2"/>
      <c r="AU18" s="2"/>
      <c r="AX18" s="2"/>
      <c r="BA18" s="2"/>
      <c r="BD18" s="2"/>
      <c r="BG18" s="2"/>
      <c r="BJ18" s="2"/>
      <c r="BM18" s="2"/>
      <c r="BP18" s="2"/>
      <c r="BS18" s="2"/>
      <c r="BV18" s="2"/>
      <c r="BY18" s="2"/>
      <c r="CB18" s="2"/>
      <c r="CE18" s="2"/>
      <c r="CH18" s="2"/>
    </row>
    <row r="19" spans="3:86" x14ac:dyDescent="0.2">
      <c r="C19" s="1">
        <v>397.5</v>
      </c>
      <c r="D19" s="1">
        <v>15.03</v>
      </c>
      <c r="E19" s="2">
        <f t="shared" si="0"/>
        <v>5.6122254843749997E-2</v>
      </c>
      <c r="H19" s="2"/>
      <c r="K19" s="2"/>
      <c r="N19" s="2"/>
      <c r="Q19" s="2"/>
      <c r="T19" s="2"/>
      <c r="W19" s="2"/>
      <c r="Z19" s="2"/>
      <c r="AC19" s="2"/>
      <c r="AF19" s="2"/>
      <c r="AI19" s="2"/>
      <c r="AL19" s="2"/>
      <c r="AO19" s="2"/>
      <c r="AR19" s="2"/>
      <c r="AU19" s="2"/>
      <c r="AX19" s="2"/>
      <c r="BA19" s="2"/>
      <c r="BD19" s="2"/>
      <c r="BG19" s="2"/>
      <c r="BJ19" s="2"/>
      <c r="BM19" s="2"/>
      <c r="BP19" s="2"/>
      <c r="BS19" s="2"/>
      <c r="BV19" s="2"/>
      <c r="BY19" s="2"/>
      <c r="CB19" s="2"/>
      <c r="CE19" s="2"/>
      <c r="CH19" s="2"/>
    </row>
    <row r="20" spans="3:86" x14ac:dyDescent="0.2">
      <c r="C20" s="1">
        <v>419.47</v>
      </c>
      <c r="D20" s="1">
        <v>14.28</v>
      </c>
      <c r="E20" s="2">
        <f t="shared" si="0"/>
        <v>5.3461032029999994E-2</v>
      </c>
      <c r="H20" s="2"/>
      <c r="K20" s="2"/>
      <c r="N20" s="2"/>
      <c r="Q20" s="2"/>
      <c r="T20" s="2"/>
      <c r="W20" s="2"/>
      <c r="Z20" s="2"/>
      <c r="AC20" s="2"/>
      <c r="AF20" s="2"/>
      <c r="AI20" s="2"/>
      <c r="AL20" s="2"/>
      <c r="AO20" s="2"/>
      <c r="AR20" s="2"/>
      <c r="AU20" s="2"/>
      <c r="AX20" s="2"/>
      <c r="BA20" s="2"/>
      <c r="BD20" s="2"/>
      <c r="BG20" s="2"/>
      <c r="BJ20" s="2"/>
      <c r="BM20" s="2"/>
      <c r="BP20" s="2"/>
      <c r="BS20" s="2"/>
      <c r="BV20" s="2"/>
      <c r="BY20" s="2"/>
      <c r="CB20" s="2"/>
      <c r="CE20" s="2"/>
      <c r="CH20" s="2"/>
    </row>
    <row r="21" spans="3:86" x14ac:dyDescent="0.2">
      <c r="C21" s="1">
        <v>360.17</v>
      </c>
      <c r="D21" s="1">
        <v>17.940000000000001</v>
      </c>
      <c r="E21" s="2">
        <f t="shared" si="0"/>
        <v>7.2449005882500001E-2</v>
      </c>
      <c r="H21" s="2"/>
      <c r="K21" s="2"/>
      <c r="N21" s="2"/>
      <c r="Q21" s="2"/>
      <c r="T21" s="2"/>
      <c r="W21" s="2"/>
      <c r="Z21" s="2"/>
      <c r="AC21" s="2"/>
      <c r="AF21" s="2"/>
      <c r="AI21" s="2"/>
      <c r="AL21" s="2"/>
      <c r="AO21" s="2"/>
      <c r="AR21" s="2"/>
      <c r="AU21" s="2"/>
      <c r="AX21" s="2"/>
      <c r="BA21" s="2"/>
      <c r="BD21" s="2"/>
      <c r="BG21" s="2"/>
      <c r="BJ21" s="2"/>
      <c r="BM21" s="2"/>
      <c r="BP21" s="2"/>
      <c r="BS21" s="2"/>
      <c r="BV21" s="2"/>
      <c r="BY21" s="2"/>
      <c r="CB21" s="2"/>
      <c r="CE21" s="2"/>
      <c r="CH21" s="2"/>
    </row>
    <row r="22" spans="3:86" x14ac:dyDescent="0.2">
      <c r="C22" s="1">
        <v>389.83</v>
      </c>
      <c r="D22" s="1">
        <v>18.77</v>
      </c>
      <c r="E22" s="2">
        <f t="shared" si="0"/>
        <v>8.5838836129374999E-2</v>
      </c>
      <c r="H22" s="2"/>
      <c r="K22" s="2"/>
      <c r="N22" s="2"/>
      <c r="Q22" s="2"/>
      <c r="T22" s="2"/>
      <c r="W22" s="2"/>
      <c r="Z22" s="2"/>
      <c r="AC22" s="2"/>
      <c r="AF22" s="2"/>
      <c r="AI22" s="2"/>
      <c r="AL22" s="2"/>
      <c r="AO22" s="2"/>
      <c r="AR22" s="2"/>
      <c r="AU22" s="2"/>
      <c r="AX22" s="2"/>
      <c r="BA22" s="2"/>
      <c r="BD22" s="2"/>
      <c r="BG22" s="2"/>
      <c r="BJ22" s="2"/>
      <c r="BM22" s="2"/>
      <c r="BP22" s="2"/>
      <c r="BS22" s="2"/>
      <c r="BV22" s="2"/>
      <c r="BY22" s="2"/>
      <c r="CB22" s="2"/>
      <c r="CE22" s="2"/>
      <c r="CH22" s="2"/>
    </row>
    <row r="23" spans="3:86" x14ac:dyDescent="0.2">
      <c r="C23" s="1">
        <v>355.83</v>
      </c>
      <c r="D23" s="1">
        <v>15.52</v>
      </c>
      <c r="E23" s="2">
        <f t="shared" si="0"/>
        <v>5.3568071519999996E-2</v>
      </c>
      <c r="H23" s="2"/>
      <c r="K23" s="2"/>
      <c r="N23" s="2"/>
      <c r="Q23" s="2"/>
      <c r="T23" s="2"/>
      <c r="W23" s="2"/>
      <c r="Z23" s="2"/>
      <c r="AC23" s="2"/>
      <c r="AF23" s="2"/>
      <c r="AI23" s="2"/>
      <c r="AL23" s="2"/>
      <c r="AO23" s="2"/>
      <c r="AR23" s="2"/>
      <c r="AU23" s="2"/>
      <c r="AX23" s="2"/>
      <c r="BA23" s="2"/>
      <c r="BD23" s="2"/>
      <c r="BG23" s="2"/>
      <c r="BJ23" s="2"/>
      <c r="BM23" s="2"/>
      <c r="BP23" s="2"/>
      <c r="BS23" s="2"/>
      <c r="BV23" s="2"/>
      <c r="BY23" s="2"/>
      <c r="CB23" s="2"/>
      <c r="CE23" s="2"/>
      <c r="CH23" s="2"/>
    </row>
    <row r="24" spans="3:86" x14ac:dyDescent="0.2">
      <c r="C24" s="1">
        <v>440.52</v>
      </c>
      <c r="D24" s="1">
        <v>19.059999999999999</v>
      </c>
      <c r="E24" s="2">
        <f t="shared" si="0"/>
        <v>0.10002105716999997</v>
      </c>
      <c r="H24" s="2"/>
      <c r="K24" s="2"/>
      <c r="N24" s="2"/>
      <c r="Q24" s="2"/>
      <c r="T24" s="2"/>
      <c r="W24" s="2"/>
      <c r="Z24" s="2"/>
      <c r="AC24" s="2"/>
      <c r="AF24" s="2"/>
      <c r="AI24" s="2"/>
      <c r="AL24" s="2"/>
      <c r="AO24" s="2"/>
      <c r="AR24" s="2"/>
      <c r="AU24" s="2"/>
      <c r="AX24" s="2"/>
      <c r="BA24" s="2"/>
      <c r="BD24" s="2"/>
      <c r="BG24" s="2"/>
      <c r="BJ24" s="2"/>
      <c r="BM24" s="2"/>
      <c r="BP24" s="2"/>
      <c r="BS24" s="2"/>
      <c r="BV24" s="2"/>
      <c r="BY24" s="2"/>
      <c r="CB24" s="2"/>
      <c r="CE24" s="2"/>
      <c r="CH24" s="2"/>
    </row>
    <row r="25" spans="3:86" x14ac:dyDescent="0.2">
      <c r="C25" s="1">
        <v>413.24</v>
      </c>
      <c r="D25" s="1">
        <v>18.420000000000002</v>
      </c>
      <c r="E25" s="2">
        <f t="shared" si="0"/>
        <v>8.7631777710000025E-2</v>
      </c>
      <c r="H25" s="2"/>
      <c r="K25" s="2"/>
      <c r="N25" s="2"/>
      <c r="Q25" s="2"/>
      <c r="T25" s="2"/>
      <c r="W25" s="2"/>
      <c r="Z25" s="2"/>
      <c r="AC25" s="2"/>
      <c r="AF25" s="2"/>
      <c r="AI25" s="2"/>
      <c r="AL25" s="2"/>
      <c r="AO25" s="2"/>
      <c r="AR25" s="2"/>
      <c r="AU25" s="2"/>
      <c r="AX25" s="2"/>
      <c r="BA25" s="2"/>
      <c r="BD25" s="2"/>
      <c r="BG25" s="2"/>
      <c r="BJ25" s="2"/>
      <c r="BM25" s="2"/>
      <c r="BP25" s="2"/>
      <c r="BS25" s="2"/>
      <c r="BV25" s="2"/>
      <c r="BY25" s="2"/>
      <c r="CB25" s="2"/>
      <c r="CE25" s="2"/>
      <c r="CH25" s="2"/>
    </row>
    <row r="26" spans="3:86" x14ac:dyDescent="0.2">
      <c r="C26" s="1">
        <v>316.06</v>
      </c>
      <c r="D26" s="1">
        <v>12.4</v>
      </c>
      <c r="E26" s="2">
        <f t="shared" si="0"/>
        <v>3.0373366000000002E-2</v>
      </c>
      <c r="H26" s="2"/>
      <c r="K26" s="2"/>
      <c r="N26" s="2"/>
      <c r="Q26" s="2"/>
      <c r="T26" s="2"/>
      <c r="W26" s="2"/>
      <c r="Z26" s="2"/>
      <c r="AC26" s="2"/>
      <c r="AF26" s="2"/>
      <c r="AI26" s="2"/>
      <c r="AL26" s="2"/>
      <c r="AO26" s="2"/>
      <c r="AR26" s="2"/>
      <c r="AU26" s="2"/>
      <c r="AX26" s="2"/>
      <c r="BA26" s="2"/>
      <c r="BD26" s="2"/>
      <c r="BG26" s="2"/>
      <c r="BJ26" s="2"/>
      <c r="BM26" s="2"/>
      <c r="BP26" s="2"/>
      <c r="BS26" s="2"/>
      <c r="BV26" s="2"/>
      <c r="BY26" s="2"/>
      <c r="CB26" s="2"/>
      <c r="CE26" s="2"/>
      <c r="CH26" s="2"/>
    </row>
    <row r="27" spans="3:86" x14ac:dyDescent="0.2">
      <c r="C27" s="1">
        <v>438.59</v>
      </c>
      <c r="D27" s="1">
        <v>16.78</v>
      </c>
      <c r="E27" s="2">
        <f t="shared" si="0"/>
        <v>7.7183177847500006E-2</v>
      </c>
      <c r="H27" s="2"/>
      <c r="K27" s="2"/>
      <c r="N27" s="2"/>
      <c r="Q27" s="2"/>
      <c r="T27" s="2"/>
      <c r="W27" s="2"/>
      <c r="Z27" s="2"/>
      <c r="AC27" s="2"/>
      <c r="AF27" s="2"/>
      <c r="AI27" s="2"/>
      <c r="AL27" s="2"/>
      <c r="AO27" s="2"/>
      <c r="AR27" s="2"/>
      <c r="AU27" s="2"/>
      <c r="AX27" s="2"/>
      <c r="BA27" s="2"/>
      <c r="BD27" s="2"/>
      <c r="BG27" s="2"/>
      <c r="BJ27" s="2"/>
      <c r="BM27" s="2"/>
      <c r="BP27" s="2"/>
      <c r="BS27" s="2"/>
      <c r="BV27" s="2"/>
      <c r="BY27" s="2"/>
      <c r="CB27" s="2"/>
      <c r="CE27" s="2"/>
      <c r="CH27" s="2"/>
    </row>
    <row r="28" spans="3:86" x14ac:dyDescent="0.2">
      <c r="C28" s="1">
        <v>336.28</v>
      </c>
      <c r="D28" s="1">
        <v>15.08</v>
      </c>
      <c r="E28" s="2">
        <f t="shared" si="0"/>
        <v>4.7795140119999996E-2</v>
      </c>
      <c r="H28" s="2"/>
      <c r="K28" s="2"/>
      <c r="N28" s="2"/>
      <c r="Q28" s="2"/>
      <c r="T28" s="2"/>
      <c r="W28" s="2"/>
      <c r="Z28" s="2"/>
      <c r="AC28" s="2"/>
      <c r="AF28" s="2"/>
      <c r="AI28" s="2"/>
      <c r="AL28" s="2"/>
      <c r="AO28" s="2"/>
      <c r="AR28" s="2"/>
      <c r="AU28" s="2"/>
      <c r="AX28" s="2"/>
      <c r="BA28" s="2"/>
      <c r="BD28" s="2"/>
      <c r="BG28" s="2"/>
      <c r="BJ28" s="2"/>
      <c r="BM28" s="2"/>
      <c r="BP28" s="2"/>
      <c r="BS28" s="2"/>
      <c r="BV28" s="2"/>
      <c r="BY28" s="2"/>
      <c r="CB28" s="2"/>
      <c r="CE28" s="2"/>
      <c r="CH28" s="2"/>
    </row>
    <row r="29" spans="3:86" x14ac:dyDescent="0.2">
      <c r="C29" s="1">
        <v>336.34</v>
      </c>
      <c r="D29" s="1">
        <v>13.78</v>
      </c>
      <c r="E29" s="2">
        <f t="shared" si="0"/>
        <v>3.9916915284999993E-2</v>
      </c>
      <c r="H29" s="2"/>
      <c r="K29" s="2"/>
      <c r="N29" s="2"/>
      <c r="Q29" s="2"/>
      <c r="T29" s="2"/>
      <c r="W29" s="2"/>
      <c r="Z29" s="2"/>
      <c r="AC29" s="2"/>
      <c r="AF29" s="2"/>
      <c r="AI29" s="2"/>
      <c r="AL29" s="2"/>
      <c r="AO29" s="2"/>
      <c r="AR29" s="2"/>
      <c r="AU29" s="2"/>
      <c r="AX29" s="2"/>
      <c r="BA29" s="2"/>
      <c r="BD29" s="2"/>
      <c r="BG29" s="2"/>
      <c r="BJ29" s="2"/>
      <c r="BM29" s="2"/>
      <c r="BP29" s="2"/>
      <c r="BS29" s="2"/>
      <c r="BV29" s="2"/>
      <c r="BY29" s="2"/>
      <c r="CB29" s="2"/>
      <c r="CE29" s="2"/>
      <c r="CH29" s="2"/>
    </row>
    <row r="30" spans="3:86" x14ac:dyDescent="0.2">
      <c r="C30" s="1">
        <v>409.95</v>
      </c>
      <c r="D30" s="1">
        <v>20.14</v>
      </c>
      <c r="E30" s="2">
        <f t="shared" si="0"/>
        <v>0.10392734688750001</v>
      </c>
      <c r="H30" s="2"/>
      <c r="K30" s="2"/>
      <c r="N30" s="2"/>
      <c r="Q30" s="2"/>
      <c r="T30" s="2"/>
      <c r="W30" s="2"/>
      <c r="Z30" s="2"/>
      <c r="AC30" s="2"/>
      <c r="AF30" s="2"/>
      <c r="AI30" s="2"/>
      <c r="AL30" s="2"/>
      <c r="AO30" s="2"/>
      <c r="AR30" s="2"/>
      <c r="AU30" s="2"/>
      <c r="AX30" s="2"/>
      <c r="BA30" s="2"/>
      <c r="BD30" s="2"/>
      <c r="BG30" s="2"/>
      <c r="BJ30" s="2"/>
      <c r="BM30" s="2"/>
      <c r="BP30" s="2"/>
      <c r="BS30" s="2"/>
      <c r="BV30" s="2"/>
      <c r="BY30" s="2"/>
      <c r="CB30" s="2"/>
      <c r="CE30" s="2"/>
      <c r="CH30" s="2"/>
    </row>
    <row r="31" spans="3:86" x14ac:dyDescent="0.2">
      <c r="C31" s="1">
        <v>401.8</v>
      </c>
      <c r="D31" s="1">
        <v>16.989999999999998</v>
      </c>
      <c r="E31" s="2">
        <f t="shared" si="0"/>
        <v>7.2489767612499992E-2</v>
      </c>
      <c r="H31" s="2"/>
      <c r="K31" s="2"/>
      <c r="N31" s="2"/>
      <c r="Q31" s="2"/>
      <c r="T31" s="2"/>
      <c r="W31" s="2"/>
      <c r="Z31" s="2"/>
      <c r="AC31" s="2"/>
      <c r="AF31" s="2"/>
      <c r="AI31" s="2"/>
      <c r="AL31" s="2"/>
      <c r="AO31" s="2"/>
      <c r="AR31" s="2"/>
      <c r="AU31" s="2"/>
      <c r="AX31" s="2"/>
      <c r="BA31" s="2"/>
      <c r="BD31" s="2"/>
      <c r="BG31" s="2"/>
      <c r="BJ31" s="2"/>
      <c r="BM31" s="2"/>
      <c r="BP31" s="2"/>
      <c r="BS31" s="2"/>
      <c r="BV31" s="2"/>
      <c r="BY31" s="2"/>
      <c r="CB31" s="2"/>
      <c r="CE31" s="2"/>
      <c r="CH31" s="2"/>
    </row>
    <row r="32" spans="3:86" x14ac:dyDescent="0.2">
      <c r="C32" s="1">
        <v>235.98</v>
      </c>
      <c r="D32" s="1">
        <v>10.29</v>
      </c>
      <c r="E32" s="2">
        <f t="shared" si="0"/>
        <v>1.5616581198749998E-2</v>
      </c>
      <c r="H32" s="2"/>
      <c r="K32" s="2"/>
      <c r="N32" s="2"/>
      <c r="Q32" s="2"/>
      <c r="T32" s="2"/>
      <c r="W32" s="2"/>
      <c r="Z32" s="2"/>
      <c r="AC32" s="2"/>
      <c r="AF32" s="2"/>
      <c r="AI32" s="2"/>
      <c r="AL32" s="2"/>
      <c r="AO32" s="2"/>
      <c r="AR32" s="2"/>
      <c r="AU32" s="2"/>
      <c r="AX32" s="2"/>
      <c r="BA32" s="2"/>
      <c r="BD32" s="2"/>
      <c r="BG32" s="2"/>
      <c r="BJ32" s="2"/>
      <c r="BM32" s="2"/>
      <c r="BP32" s="2"/>
      <c r="BS32" s="2"/>
      <c r="BV32" s="2"/>
      <c r="BY32" s="2"/>
      <c r="CB32" s="2"/>
      <c r="CE32" s="2"/>
      <c r="CH32" s="2"/>
    </row>
    <row r="33" spans="3:86" x14ac:dyDescent="0.2">
      <c r="C33" s="1">
        <v>356.64</v>
      </c>
      <c r="D33" s="1">
        <v>13.73</v>
      </c>
      <c r="E33" s="2">
        <f t="shared" si="0"/>
        <v>4.2019525409999994E-2</v>
      </c>
      <c r="H33" s="2"/>
      <c r="K33" s="2"/>
      <c r="N33" s="2"/>
      <c r="Q33" s="2"/>
      <c r="T33" s="2"/>
      <c r="W33" s="2"/>
      <c r="Z33" s="2"/>
      <c r="AC33" s="2"/>
      <c r="AF33" s="2"/>
      <c r="AI33" s="2"/>
      <c r="AL33" s="2"/>
      <c r="AO33" s="2"/>
      <c r="AR33" s="2"/>
      <c r="AU33" s="2"/>
      <c r="AX33" s="2"/>
      <c r="BA33" s="2"/>
      <c r="BD33" s="2"/>
      <c r="BG33" s="2"/>
      <c r="BJ33" s="2"/>
      <c r="BM33" s="2"/>
      <c r="BP33" s="2"/>
      <c r="BS33" s="2"/>
      <c r="BV33" s="2"/>
      <c r="BY33" s="2"/>
      <c r="CB33" s="2"/>
      <c r="CE33" s="2"/>
      <c r="CH33" s="2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</sheetData>
  <mergeCells count="113">
    <mergeCell ref="AV1:AX1"/>
    <mergeCell ref="AY1:BA1"/>
    <mergeCell ref="BB1:BD1"/>
    <mergeCell ref="BE1:BG1"/>
    <mergeCell ref="BH1:BJ1"/>
    <mergeCell ref="BK1:BM1"/>
    <mergeCell ref="BN1:BP1"/>
    <mergeCell ref="BQ1:BS1"/>
    <mergeCell ref="AG1:AI1"/>
    <mergeCell ref="AJ1:AL1"/>
    <mergeCell ref="AM1:AO1"/>
    <mergeCell ref="AS1:AU1"/>
    <mergeCell ref="AP1:AR1"/>
    <mergeCell ref="AJ2:AK2"/>
    <mergeCell ref="AM2:AN2"/>
    <mergeCell ref="O2:P2"/>
    <mergeCell ref="R2:S2"/>
    <mergeCell ref="U2:V2"/>
    <mergeCell ref="X2:Y2"/>
    <mergeCell ref="AA2:AB2"/>
    <mergeCell ref="A1:B1"/>
    <mergeCell ref="C2:D2"/>
    <mergeCell ref="F2:G2"/>
    <mergeCell ref="I2:J2"/>
    <mergeCell ref="L2:M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C4:D4"/>
    <mergeCell ref="F4:G4"/>
    <mergeCell ref="I4:J4"/>
    <mergeCell ref="L4:M4"/>
    <mergeCell ref="O4:P4"/>
    <mergeCell ref="AP3:AQ3"/>
    <mergeCell ref="AS3:AT3"/>
    <mergeCell ref="AS2:AT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AJ3:AK3"/>
    <mergeCell ref="AM3:AN3"/>
    <mergeCell ref="AP2:AQ2"/>
    <mergeCell ref="AD2:AE2"/>
    <mergeCell ref="AG2:AH2"/>
    <mergeCell ref="AP4:AQ4"/>
    <mergeCell ref="AS4:AT4"/>
    <mergeCell ref="AG4:AH4"/>
    <mergeCell ref="AJ4:AK4"/>
    <mergeCell ref="AM4:AN4"/>
    <mergeCell ref="R4:S4"/>
    <mergeCell ref="U4:V4"/>
    <mergeCell ref="X4:Y4"/>
    <mergeCell ref="AA4:AB4"/>
    <mergeCell ref="AD4:AE4"/>
    <mergeCell ref="BH3:BI3"/>
    <mergeCell ref="BK3:BL3"/>
    <mergeCell ref="BN3:BO3"/>
    <mergeCell ref="BQ3:BR3"/>
    <mergeCell ref="AV4:AW4"/>
    <mergeCell ref="AY4:AZ4"/>
    <mergeCell ref="BB4:BC4"/>
    <mergeCell ref="BE4:BF4"/>
    <mergeCell ref="BH2:BI2"/>
    <mergeCell ref="BH4:BI4"/>
    <mergeCell ref="BE2:BF2"/>
    <mergeCell ref="AV3:AW3"/>
    <mergeCell ref="AY3:AZ3"/>
    <mergeCell ref="BB3:BC3"/>
    <mergeCell ref="BE3:BF3"/>
    <mergeCell ref="AV2:AW2"/>
    <mergeCell ref="AY2:AZ2"/>
    <mergeCell ref="BB2:BC2"/>
    <mergeCell ref="BK4:BL4"/>
    <mergeCell ref="BN4:BO4"/>
    <mergeCell ref="BQ4:BR4"/>
    <mergeCell ref="BT2:BU2"/>
    <mergeCell ref="BW2:BX2"/>
    <mergeCell ref="BT4:BU4"/>
    <mergeCell ref="BW4:BX4"/>
    <mergeCell ref="BK2:BL2"/>
    <mergeCell ref="BN2:BO2"/>
    <mergeCell ref="BQ2:BR2"/>
    <mergeCell ref="BT1:BV1"/>
    <mergeCell ref="BW1:BY1"/>
    <mergeCell ref="BT3:BU3"/>
    <mergeCell ref="BW3:BX3"/>
    <mergeCell ref="BZ1:CB1"/>
    <mergeCell ref="CC1:CE1"/>
    <mergeCell ref="CF1:CH1"/>
    <mergeCell ref="BZ4:CA4"/>
    <mergeCell ref="CC4:CD4"/>
    <mergeCell ref="CF2:CG2"/>
    <mergeCell ref="CF3:CG3"/>
    <mergeCell ref="CF4:CG4"/>
    <mergeCell ref="BZ2:CA2"/>
    <mergeCell ref="CC2:CD2"/>
    <mergeCell ref="BZ3:CA3"/>
    <mergeCell ref="CC3:CD3"/>
  </mergeCells>
  <phoneticPr fontId="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1FF9-D6B1-4E59-88CD-981172D1FDAF}">
  <dimension ref="A1:BG150"/>
  <sheetViews>
    <sheetView zoomScale="130" zoomScaleNormal="130" workbookViewId="0">
      <selection activeCell="H21" sqref="H21"/>
    </sheetView>
  </sheetViews>
  <sheetFormatPr defaultColWidth="9" defaultRowHeight="14.25" x14ac:dyDescent="0.2"/>
  <cols>
    <col min="1" max="1" width="14.875" style="10" customWidth="1"/>
    <col min="2" max="2" width="9" style="10"/>
    <col min="3" max="16384" width="9" style="1"/>
  </cols>
  <sheetData>
    <row r="1" spans="1:59" s="5" customFormat="1" x14ac:dyDescent="0.2">
      <c r="A1" s="22" t="s">
        <v>64</v>
      </c>
      <c r="B1" s="22"/>
      <c r="C1" s="18" t="s">
        <v>17</v>
      </c>
      <c r="D1" s="18"/>
      <c r="E1" s="18"/>
      <c r="F1" s="18" t="s">
        <v>10</v>
      </c>
      <c r="G1" s="18"/>
      <c r="H1" s="13"/>
      <c r="I1" s="18" t="s">
        <v>46</v>
      </c>
      <c r="J1" s="18"/>
      <c r="K1" s="13"/>
      <c r="L1" s="18" t="s">
        <v>41</v>
      </c>
      <c r="M1" s="18"/>
      <c r="N1" s="13"/>
      <c r="O1" s="18" t="s">
        <v>21</v>
      </c>
      <c r="P1" s="18"/>
      <c r="Q1" s="13"/>
      <c r="R1" s="18" t="s">
        <v>12</v>
      </c>
      <c r="S1" s="18"/>
      <c r="T1" s="13"/>
      <c r="U1" s="18" t="s">
        <v>40</v>
      </c>
      <c r="V1" s="18"/>
      <c r="W1" s="18"/>
      <c r="X1" s="18" t="s">
        <v>23</v>
      </c>
      <c r="Y1" s="18"/>
      <c r="Z1" s="18"/>
      <c r="AA1" s="18" t="s">
        <v>16</v>
      </c>
      <c r="AB1" s="18"/>
      <c r="AC1" s="18"/>
      <c r="AD1" s="18" t="s">
        <v>25</v>
      </c>
      <c r="AE1" s="18"/>
      <c r="AF1" s="18"/>
      <c r="AG1" s="18" t="s">
        <v>20</v>
      </c>
      <c r="AH1" s="18"/>
      <c r="AI1" s="18"/>
      <c r="AJ1" s="18" t="s">
        <v>19</v>
      </c>
      <c r="AK1" s="18"/>
      <c r="AL1" s="18"/>
      <c r="AM1" s="18" t="s">
        <v>6</v>
      </c>
      <c r="AN1" s="18"/>
      <c r="AO1" s="18"/>
      <c r="AP1" s="18" t="s">
        <v>29</v>
      </c>
      <c r="AQ1" s="18"/>
      <c r="AR1" s="18"/>
      <c r="AS1" s="18" t="s">
        <v>44</v>
      </c>
      <c r="AT1" s="18"/>
      <c r="AU1" s="18"/>
      <c r="AV1" s="18" t="s">
        <v>32</v>
      </c>
      <c r="AW1" s="18"/>
      <c r="AX1" s="18"/>
      <c r="AY1" s="18" t="s">
        <v>31</v>
      </c>
      <c r="AZ1" s="18"/>
      <c r="BA1" s="18"/>
      <c r="BB1" s="18" t="s">
        <v>14</v>
      </c>
      <c r="BC1" s="18"/>
      <c r="BD1" s="18"/>
      <c r="BE1" s="18" t="s">
        <v>69</v>
      </c>
      <c r="BF1" s="18"/>
      <c r="BG1" s="18"/>
    </row>
    <row r="2" spans="1:59" s="10" customFormat="1" x14ac:dyDescent="0.2">
      <c r="A2" s="10" t="s">
        <v>5</v>
      </c>
      <c r="B2" s="10">
        <f>SUM(C2:TK2)</f>
        <v>106</v>
      </c>
      <c r="C2" s="23" t="s">
        <v>5</v>
      </c>
      <c r="D2" s="23"/>
      <c r="E2" s="15">
        <f>COUNT(E6:E267)</f>
        <v>8</v>
      </c>
      <c r="F2" s="23" t="s">
        <v>5</v>
      </c>
      <c r="G2" s="23"/>
      <c r="H2" s="15">
        <f>COUNT(H6:H267)</f>
        <v>2</v>
      </c>
      <c r="I2" s="23" t="s">
        <v>5</v>
      </c>
      <c r="J2" s="23"/>
      <c r="K2" s="15">
        <f>COUNT(K6:K267)</f>
        <v>3</v>
      </c>
      <c r="L2" s="23" t="s">
        <v>5</v>
      </c>
      <c r="M2" s="23"/>
      <c r="N2" s="15">
        <f>COUNT(N6:N267)</f>
        <v>4</v>
      </c>
      <c r="O2" s="23" t="s">
        <v>5</v>
      </c>
      <c r="P2" s="23"/>
      <c r="Q2" s="15">
        <f>COUNT(Q6:Q267)</f>
        <v>6</v>
      </c>
      <c r="R2" s="23" t="s">
        <v>5</v>
      </c>
      <c r="S2" s="23"/>
      <c r="T2" s="15">
        <f>COUNT(T6:T267)</f>
        <v>32</v>
      </c>
      <c r="U2" s="23" t="s">
        <v>5</v>
      </c>
      <c r="V2" s="23"/>
      <c r="W2" s="15">
        <f>COUNT(W6:W267)</f>
        <v>2</v>
      </c>
      <c r="X2" s="23" t="s">
        <v>5</v>
      </c>
      <c r="Y2" s="23"/>
      <c r="Z2" s="15">
        <f>COUNT(Z6:Z267)</f>
        <v>9</v>
      </c>
      <c r="AA2" s="23" t="s">
        <v>5</v>
      </c>
      <c r="AB2" s="23"/>
      <c r="AC2" s="15">
        <f>COUNT(AC6:AC267)</f>
        <v>4</v>
      </c>
      <c r="AD2" s="23" t="s">
        <v>5</v>
      </c>
      <c r="AE2" s="23"/>
      <c r="AF2" s="15">
        <f>COUNT(AF6:AF267)</f>
        <v>9</v>
      </c>
      <c r="AG2" s="23" t="s">
        <v>5</v>
      </c>
      <c r="AH2" s="23"/>
      <c r="AI2" s="15">
        <f>COUNT(AI6:AI267)</f>
        <v>1</v>
      </c>
      <c r="AJ2" s="23" t="s">
        <v>5</v>
      </c>
      <c r="AK2" s="23"/>
      <c r="AL2" s="15">
        <f>COUNT(AL6:AL267)</f>
        <v>13</v>
      </c>
      <c r="AM2" s="23" t="s">
        <v>5</v>
      </c>
      <c r="AN2" s="23"/>
      <c r="AO2" s="15">
        <f>COUNT(AO6:AO267)</f>
        <v>1</v>
      </c>
      <c r="AP2" s="23" t="s">
        <v>5</v>
      </c>
      <c r="AQ2" s="23"/>
      <c r="AR2" s="15">
        <f>COUNT(AR6:AR267)</f>
        <v>3</v>
      </c>
      <c r="AS2" s="23" t="s">
        <v>5</v>
      </c>
      <c r="AT2" s="23"/>
      <c r="AU2" s="15">
        <f>COUNT(AU6:AU267)</f>
        <v>1</v>
      </c>
      <c r="AV2" s="23" t="s">
        <v>5</v>
      </c>
      <c r="AW2" s="23"/>
      <c r="AX2" s="15">
        <f>COUNT(AX6:AX267)</f>
        <v>1</v>
      </c>
      <c r="AY2" s="23" t="s">
        <v>5</v>
      </c>
      <c r="AZ2" s="23"/>
      <c r="BA2" s="15">
        <f>COUNT(BA6:BA267)</f>
        <v>1</v>
      </c>
      <c r="BB2" s="23" t="s">
        <v>5</v>
      </c>
      <c r="BC2" s="23"/>
      <c r="BD2" s="15">
        <f>COUNT(BD6:BD267)</f>
        <v>2</v>
      </c>
      <c r="BE2" s="23" t="s">
        <v>5</v>
      </c>
      <c r="BF2" s="23"/>
      <c r="BG2" s="15">
        <f>COUNT(BG6:BG267)</f>
        <v>4</v>
      </c>
    </row>
    <row r="3" spans="1:59" s="10" customFormat="1" x14ac:dyDescent="0.2">
      <c r="A3" s="10" t="s">
        <v>4</v>
      </c>
      <c r="B3" s="10">
        <f>SUM(C3:TK3)</f>
        <v>10.253503681503748</v>
      </c>
      <c r="C3" s="23" t="s">
        <v>4</v>
      </c>
      <c r="D3" s="23"/>
      <c r="E3" s="15">
        <f>SUM(E6:E267)</f>
        <v>0.23806967928125</v>
      </c>
      <c r="F3" s="23" t="s">
        <v>4</v>
      </c>
      <c r="G3" s="23"/>
      <c r="H3" s="15">
        <f>SUM(H6:H267)</f>
        <v>0.11470878398437501</v>
      </c>
      <c r="I3" s="23" t="s">
        <v>4</v>
      </c>
      <c r="J3" s="23"/>
      <c r="K3" s="15">
        <f>SUM(K6:K267)</f>
        <v>0.91508641104249988</v>
      </c>
      <c r="L3" s="23" t="s">
        <v>4</v>
      </c>
      <c r="M3" s="23"/>
      <c r="N3" s="15">
        <f>SUM(N6:N267)</f>
        <v>0.40690444115500002</v>
      </c>
      <c r="O3" s="23" t="s">
        <v>4</v>
      </c>
      <c r="P3" s="23"/>
      <c r="Q3" s="15">
        <f>SUM(Q6:Q267)</f>
        <v>0.34315620186062501</v>
      </c>
      <c r="R3" s="23" t="s">
        <v>4</v>
      </c>
      <c r="S3" s="23"/>
      <c r="T3" s="15">
        <f>SUM(T6:T267)</f>
        <v>2.1774470016006253</v>
      </c>
      <c r="U3" s="23" t="s">
        <v>4</v>
      </c>
      <c r="V3" s="23"/>
      <c r="W3" s="15">
        <f>SUM(W6:W267)</f>
        <v>1.0730644470999999</v>
      </c>
      <c r="X3" s="23" t="s">
        <v>4</v>
      </c>
      <c r="Y3" s="23"/>
      <c r="Z3" s="15">
        <f>SUM(Z6:Z267)</f>
        <v>0.48022307592874997</v>
      </c>
      <c r="AA3" s="23" t="s">
        <v>4</v>
      </c>
      <c r="AB3" s="23"/>
      <c r="AC3" s="15">
        <f>SUM(AC6:AC267)</f>
        <v>0.24008281366312498</v>
      </c>
      <c r="AD3" s="23" t="s">
        <v>4</v>
      </c>
      <c r="AE3" s="23"/>
      <c r="AF3" s="15">
        <f>SUM(AF6:AF267)</f>
        <v>0.52110600197687507</v>
      </c>
      <c r="AG3" s="23" t="s">
        <v>4</v>
      </c>
      <c r="AH3" s="23"/>
      <c r="AI3" s="15">
        <f>SUM(AI6:AI267)</f>
        <v>0.27164996300000005</v>
      </c>
      <c r="AJ3" s="23" t="s">
        <v>4</v>
      </c>
      <c r="AK3" s="23"/>
      <c r="AL3" s="15">
        <f>SUM(AL6:AL267)</f>
        <v>1.2409003315525</v>
      </c>
      <c r="AM3" s="23" t="s">
        <v>4</v>
      </c>
      <c r="AN3" s="23"/>
      <c r="AO3" s="15">
        <f>SUM(AO6:AO267)</f>
        <v>0.18880269802624999</v>
      </c>
      <c r="AP3" s="23" t="s">
        <v>4</v>
      </c>
      <c r="AQ3" s="23"/>
      <c r="AR3" s="15">
        <f>SUM(AR6:AR267)</f>
        <v>0.57259438679749997</v>
      </c>
      <c r="AS3" s="23" t="s">
        <v>4</v>
      </c>
      <c r="AT3" s="23"/>
      <c r="AU3" s="15">
        <f>SUM(AU6:AU267)</f>
        <v>3.4826265624999998E-2</v>
      </c>
      <c r="AV3" s="23" t="s">
        <v>4</v>
      </c>
      <c r="AW3" s="23"/>
      <c r="AX3" s="15">
        <f>SUM(AX6:AX267)</f>
        <v>9.4851604851874993E-2</v>
      </c>
      <c r="AY3" s="23" t="s">
        <v>4</v>
      </c>
      <c r="AZ3" s="23"/>
      <c r="BA3" s="15">
        <f>SUM(BA6:BA267)</f>
        <v>7.6609380017499978E-2</v>
      </c>
      <c r="BB3" s="23" t="s">
        <v>4</v>
      </c>
      <c r="BC3" s="23"/>
      <c r="BD3" s="15">
        <f>SUM(BD6:BD267)</f>
        <v>0.527922486349375</v>
      </c>
      <c r="BE3" s="23" t="s">
        <v>4</v>
      </c>
      <c r="BF3" s="23"/>
      <c r="BG3" s="15">
        <f>SUM(BG6:BG267)</f>
        <v>0.73549770769062495</v>
      </c>
    </row>
    <row r="4" spans="1:59" s="10" customFormat="1" x14ac:dyDescent="0.2">
      <c r="C4" s="23" t="s">
        <v>3</v>
      </c>
      <c r="D4" s="23"/>
      <c r="E4" s="15">
        <f>AVERAGE(E6:E267)</f>
        <v>2.975870991015625E-2</v>
      </c>
      <c r="F4" s="23" t="s">
        <v>3</v>
      </c>
      <c r="G4" s="23"/>
      <c r="H4" s="15">
        <f>AVERAGE(H6:H267)</f>
        <v>5.7354391992187503E-2</v>
      </c>
      <c r="I4" s="23" t="s">
        <v>3</v>
      </c>
      <c r="J4" s="23"/>
      <c r="K4" s="15">
        <f>AVERAGE(K6:K267)</f>
        <v>0.30502880368083329</v>
      </c>
      <c r="L4" s="23" t="s">
        <v>3</v>
      </c>
      <c r="M4" s="23"/>
      <c r="N4" s="15">
        <f>AVERAGE(N6:N267)</f>
        <v>0.10172611028875</v>
      </c>
      <c r="O4" s="23" t="s">
        <v>3</v>
      </c>
      <c r="P4" s="23"/>
      <c r="Q4" s="15">
        <f>AVERAGE(Q6:Q267)</f>
        <v>5.7192700310104171E-2</v>
      </c>
      <c r="R4" s="23" t="s">
        <v>3</v>
      </c>
      <c r="S4" s="23"/>
      <c r="T4" s="15">
        <f>AVERAGE(T6:T267)</f>
        <v>6.8045218800019541E-2</v>
      </c>
      <c r="U4" s="23" t="s">
        <v>3</v>
      </c>
      <c r="V4" s="23"/>
      <c r="W4" s="15">
        <f>AVERAGE(W6:W267)</f>
        <v>0.53653222354999996</v>
      </c>
      <c r="X4" s="23" t="s">
        <v>3</v>
      </c>
      <c r="Y4" s="23"/>
      <c r="Z4" s="15">
        <f>AVERAGE(Z6:Z267)</f>
        <v>5.3358119547638888E-2</v>
      </c>
      <c r="AA4" s="23" t="s">
        <v>3</v>
      </c>
      <c r="AB4" s="23"/>
      <c r="AC4" s="15">
        <f>AVERAGE(AC6:AC267)</f>
        <v>6.0020703415781244E-2</v>
      </c>
      <c r="AD4" s="23" t="s">
        <v>3</v>
      </c>
      <c r="AE4" s="23"/>
      <c r="AF4" s="15">
        <f>AVERAGE(AF6:AF267)</f>
        <v>5.7900666886319452E-2</v>
      </c>
      <c r="AG4" s="23" t="s">
        <v>3</v>
      </c>
      <c r="AH4" s="23"/>
      <c r="AI4" s="15">
        <f>AVERAGE(AI6:AI267)</f>
        <v>0.27164996300000005</v>
      </c>
      <c r="AJ4" s="23" t="s">
        <v>3</v>
      </c>
      <c r="AK4" s="23"/>
      <c r="AL4" s="15">
        <f>AVERAGE(AL6:AL267)</f>
        <v>9.5453871657884617E-2</v>
      </c>
      <c r="AM4" s="23" t="s">
        <v>3</v>
      </c>
      <c r="AN4" s="23"/>
      <c r="AO4" s="15">
        <f>AVERAGE(AO6:AO267)</f>
        <v>0.18880269802624999</v>
      </c>
      <c r="AP4" s="23" t="s">
        <v>3</v>
      </c>
      <c r="AQ4" s="23"/>
      <c r="AR4" s="15">
        <f>AVERAGE(AR6:AR267)</f>
        <v>0.19086479559916666</v>
      </c>
      <c r="AS4" s="23" t="s">
        <v>3</v>
      </c>
      <c r="AT4" s="23"/>
      <c r="AU4" s="15">
        <f>AVERAGE(AU6:AU267)</f>
        <v>3.4826265624999998E-2</v>
      </c>
      <c r="AV4" s="23" t="s">
        <v>3</v>
      </c>
      <c r="AW4" s="23"/>
      <c r="AX4" s="15">
        <f>AVERAGE(AX6:AX267)</f>
        <v>9.4851604851874993E-2</v>
      </c>
      <c r="AY4" s="23" t="s">
        <v>3</v>
      </c>
      <c r="AZ4" s="23"/>
      <c r="BA4" s="15">
        <f>AVERAGE(BA6:BA267)</f>
        <v>7.6609380017499978E-2</v>
      </c>
      <c r="BB4" s="23" t="s">
        <v>3</v>
      </c>
      <c r="BC4" s="23"/>
      <c r="BD4" s="15">
        <f>AVERAGE(BD6:BD267)</f>
        <v>0.2639612431746875</v>
      </c>
      <c r="BE4" s="23" t="s">
        <v>3</v>
      </c>
      <c r="BF4" s="23"/>
      <c r="BG4" s="15">
        <f>AVERAGE(BG6:BG267)</f>
        <v>0.18387442692265624</v>
      </c>
    </row>
    <row r="5" spans="1:59" x14ac:dyDescent="0.2">
      <c r="C5" s="1" t="s">
        <v>38</v>
      </c>
      <c r="D5" s="1" t="s">
        <v>1</v>
      </c>
      <c r="E5" s="2" t="s">
        <v>39</v>
      </c>
      <c r="F5" s="1" t="s">
        <v>38</v>
      </c>
      <c r="G5" s="1" t="s">
        <v>1</v>
      </c>
      <c r="H5" s="2" t="s">
        <v>39</v>
      </c>
      <c r="I5" s="1" t="s">
        <v>38</v>
      </c>
      <c r="J5" s="1" t="s">
        <v>1</v>
      </c>
      <c r="K5" s="2" t="s">
        <v>39</v>
      </c>
      <c r="L5" s="1" t="s">
        <v>38</v>
      </c>
      <c r="M5" s="1" t="s">
        <v>1</v>
      </c>
      <c r="N5" s="2" t="s">
        <v>39</v>
      </c>
      <c r="O5" s="1" t="s">
        <v>38</v>
      </c>
      <c r="P5" s="1" t="s">
        <v>1</v>
      </c>
      <c r="Q5" s="2" t="s">
        <v>39</v>
      </c>
      <c r="R5" s="1" t="s">
        <v>38</v>
      </c>
      <c r="S5" s="1" t="s">
        <v>1</v>
      </c>
      <c r="T5" s="2" t="s">
        <v>39</v>
      </c>
      <c r="U5" s="1" t="s">
        <v>38</v>
      </c>
      <c r="V5" s="1" t="s">
        <v>1</v>
      </c>
      <c r="W5" s="2" t="s">
        <v>39</v>
      </c>
      <c r="X5" s="1" t="s">
        <v>38</v>
      </c>
      <c r="Y5" s="1" t="s">
        <v>1</v>
      </c>
      <c r="Z5" s="2" t="s">
        <v>39</v>
      </c>
      <c r="AA5" s="1" t="s">
        <v>38</v>
      </c>
      <c r="AB5" s="1" t="s">
        <v>1</v>
      </c>
      <c r="AC5" s="2" t="s">
        <v>39</v>
      </c>
      <c r="AD5" s="1" t="s">
        <v>38</v>
      </c>
      <c r="AE5" s="1" t="s">
        <v>1</v>
      </c>
      <c r="AF5" s="2" t="s">
        <v>39</v>
      </c>
      <c r="AG5" s="1" t="s">
        <v>38</v>
      </c>
      <c r="AH5" s="1" t="s">
        <v>1</v>
      </c>
      <c r="AI5" s="2" t="s">
        <v>39</v>
      </c>
      <c r="AJ5" s="1" t="s">
        <v>38</v>
      </c>
      <c r="AK5" s="1" t="s">
        <v>1</v>
      </c>
      <c r="AL5" s="2" t="s">
        <v>39</v>
      </c>
      <c r="AM5" s="1" t="s">
        <v>38</v>
      </c>
      <c r="AN5" s="1" t="s">
        <v>1</v>
      </c>
      <c r="AO5" s="14" t="s">
        <v>39</v>
      </c>
      <c r="AP5" s="1" t="s">
        <v>38</v>
      </c>
      <c r="AQ5" s="1" t="s">
        <v>1</v>
      </c>
      <c r="AR5" s="14" t="s">
        <v>39</v>
      </c>
      <c r="AS5" s="1" t="s">
        <v>38</v>
      </c>
      <c r="AT5" s="1" t="s">
        <v>1</v>
      </c>
      <c r="AU5" s="14" t="s">
        <v>39</v>
      </c>
      <c r="AV5" s="1" t="s">
        <v>38</v>
      </c>
      <c r="AW5" s="1" t="s">
        <v>1</v>
      </c>
      <c r="AX5" s="14" t="s">
        <v>39</v>
      </c>
      <c r="AY5" s="1" t="s">
        <v>38</v>
      </c>
      <c r="AZ5" s="1" t="s">
        <v>1</v>
      </c>
      <c r="BA5" s="14" t="s">
        <v>39</v>
      </c>
      <c r="BB5" s="1" t="s">
        <v>38</v>
      </c>
      <c r="BC5" s="1" t="s">
        <v>1</v>
      </c>
      <c r="BD5" s="14" t="s">
        <v>39</v>
      </c>
      <c r="BE5" s="1" t="s">
        <v>38</v>
      </c>
      <c r="BF5" s="1" t="s">
        <v>1</v>
      </c>
      <c r="BG5" s="14" t="s">
        <v>39</v>
      </c>
    </row>
    <row r="6" spans="1:59" x14ac:dyDescent="0.2">
      <c r="C6" s="1">
        <v>348.53</v>
      </c>
      <c r="D6" s="1">
        <v>13.09</v>
      </c>
      <c r="E6" s="2">
        <f t="shared" ref="E6:E13" si="0">(C6*D6*D6)/1600000</f>
        <v>3.7324970808124996E-2</v>
      </c>
      <c r="F6" s="1">
        <v>364.15</v>
      </c>
      <c r="G6" s="1">
        <v>16.25</v>
      </c>
      <c r="H6" s="2">
        <f t="shared" ref="H6:H7" si="1">(F6*G6*G6)/1600000</f>
        <v>6.0098974609375001E-2</v>
      </c>
      <c r="I6" s="1">
        <v>707.04</v>
      </c>
      <c r="J6" s="1">
        <v>26.79</v>
      </c>
      <c r="K6" s="2">
        <f t="shared" ref="K6:K8" si="2">(I6*J6*J6)/1600000</f>
        <v>0.31715344178999993</v>
      </c>
      <c r="L6" s="1">
        <v>325.12</v>
      </c>
      <c r="M6" s="1">
        <v>11.92</v>
      </c>
      <c r="N6" s="2">
        <f t="shared" ref="N6:N9" si="3">(L6*M6*M6)/1600000</f>
        <v>2.8871956480000002E-2</v>
      </c>
      <c r="O6" s="1">
        <v>409.37</v>
      </c>
      <c r="P6" s="1">
        <v>14.26</v>
      </c>
      <c r="Q6" s="2">
        <f t="shared" ref="Q6:Q11" si="4">(O6*P6*P6)/1600000</f>
        <v>5.2027754382500006E-2</v>
      </c>
      <c r="R6" s="1">
        <v>314.85000000000002</v>
      </c>
      <c r="S6" s="1">
        <v>23.76</v>
      </c>
      <c r="T6" s="2">
        <f t="shared" ref="T6:T37" si="5">(R6*S6*S6)/1600000</f>
        <v>0.11109041460000002</v>
      </c>
      <c r="U6" s="1">
        <v>711.26</v>
      </c>
      <c r="V6" s="1">
        <v>25.64</v>
      </c>
      <c r="W6" s="2">
        <f t="shared" ref="W6:W7" si="6">(U6*V6*V6)/1600000</f>
        <v>0.29224322005999998</v>
      </c>
      <c r="X6" s="1">
        <v>673.29</v>
      </c>
      <c r="Y6" s="1">
        <v>18.53</v>
      </c>
      <c r="Z6" s="2">
        <f t="shared" ref="Z6:Z14" si="7">(X6*Y6*Y6)/1600000</f>
        <v>0.14448841272562502</v>
      </c>
      <c r="AA6" s="1">
        <v>316.5</v>
      </c>
      <c r="AB6" s="1">
        <v>14.93</v>
      </c>
      <c r="AC6" s="2">
        <f t="shared" ref="AC6:AC9" si="8">(AA6*AB6*AB6)/1600000</f>
        <v>4.4093375531250006E-2</v>
      </c>
      <c r="AD6" s="1">
        <v>426.65</v>
      </c>
      <c r="AE6" s="1">
        <v>16.43</v>
      </c>
      <c r="AF6" s="2">
        <f t="shared" ref="AF6:AF14" si="9">(AD6*AE6*AE6)/1600000</f>
        <v>7.1982494740625E-2</v>
      </c>
      <c r="AG6" s="1">
        <v>967.07</v>
      </c>
      <c r="AH6" s="1">
        <v>21.2</v>
      </c>
      <c r="AI6" s="2">
        <f t="shared" ref="AI6" si="10">(AG6*AH6*AH6)/1600000</f>
        <v>0.27164996300000005</v>
      </c>
      <c r="AJ6" s="1">
        <v>337.6</v>
      </c>
      <c r="AK6" s="1">
        <v>17.09</v>
      </c>
      <c r="AL6" s="2">
        <f t="shared" ref="AL6:AL18" si="11">(AJ6*AK6*AK6)/1600000</f>
        <v>6.1626369100000009E-2</v>
      </c>
      <c r="AM6" s="1">
        <v>530.17999999999995</v>
      </c>
      <c r="AN6" s="1">
        <v>23.87</v>
      </c>
      <c r="AO6" s="2">
        <f t="shared" ref="AO6" si="12">(AM6*AN6*AN6)/1600000</f>
        <v>0.18880269802624999</v>
      </c>
      <c r="AP6" s="1">
        <v>664.77</v>
      </c>
      <c r="AQ6" s="1">
        <v>17.059999999999999</v>
      </c>
      <c r="AR6" s="2">
        <f t="shared" ref="AR6:AR8" si="13">(AP6*AQ6*AQ6)/1600000</f>
        <v>0.12092315873249998</v>
      </c>
      <c r="AS6" s="1">
        <v>403.6</v>
      </c>
      <c r="AT6" s="1">
        <v>11.75</v>
      </c>
      <c r="AU6" s="2">
        <f t="shared" ref="AU6" si="14">(AS6*AT6*AT6)/1600000</f>
        <v>3.4826265624999998E-2</v>
      </c>
      <c r="AV6" s="1">
        <v>488.27</v>
      </c>
      <c r="AW6" s="1">
        <v>17.63</v>
      </c>
      <c r="AX6" s="2">
        <f t="shared" ref="AX6" si="15">(AV6*AW6*AW6)/1600000</f>
        <v>9.4851604851874993E-2</v>
      </c>
      <c r="AY6" s="1">
        <v>349.03</v>
      </c>
      <c r="AZ6" s="1">
        <v>18.739999999999998</v>
      </c>
      <c r="BA6" s="2">
        <f t="shared" ref="BA6" si="16">(AY6*AZ6*AZ6)/1600000</f>
        <v>7.6609380017499978E-2</v>
      </c>
      <c r="BB6" s="1">
        <v>604.99</v>
      </c>
      <c r="BC6" s="1">
        <v>30.29</v>
      </c>
      <c r="BD6" s="2">
        <f t="shared" ref="BD6:BD7" si="17">(BB6*BC6*BC6)/1600000</f>
        <v>0.34691794103687495</v>
      </c>
      <c r="BE6" s="1">
        <v>1024.04</v>
      </c>
      <c r="BF6" s="1">
        <v>22.54</v>
      </c>
      <c r="BG6" s="2">
        <f t="shared" ref="BG6:BG9" si="18">(BE6*BF6*BF6)/1600000</f>
        <v>0.32516572528999993</v>
      </c>
    </row>
    <row r="7" spans="1:59" x14ac:dyDescent="0.2">
      <c r="C7" s="1">
        <v>301.66000000000003</v>
      </c>
      <c r="D7" s="1">
        <v>12.95</v>
      </c>
      <c r="E7" s="2">
        <f t="shared" si="0"/>
        <v>3.1618210093750002E-2</v>
      </c>
      <c r="F7" s="1">
        <v>415.58</v>
      </c>
      <c r="G7" s="1">
        <v>14.5</v>
      </c>
      <c r="H7" s="2">
        <f t="shared" si="1"/>
        <v>5.4609809374999999E-2</v>
      </c>
      <c r="I7" s="1">
        <v>799.56</v>
      </c>
      <c r="J7" s="1">
        <v>33.43</v>
      </c>
      <c r="K7" s="2">
        <f t="shared" si="2"/>
        <v>0.55847511965249996</v>
      </c>
      <c r="L7" s="1">
        <v>298.2</v>
      </c>
      <c r="M7" s="1">
        <v>17.59</v>
      </c>
      <c r="N7" s="2">
        <f t="shared" si="3"/>
        <v>5.7665934637499992E-2</v>
      </c>
      <c r="O7" s="1">
        <v>464.6</v>
      </c>
      <c r="P7" s="1">
        <v>15.8</v>
      </c>
      <c r="Q7" s="2">
        <f t="shared" si="4"/>
        <v>7.248921500000001E-2</v>
      </c>
      <c r="R7" s="1">
        <v>409.12</v>
      </c>
      <c r="S7" s="1">
        <v>22.65</v>
      </c>
      <c r="T7" s="2">
        <f t="shared" si="5"/>
        <v>0.13117985324999998</v>
      </c>
      <c r="U7" s="1">
        <v>1523.09</v>
      </c>
      <c r="V7" s="1">
        <v>28.64</v>
      </c>
      <c r="W7" s="2">
        <f t="shared" si="6"/>
        <v>0.7808212270399999</v>
      </c>
      <c r="X7" s="1">
        <v>376.32</v>
      </c>
      <c r="Y7" s="1">
        <v>14.2</v>
      </c>
      <c r="Z7" s="2">
        <f t="shared" si="7"/>
        <v>4.7425728E-2</v>
      </c>
      <c r="AA7" s="1">
        <v>279.93</v>
      </c>
      <c r="AB7" s="1">
        <v>16.29</v>
      </c>
      <c r="AC7" s="2">
        <f t="shared" si="8"/>
        <v>4.6427107820624994E-2</v>
      </c>
      <c r="AD7" s="1">
        <v>468.78</v>
      </c>
      <c r="AE7" s="1">
        <v>15.37</v>
      </c>
      <c r="AF7" s="2">
        <f t="shared" si="9"/>
        <v>6.9214458738749984E-2</v>
      </c>
      <c r="AI7" s="2"/>
      <c r="AJ7" s="1">
        <v>503.43</v>
      </c>
      <c r="AK7" s="1">
        <v>20.65</v>
      </c>
      <c r="AL7" s="2">
        <f t="shared" si="11"/>
        <v>0.13417117448437499</v>
      </c>
      <c r="AO7" s="2"/>
      <c r="AP7" s="1">
        <v>761.75</v>
      </c>
      <c r="AQ7" s="1">
        <v>26.62</v>
      </c>
      <c r="AR7" s="2">
        <f t="shared" si="13"/>
        <v>0.33737164793750002</v>
      </c>
      <c r="AU7" s="2"/>
      <c r="AX7" s="2"/>
      <c r="BA7" s="2"/>
      <c r="BB7" s="1">
        <v>559.55999999999995</v>
      </c>
      <c r="BC7" s="1">
        <v>22.75</v>
      </c>
      <c r="BD7" s="2">
        <f t="shared" si="17"/>
        <v>0.18100454531249999</v>
      </c>
      <c r="BE7" s="1">
        <v>953.85</v>
      </c>
      <c r="BF7" s="1">
        <v>16.989999999999998</v>
      </c>
      <c r="BG7" s="2">
        <f t="shared" si="18"/>
        <v>0.17208652274062497</v>
      </c>
    </row>
    <row r="8" spans="1:59" x14ac:dyDescent="0.2">
      <c r="C8" s="1">
        <v>317.18</v>
      </c>
      <c r="D8" s="1">
        <v>13.7</v>
      </c>
      <c r="E8" s="2">
        <f t="shared" si="0"/>
        <v>3.7207196375000001E-2</v>
      </c>
      <c r="H8" s="2"/>
      <c r="I8" s="1">
        <v>270.39999999999998</v>
      </c>
      <c r="J8" s="1">
        <v>15.28</v>
      </c>
      <c r="K8" s="2">
        <f t="shared" si="2"/>
        <v>3.9457849599999997E-2</v>
      </c>
      <c r="L8" s="1">
        <v>328.32</v>
      </c>
      <c r="M8" s="1">
        <v>12.29</v>
      </c>
      <c r="N8" s="2">
        <f t="shared" si="3"/>
        <v>3.0994249319999993E-2</v>
      </c>
      <c r="O8" s="1">
        <v>660.14</v>
      </c>
      <c r="P8" s="1">
        <v>17.89</v>
      </c>
      <c r="Q8" s="2">
        <f t="shared" si="4"/>
        <v>0.13204949580875</v>
      </c>
      <c r="R8" s="1">
        <v>249.79</v>
      </c>
      <c r="S8" s="1">
        <v>14.81</v>
      </c>
      <c r="T8" s="2">
        <f t="shared" si="5"/>
        <v>3.4242477761875001E-2</v>
      </c>
      <c r="W8" s="2"/>
      <c r="X8" s="1">
        <v>264.41000000000003</v>
      </c>
      <c r="Y8" s="1">
        <v>12.98</v>
      </c>
      <c r="Z8" s="2">
        <f t="shared" si="7"/>
        <v>2.7842439102500002E-2</v>
      </c>
      <c r="AA8" s="1">
        <v>371.94</v>
      </c>
      <c r="AB8" s="1">
        <v>20.04</v>
      </c>
      <c r="AC8" s="2">
        <f t="shared" si="8"/>
        <v>9.3357311939999993E-2</v>
      </c>
      <c r="AD8" s="1">
        <v>393.9</v>
      </c>
      <c r="AE8" s="1">
        <v>15.01</v>
      </c>
      <c r="AF8" s="2">
        <f t="shared" si="9"/>
        <v>5.5466068368749996E-2</v>
      </c>
      <c r="AI8" s="2"/>
      <c r="AJ8" s="1">
        <v>306.54000000000002</v>
      </c>
      <c r="AK8" s="1">
        <v>15.7</v>
      </c>
      <c r="AL8" s="2">
        <f t="shared" si="11"/>
        <v>4.7224402874999995E-2</v>
      </c>
      <c r="AO8" s="2"/>
      <c r="AP8" s="1">
        <v>558.84</v>
      </c>
      <c r="AQ8" s="1">
        <v>18.09</v>
      </c>
      <c r="AR8" s="2">
        <f t="shared" si="13"/>
        <v>0.11429958012749999</v>
      </c>
      <c r="AU8" s="2"/>
      <c r="AX8" s="2"/>
      <c r="BA8" s="2"/>
      <c r="BD8" s="2"/>
      <c r="BE8" s="1">
        <v>640.92999999999995</v>
      </c>
      <c r="BF8" s="1">
        <v>14.64</v>
      </c>
      <c r="BG8" s="2">
        <f t="shared" si="18"/>
        <v>8.5856419079999996E-2</v>
      </c>
    </row>
    <row r="9" spans="1:59" x14ac:dyDescent="0.2">
      <c r="C9" s="1">
        <v>288.25</v>
      </c>
      <c r="D9" s="1">
        <v>11.72</v>
      </c>
      <c r="E9" s="2">
        <f t="shared" si="0"/>
        <v>2.474597425E-2</v>
      </c>
      <c r="H9" s="2"/>
      <c r="K9" s="2"/>
      <c r="L9" s="1">
        <v>717.08</v>
      </c>
      <c r="M9" s="1">
        <v>25.41</v>
      </c>
      <c r="N9" s="2">
        <f t="shared" si="3"/>
        <v>0.28937230071750003</v>
      </c>
      <c r="O9" s="1">
        <v>365.35</v>
      </c>
      <c r="P9" s="1">
        <v>15.11</v>
      </c>
      <c r="Q9" s="2">
        <f t="shared" si="4"/>
        <v>5.2133641084375001E-2</v>
      </c>
      <c r="R9" s="1">
        <v>268.48</v>
      </c>
      <c r="S9" s="1">
        <v>17.95</v>
      </c>
      <c r="T9" s="2">
        <f t="shared" si="5"/>
        <v>5.4065579500000002E-2</v>
      </c>
      <c r="W9" s="2"/>
      <c r="X9" s="1">
        <v>313.38</v>
      </c>
      <c r="Y9" s="1">
        <v>13.83</v>
      </c>
      <c r="Z9" s="2">
        <f t="shared" si="7"/>
        <v>3.7462404926249998E-2</v>
      </c>
      <c r="AA9" s="1">
        <v>326.74</v>
      </c>
      <c r="AB9" s="1">
        <v>16.59</v>
      </c>
      <c r="AC9" s="2">
        <f t="shared" si="8"/>
        <v>5.6205018371249998E-2</v>
      </c>
      <c r="AD9" s="1">
        <v>204.93</v>
      </c>
      <c r="AE9" s="1">
        <v>6.73</v>
      </c>
      <c r="AF9" s="2">
        <f t="shared" si="9"/>
        <v>5.8011712481250005E-3</v>
      </c>
      <c r="AI9" s="2"/>
      <c r="AJ9" s="1">
        <v>484.19</v>
      </c>
      <c r="AK9" s="1">
        <v>21.77</v>
      </c>
      <c r="AL9" s="2">
        <f t="shared" si="11"/>
        <v>0.14342098178187498</v>
      </c>
      <c r="AO9" s="2"/>
      <c r="AR9" s="2"/>
      <c r="AU9" s="2"/>
      <c r="AX9" s="2"/>
      <c r="BA9" s="2"/>
      <c r="BD9" s="2"/>
      <c r="BE9" s="1">
        <v>653.22</v>
      </c>
      <c r="BF9" s="1">
        <v>19.32</v>
      </c>
      <c r="BG9" s="2">
        <f t="shared" si="18"/>
        <v>0.15238904058</v>
      </c>
    </row>
    <row r="10" spans="1:59" x14ac:dyDescent="0.2">
      <c r="C10" s="1">
        <v>318.77</v>
      </c>
      <c r="D10" s="1">
        <v>12.55</v>
      </c>
      <c r="E10" s="2">
        <f t="shared" si="0"/>
        <v>3.1379419953125001E-2</v>
      </c>
      <c r="H10" s="2"/>
      <c r="K10" s="2"/>
      <c r="N10" s="2"/>
      <c r="O10" s="1">
        <v>247.46</v>
      </c>
      <c r="P10" s="1">
        <v>10.86</v>
      </c>
      <c r="Q10" s="2">
        <f t="shared" si="4"/>
        <v>1.8240833384999999E-2</v>
      </c>
      <c r="R10" s="1">
        <v>259.55</v>
      </c>
      <c r="S10" s="1">
        <v>15.82</v>
      </c>
      <c r="T10" s="2">
        <f t="shared" si="5"/>
        <v>4.0598875887500004E-2</v>
      </c>
      <c r="W10" s="2"/>
      <c r="X10" s="1">
        <v>312.86</v>
      </c>
      <c r="Y10" s="1">
        <v>10.73</v>
      </c>
      <c r="Z10" s="2">
        <f t="shared" si="7"/>
        <v>2.2512799433750001E-2</v>
      </c>
      <c r="AC10" s="2"/>
      <c r="AD10" s="1">
        <v>461.49</v>
      </c>
      <c r="AE10" s="1">
        <v>15</v>
      </c>
      <c r="AF10" s="2">
        <f t="shared" si="9"/>
        <v>6.4897031250000001E-2</v>
      </c>
      <c r="AI10" s="2"/>
      <c r="AJ10" s="1">
        <v>276.76</v>
      </c>
      <c r="AK10" s="1">
        <v>12.4</v>
      </c>
      <c r="AL10" s="2">
        <f t="shared" si="11"/>
        <v>2.6596636000000003E-2</v>
      </c>
      <c r="AO10" s="2"/>
      <c r="AR10" s="2"/>
      <c r="AU10" s="2"/>
      <c r="AX10" s="2"/>
      <c r="BA10" s="2"/>
      <c r="BD10" s="2"/>
      <c r="BG10" s="2"/>
    </row>
    <row r="11" spans="1:59" x14ac:dyDescent="0.2">
      <c r="C11" s="1">
        <v>298.67</v>
      </c>
      <c r="D11" s="1">
        <v>11.56</v>
      </c>
      <c r="E11" s="2">
        <f t="shared" si="0"/>
        <v>2.4945217070000004E-2</v>
      </c>
      <c r="H11" s="2"/>
      <c r="K11" s="2"/>
      <c r="N11" s="2"/>
      <c r="O11" s="1">
        <v>267.95</v>
      </c>
      <c r="P11" s="1">
        <v>9.84</v>
      </c>
      <c r="Q11" s="2">
        <f t="shared" si="4"/>
        <v>1.6215262199999997E-2</v>
      </c>
      <c r="R11" s="1">
        <v>341.08</v>
      </c>
      <c r="S11" s="1">
        <v>20.99</v>
      </c>
      <c r="T11" s="2">
        <f t="shared" si="5"/>
        <v>9.3920662817499972E-2</v>
      </c>
      <c r="W11" s="2"/>
      <c r="X11" s="1">
        <v>251.74</v>
      </c>
      <c r="Y11" s="1">
        <v>13.61</v>
      </c>
      <c r="Z11" s="2">
        <f t="shared" si="7"/>
        <v>2.9143955533749998E-2</v>
      </c>
      <c r="AC11" s="2"/>
      <c r="AD11" s="1">
        <v>566.27</v>
      </c>
      <c r="AE11" s="1">
        <v>14.8</v>
      </c>
      <c r="AF11" s="2">
        <f t="shared" si="9"/>
        <v>7.7522363000000011E-2</v>
      </c>
      <c r="AI11" s="2"/>
      <c r="AJ11" s="1">
        <v>340.38</v>
      </c>
      <c r="AK11" s="1">
        <v>16.37</v>
      </c>
      <c r="AL11" s="2">
        <f t="shared" si="11"/>
        <v>5.7008735763749999E-2</v>
      </c>
      <c r="AO11" s="2"/>
      <c r="AR11" s="2"/>
      <c r="AU11" s="2"/>
      <c r="AX11" s="2"/>
      <c r="BA11" s="2"/>
      <c r="BD11" s="2"/>
      <c r="BG11" s="2"/>
    </row>
    <row r="12" spans="1:59" x14ac:dyDescent="0.2">
      <c r="C12" s="1">
        <v>319.38</v>
      </c>
      <c r="D12" s="1">
        <v>12.29</v>
      </c>
      <c r="E12" s="2">
        <f t="shared" si="0"/>
        <v>3.0150290411249999E-2</v>
      </c>
      <c r="H12" s="2"/>
      <c r="K12" s="2"/>
      <c r="N12" s="2"/>
      <c r="Q12" s="2"/>
      <c r="R12" s="1">
        <v>275.37</v>
      </c>
      <c r="S12" s="1">
        <v>12.28</v>
      </c>
      <c r="T12" s="2">
        <f t="shared" si="5"/>
        <v>2.5953347129999998E-2</v>
      </c>
      <c r="W12" s="2"/>
      <c r="X12" s="1">
        <v>462.19</v>
      </c>
      <c r="Y12" s="1">
        <v>15.85</v>
      </c>
      <c r="Z12" s="2">
        <f t="shared" si="7"/>
        <v>7.2570329546874993E-2</v>
      </c>
      <c r="AC12" s="2"/>
      <c r="AD12" s="1">
        <v>421.69</v>
      </c>
      <c r="AE12" s="1">
        <v>15.61</v>
      </c>
      <c r="AF12" s="2">
        <f t="shared" si="9"/>
        <v>6.4221304905624998E-2</v>
      </c>
      <c r="AI12" s="2"/>
      <c r="AJ12" s="1">
        <v>345.4</v>
      </c>
      <c r="AK12" s="1">
        <v>14.46</v>
      </c>
      <c r="AL12" s="2">
        <f t="shared" si="11"/>
        <v>4.5137649150000007E-2</v>
      </c>
      <c r="AO12" s="2"/>
      <c r="AR12" s="2"/>
      <c r="AU12" s="2"/>
      <c r="AX12" s="2"/>
      <c r="BA12" s="2"/>
      <c r="BD12" s="2"/>
      <c r="BG12" s="2"/>
    </row>
    <row r="13" spans="1:59" x14ac:dyDescent="0.2">
      <c r="C13" s="1">
        <v>282.88</v>
      </c>
      <c r="D13" s="1">
        <v>10.82</v>
      </c>
      <c r="E13" s="2">
        <f t="shared" si="0"/>
        <v>2.0698400320000001E-2</v>
      </c>
      <c r="H13" s="2"/>
      <c r="K13" s="2"/>
      <c r="N13" s="2"/>
      <c r="Q13" s="2"/>
      <c r="R13" s="1">
        <v>333.06</v>
      </c>
      <c r="S13" s="1">
        <v>16.079999999999998</v>
      </c>
      <c r="T13" s="2">
        <f t="shared" si="5"/>
        <v>5.3823828239999982E-2</v>
      </c>
      <c r="W13" s="2"/>
      <c r="X13" s="1">
        <v>374.98</v>
      </c>
      <c r="Y13" s="1">
        <v>14.76</v>
      </c>
      <c r="Z13" s="2">
        <f t="shared" si="7"/>
        <v>5.1057651780000005E-2</v>
      </c>
      <c r="AC13" s="2"/>
      <c r="AD13" s="1">
        <v>395.32</v>
      </c>
      <c r="AE13" s="1">
        <v>12.49</v>
      </c>
      <c r="AF13" s="2">
        <f t="shared" si="9"/>
        <v>3.8543724707499998E-2</v>
      </c>
      <c r="AI13" s="2"/>
      <c r="AJ13" s="1">
        <v>385.78</v>
      </c>
      <c r="AK13" s="1">
        <v>17.59</v>
      </c>
      <c r="AL13" s="2">
        <f t="shared" si="11"/>
        <v>7.4602160511250001E-2</v>
      </c>
      <c r="AO13" s="2"/>
      <c r="AR13" s="2"/>
      <c r="AU13" s="2"/>
      <c r="AX13" s="2"/>
      <c r="BA13" s="2"/>
      <c r="BD13" s="2"/>
      <c r="BG13" s="2"/>
    </row>
    <row r="14" spans="1:59" x14ac:dyDescent="0.2">
      <c r="E14" s="2"/>
      <c r="H14" s="2"/>
      <c r="K14" s="2"/>
      <c r="N14" s="2"/>
      <c r="Q14" s="2"/>
      <c r="R14" s="1">
        <v>418.08</v>
      </c>
      <c r="S14" s="1">
        <v>20.7</v>
      </c>
      <c r="T14" s="2">
        <f t="shared" si="5"/>
        <v>0.11196443699999999</v>
      </c>
      <c r="W14" s="2"/>
      <c r="X14" s="1">
        <v>352.37</v>
      </c>
      <c r="Y14" s="1">
        <v>14.72</v>
      </c>
      <c r="Z14" s="2">
        <f t="shared" si="7"/>
        <v>4.7719354880000002E-2</v>
      </c>
      <c r="AC14" s="2"/>
      <c r="AD14" s="1">
        <v>496.87</v>
      </c>
      <c r="AE14" s="1">
        <v>15.38</v>
      </c>
      <c r="AF14" s="2">
        <f t="shared" si="9"/>
        <v>7.3457385017500015E-2</v>
      </c>
      <c r="AI14" s="2"/>
      <c r="AJ14" s="1">
        <v>451.25</v>
      </c>
      <c r="AK14" s="1">
        <v>14.87</v>
      </c>
      <c r="AL14" s="2">
        <f t="shared" si="11"/>
        <v>6.2361875703125E-2</v>
      </c>
      <c r="AO14" s="2"/>
      <c r="AR14" s="2"/>
      <c r="AU14" s="2"/>
      <c r="AX14" s="2"/>
      <c r="BA14" s="2"/>
      <c r="BD14" s="2"/>
      <c r="BG14" s="2"/>
    </row>
    <row r="15" spans="1:59" x14ac:dyDescent="0.2">
      <c r="E15" s="2"/>
      <c r="H15" s="2"/>
      <c r="K15" s="2"/>
      <c r="N15" s="2"/>
      <c r="Q15" s="2"/>
      <c r="R15" s="1">
        <v>304.83</v>
      </c>
      <c r="S15" s="1">
        <v>16.23</v>
      </c>
      <c r="T15" s="2">
        <f t="shared" si="5"/>
        <v>5.0185096441874993E-2</v>
      </c>
      <c r="W15" s="2"/>
      <c r="Z15" s="2"/>
      <c r="AC15" s="2"/>
      <c r="AF15" s="2"/>
      <c r="AI15" s="2"/>
      <c r="AJ15" s="1">
        <v>593.87</v>
      </c>
      <c r="AK15" s="1">
        <v>22.78</v>
      </c>
      <c r="AL15" s="2">
        <f t="shared" si="11"/>
        <v>0.19261000556750002</v>
      </c>
      <c r="AO15" s="2"/>
      <c r="AR15" s="2"/>
      <c r="AU15" s="2"/>
      <c r="AX15" s="2"/>
      <c r="BA15" s="2"/>
      <c r="BD15" s="2"/>
      <c r="BG15" s="2"/>
    </row>
    <row r="16" spans="1:59" x14ac:dyDescent="0.2">
      <c r="E16" s="2"/>
      <c r="H16" s="2"/>
      <c r="K16" s="2"/>
      <c r="N16" s="2"/>
      <c r="Q16" s="2"/>
      <c r="R16" s="1">
        <v>525.22</v>
      </c>
      <c r="S16" s="1">
        <v>18.66</v>
      </c>
      <c r="T16" s="2">
        <f t="shared" si="5"/>
        <v>0.11429955814499999</v>
      </c>
      <c r="W16" s="2"/>
      <c r="Z16" s="2"/>
      <c r="AC16" s="2"/>
      <c r="AF16" s="2"/>
      <c r="AI16" s="2"/>
      <c r="AJ16" s="1">
        <v>601.28</v>
      </c>
      <c r="AK16" s="1">
        <v>17.809999999999999</v>
      </c>
      <c r="AL16" s="2">
        <f t="shared" si="11"/>
        <v>0.11920229437999996</v>
      </c>
      <c r="AO16" s="2"/>
      <c r="AR16" s="2"/>
      <c r="AU16" s="2"/>
      <c r="AX16" s="2"/>
      <c r="BA16" s="2"/>
      <c r="BD16" s="2"/>
      <c r="BG16" s="2"/>
    </row>
    <row r="17" spans="5:59" x14ac:dyDescent="0.2">
      <c r="E17" s="2"/>
      <c r="H17" s="2"/>
      <c r="K17" s="2"/>
      <c r="N17" s="2"/>
      <c r="Q17" s="2"/>
      <c r="R17" s="1">
        <v>359.15</v>
      </c>
      <c r="S17" s="1">
        <v>16.77</v>
      </c>
      <c r="T17" s="2">
        <f t="shared" si="5"/>
        <v>6.3127997521874993E-2</v>
      </c>
      <c r="W17" s="2"/>
      <c r="Z17" s="2"/>
      <c r="AC17" s="2"/>
      <c r="AF17" s="2"/>
      <c r="AI17" s="2"/>
      <c r="AJ17" s="1">
        <v>456.81</v>
      </c>
      <c r="AK17" s="1">
        <v>19.89</v>
      </c>
      <c r="AL17" s="2">
        <f t="shared" si="11"/>
        <v>0.112949727125625</v>
      </c>
      <c r="AO17" s="2"/>
      <c r="AR17" s="2"/>
      <c r="AU17" s="2"/>
      <c r="AX17" s="2"/>
      <c r="BA17" s="2"/>
      <c r="BD17" s="2"/>
      <c r="BG17" s="2"/>
    </row>
    <row r="18" spans="5:59" x14ac:dyDescent="0.2">
      <c r="E18" s="2"/>
      <c r="H18" s="2"/>
      <c r="K18" s="2"/>
      <c r="N18" s="2"/>
      <c r="Q18" s="2"/>
      <c r="R18" s="1">
        <v>332.08</v>
      </c>
      <c r="S18" s="1">
        <v>17.82</v>
      </c>
      <c r="T18" s="2">
        <f t="shared" si="5"/>
        <v>6.590800061999999E-2</v>
      </c>
      <c r="W18" s="2"/>
      <c r="Z18" s="2"/>
      <c r="AC18" s="2"/>
      <c r="AF18" s="2"/>
      <c r="AI18" s="2"/>
      <c r="AJ18" s="1">
        <v>713.24</v>
      </c>
      <c r="AK18" s="1">
        <v>19.18</v>
      </c>
      <c r="AL18" s="2">
        <f t="shared" si="11"/>
        <v>0.16398831911</v>
      </c>
      <c r="AO18" s="2"/>
      <c r="AR18" s="2"/>
      <c r="AU18" s="2"/>
      <c r="AX18" s="2"/>
      <c r="BA18" s="2"/>
      <c r="BD18" s="2"/>
      <c r="BG18" s="2"/>
    </row>
    <row r="19" spans="5:59" x14ac:dyDescent="0.2">
      <c r="E19" s="2"/>
      <c r="H19" s="2"/>
      <c r="K19" s="2"/>
      <c r="N19" s="2"/>
      <c r="Q19" s="2"/>
      <c r="R19" s="1">
        <v>249.75</v>
      </c>
      <c r="S19" s="1">
        <v>14.44</v>
      </c>
      <c r="T19" s="2">
        <f t="shared" si="5"/>
        <v>3.2547669749999994E-2</v>
      </c>
      <c r="W19" s="2"/>
      <c r="Z19" s="2"/>
      <c r="AC19" s="2"/>
      <c r="AF19" s="2"/>
      <c r="AI19" s="2"/>
      <c r="AL19" s="2"/>
      <c r="AO19" s="2"/>
      <c r="AR19" s="2"/>
      <c r="AU19" s="2"/>
      <c r="AX19" s="2"/>
      <c r="BA19" s="2"/>
      <c r="BD19" s="2"/>
      <c r="BG19" s="2"/>
    </row>
    <row r="20" spans="5:59" x14ac:dyDescent="0.2">
      <c r="E20" s="2"/>
      <c r="H20" s="2"/>
      <c r="K20" s="2"/>
      <c r="N20" s="2"/>
      <c r="Q20" s="2"/>
      <c r="R20" s="1">
        <v>567.85</v>
      </c>
      <c r="S20" s="1">
        <v>21.91</v>
      </c>
      <c r="T20" s="2">
        <f t="shared" si="5"/>
        <v>0.17037207099062499</v>
      </c>
      <c r="W20" s="2"/>
      <c r="Z20" s="2"/>
      <c r="AC20" s="2"/>
      <c r="AF20" s="2"/>
      <c r="AI20" s="2"/>
      <c r="AL20" s="2"/>
      <c r="AO20" s="2"/>
      <c r="AR20" s="2"/>
      <c r="AU20" s="2"/>
      <c r="AX20" s="2"/>
      <c r="BA20" s="2"/>
      <c r="BD20" s="2"/>
      <c r="BG20" s="2"/>
    </row>
    <row r="21" spans="5:59" x14ac:dyDescent="0.2">
      <c r="E21" s="2"/>
      <c r="H21" s="2"/>
      <c r="K21" s="2"/>
      <c r="N21" s="2"/>
      <c r="Q21" s="2"/>
      <c r="R21" s="1">
        <v>228.04</v>
      </c>
      <c r="S21" s="1">
        <v>13.38</v>
      </c>
      <c r="T21" s="2">
        <f t="shared" si="5"/>
        <v>2.5515452610000003E-2</v>
      </c>
      <c r="W21" s="2"/>
      <c r="Z21" s="2"/>
      <c r="AC21" s="2"/>
      <c r="AF21" s="2"/>
      <c r="AI21" s="2"/>
      <c r="AL21" s="2"/>
      <c r="AO21" s="2"/>
      <c r="AR21" s="2"/>
      <c r="AU21" s="2"/>
      <c r="AX21" s="2"/>
      <c r="BA21" s="2"/>
      <c r="BD21" s="2"/>
      <c r="BG21" s="2"/>
    </row>
    <row r="22" spans="5:59" x14ac:dyDescent="0.2">
      <c r="E22" s="2"/>
      <c r="H22" s="2"/>
      <c r="K22" s="2"/>
      <c r="N22" s="2"/>
      <c r="Q22" s="2"/>
      <c r="R22" s="1">
        <v>332.87</v>
      </c>
      <c r="S22" s="1">
        <v>15.47</v>
      </c>
      <c r="T22" s="2">
        <f t="shared" si="5"/>
        <v>4.9789217489375003E-2</v>
      </c>
      <c r="W22" s="2"/>
      <c r="Z22" s="2"/>
      <c r="AC22" s="2"/>
      <c r="AF22" s="2"/>
      <c r="AI22" s="2"/>
      <c r="AL22" s="2"/>
      <c r="AO22" s="2"/>
      <c r="AR22" s="2"/>
      <c r="AU22" s="2"/>
      <c r="AX22" s="2"/>
      <c r="BA22" s="2"/>
      <c r="BD22" s="2"/>
      <c r="BG22" s="2"/>
    </row>
    <row r="23" spans="5:59" x14ac:dyDescent="0.2">
      <c r="E23" s="2"/>
      <c r="H23" s="2"/>
      <c r="K23" s="2"/>
      <c r="N23" s="2"/>
      <c r="Q23" s="2"/>
      <c r="R23" s="1">
        <v>219.94</v>
      </c>
      <c r="S23" s="1">
        <v>13.88</v>
      </c>
      <c r="T23" s="2">
        <f t="shared" si="5"/>
        <v>2.6482755460000004E-2</v>
      </c>
      <c r="W23" s="2"/>
      <c r="Z23" s="2"/>
      <c r="AC23" s="2"/>
      <c r="AF23" s="2"/>
      <c r="AI23" s="2"/>
      <c r="AL23" s="2"/>
      <c r="AO23" s="2"/>
      <c r="AR23" s="2"/>
      <c r="AU23" s="2"/>
      <c r="AX23" s="2"/>
      <c r="BA23" s="2"/>
      <c r="BD23" s="2"/>
      <c r="BG23" s="2"/>
    </row>
    <row r="24" spans="5:59" x14ac:dyDescent="0.2">
      <c r="E24" s="2"/>
      <c r="H24" s="2"/>
      <c r="K24" s="2"/>
      <c r="N24" s="2"/>
      <c r="Q24" s="2"/>
      <c r="R24" s="1">
        <v>462.88</v>
      </c>
      <c r="S24" s="1">
        <v>17.95</v>
      </c>
      <c r="T24" s="2">
        <f t="shared" si="5"/>
        <v>9.3213183249999998E-2</v>
      </c>
      <c r="W24" s="2"/>
      <c r="Z24" s="2"/>
      <c r="AC24" s="2"/>
      <c r="AF24" s="2"/>
      <c r="AI24" s="2"/>
      <c r="AL24" s="2"/>
      <c r="AO24" s="2"/>
      <c r="AR24" s="2"/>
      <c r="AU24" s="2"/>
      <c r="AX24" s="2"/>
      <c r="BA24" s="2"/>
      <c r="BD24" s="2"/>
      <c r="BG24" s="2"/>
    </row>
    <row r="25" spans="5:59" x14ac:dyDescent="0.2">
      <c r="E25" s="2"/>
      <c r="H25" s="2"/>
      <c r="K25" s="2"/>
      <c r="N25" s="2"/>
      <c r="Q25" s="2"/>
      <c r="R25" s="1">
        <v>495.07</v>
      </c>
      <c r="S25" s="1">
        <v>18.05</v>
      </c>
      <c r="T25" s="2">
        <f t="shared" si="5"/>
        <v>0.10080940229687502</v>
      </c>
      <c r="W25" s="2"/>
      <c r="Z25" s="2"/>
      <c r="AC25" s="2"/>
      <c r="AF25" s="2"/>
      <c r="AI25" s="2"/>
      <c r="AL25" s="2"/>
      <c r="AO25" s="2"/>
      <c r="AR25" s="2"/>
      <c r="AU25" s="2"/>
      <c r="AX25" s="2"/>
      <c r="BA25" s="2"/>
      <c r="BD25" s="2"/>
      <c r="BG25" s="2"/>
    </row>
    <row r="26" spans="5:59" x14ac:dyDescent="0.2">
      <c r="E26" s="2"/>
      <c r="H26" s="2"/>
      <c r="K26" s="2"/>
      <c r="N26" s="2"/>
      <c r="Q26" s="2"/>
      <c r="R26" s="1">
        <v>486.58</v>
      </c>
      <c r="S26" s="1">
        <v>21.56</v>
      </c>
      <c r="T26" s="2">
        <f t="shared" si="5"/>
        <v>0.14136170817999996</v>
      </c>
      <c r="W26" s="2"/>
      <c r="Z26" s="2"/>
      <c r="AC26" s="2"/>
      <c r="AF26" s="2"/>
      <c r="AI26" s="2"/>
      <c r="AL26" s="2"/>
      <c r="AO26" s="2"/>
      <c r="AR26" s="2"/>
      <c r="AU26" s="2"/>
      <c r="AX26" s="2"/>
      <c r="BA26" s="2"/>
      <c r="BD26" s="2"/>
      <c r="BG26" s="2"/>
    </row>
    <row r="27" spans="5:59" x14ac:dyDescent="0.2">
      <c r="E27" s="2"/>
      <c r="H27" s="2"/>
      <c r="K27" s="2"/>
      <c r="N27" s="2"/>
      <c r="Q27" s="2"/>
      <c r="R27" s="1">
        <v>283.87</v>
      </c>
      <c r="S27" s="1">
        <v>17.16</v>
      </c>
      <c r="T27" s="2">
        <f t="shared" si="5"/>
        <v>5.2243718670000008E-2</v>
      </c>
      <c r="W27" s="2"/>
      <c r="Z27" s="2"/>
      <c r="AC27" s="2"/>
      <c r="AF27" s="2"/>
      <c r="AI27" s="2"/>
      <c r="AL27" s="2"/>
      <c r="AO27" s="2"/>
      <c r="AR27" s="2"/>
      <c r="AU27" s="2"/>
      <c r="AX27" s="2"/>
      <c r="BA27" s="2"/>
      <c r="BD27" s="2"/>
      <c r="BG27" s="2"/>
    </row>
    <row r="28" spans="5:59" x14ac:dyDescent="0.2">
      <c r="E28" s="2"/>
      <c r="H28" s="2"/>
      <c r="K28" s="2"/>
      <c r="N28" s="2"/>
      <c r="Q28" s="2"/>
      <c r="R28" s="1">
        <v>503.78</v>
      </c>
      <c r="S28" s="1">
        <v>20.91</v>
      </c>
      <c r="T28" s="2">
        <f t="shared" si="5"/>
        <v>0.13766673263624998</v>
      </c>
      <c r="W28" s="2"/>
      <c r="Z28" s="2"/>
      <c r="AC28" s="2"/>
      <c r="AF28" s="2"/>
      <c r="AI28" s="2"/>
      <c r="AL28" s="2"/>
      <c r="AO28" s="2"/>
      <c r="AR28" s="2"/>
      <c r="AU28" s="2"/>
      <c r="AX28" s="2"/>
      <c r="BA28" s="2"/>
      <c r="BD28" s="2"/>
      <c r="BG28" s="2"/>
    </row>
    <row r="29" spans="5:59" x14ac:dyDescent="0.2">
      <c r="E29" s="2"/>
      <c r="H29" s="2"/>
      <c r="K29" s="2"/>
      <c r="N29" s="2"/>
      <c r="Q29" s="2"/>
      <c r="R29" s="1">
        <v>377.68</v>
      </c>
      <c r="S29" s="1">
        <v>16.75</v>
      </c>
      <c r="T29" s="2">
        <f t="shared" si="5"/>
        <v>6.6226778124999996E-2</v>
      </c>
      <c r="W29" s="2"/>
      <c r="Z29" s="2"/>
      <c r="AC29" s="2"/>
      <c r="AF29" s="2"/>
      <c r="AI29" s="2"/>
      <c r="AL29" s="2"/>
      <c r="AO29" s="2"/>
      <c r="AR29" s="2"/>
      <c r="AU29" s="2"/>
      <c r="AX29" s="2"/>
      <c r="BA29" s="2"/>
      <c r="BD29" s="2"/>
      <c r="BG29" s="2"/>
    </row>
    <row r="30" spans="5:59" x14ac:dyDescent="0.2">
      <c r="E30" s="2"/>
      <c r="H30" s="2"/>
      <c r="K30" s="2"/>
      <c r="N30" s="2"/>
      <c r="Q30" s="2"/>
      <c r="R30" s="1">
        <v>346.48</v>
      </c>
      <c r="S30" s="1">
        <v>16.16</v>
      </c>
      <c r="T30" s="2">
        <f t="shared" si="5"/>
        <v>5.6551079680000012E-2</v>
      </c>
      <c r="W30" s="2"/>
      <c r="Z30" s="2"/>
      <c r="AC30" s="2"/>
      <c r="AF30" s="2"/>
      <c r="AI30" s="2"/>
      <c r="AL30" s="2"/>
      <c r="AO30" s="2"/>
      <c r="AR30" s="2"/>
      <c r="AU30" s="2"/>
      <c r="AX30" s="2"/>
      <c r="BA30" s="2"/>
      <c r="BD30" s="2"/>
      <c r="BG30" s="2"/>
    </row>
    <row r="31" spans="5:59" x14ac:dyDescent="0.2">
      <c r="E31" s="2"/>
      <c r="H31" s="2"/>
      <c r="K31" s="2"/>
      <c r="N31" s="2"/>
      <c r="Q31" s="2"/>
      <c r="R31" s="1">
        <v>235.95</v>
      </c>
      <c r="S31" s="1">
        <v>11.07</v>
      </c>
      <c r="T31" s="2">
        <f t="shared" si="5"/>
        <v>1.8071543221875E-2</v>
      </c>
      <c r="W31" s="2"/>
      <c r="Z31" s="2"/>
      <c r="AC31" s="2"/>
      <c r="AF31" s="2"/>
      <c r="AI31" s="2"/>
      <c r="AL31" s="2"/>
      <c r="AO31" s="2"/>
      <c r="AR31" s="2"/>
      <c r="AU31" s="2"/>
      <c r="AX31" s="2"/>
      <c r="BA31" s="2"/>
      <c r="BD31" s="2"/>
      <c r="BG31" s="2"/>
    </row>
    <row r="32" spans="5:59" x14ac:dyDescent="0.2">
      <c r="E32" s="2"/>
      <c r="H32" s="2"/>
      <c r="K32" s="2"/>
      <c r="N32" s="2"/>
      <c r="Q32" s="2"/>
      <c r="R32" s="1">
        <v>259.45999999999998</v>
      </c>
      <c r="S32" s="1">
        <v>16.66</v>
      </c>
      <c r="T32" s="2">
        <f t="shared" si="5"/>
        <v>4.5009109984999997E-2</v>
      </c>
      <c r="W32" s="2"/>
      <c r="Z32" s="2"/>
      <c r="AC32" s="2"/>
      <c r="AF32" s="2"/>
      <c r="AI32" s="2"/>
      <c r="AL32" s="2"/>
      <c r="AO32" s="2"/>
      <c r="AR32" s="2"/>
      <c r="AU32" s="2"/>
      <c r="AX32" s="2"/>
      <c r="BA32" s="2"/>
      <c r="BD32" s="2"/>
      <c r="BG32" s="2"/>
    </row>
    <row r="33" spans="5:59" x14ac:dyDescent="0.2">
      <c r="E33" s="2"/>
      <c r="H33" s="2"/>
      <c r="K33" s="2"/>
      <c r="N33" s="2"/>
      <c r="Q33" s="2"/>
      <c r="R33" s="1">
        <v>203.81</v>
      </c>
      <c r="S33" s="1">
        <v>15.06</v>
      </c>
      <c r="T33" s="2">
        <f t="shared" si="5"/>
        <v>2.8890526072500002E-2</v>
      </c>
      <c r="W33" s="2"/>
      <c r="Z33" s="2"/>
      <c r="AC33" s="2"/>
      <c r="AF33" s="2"/>
      <c r="AI33" s="2"/>
      <c r="AL33" s="2"/>
      <c r="AO33" s="2"/>
      <c r="AR33" s="2"/>
      <c r="AU33" s="2"/>
      <c r="AX33" s="2"/>
      <c r="BA33" s="2"/>
      <c r="BD33" s="2"/>
      <c r="BG33" s="2"/>
    </row>
    <row r="34" spans="5:59" x14ac:dyDescent="0.2">
      <c r="E34" s="2"/>
      <c r="H34" s="2"/>
      <c r="K34" s="2"/>
      <c r="N34" s="2"/>
      <c r="Q34" s="2"/>
      <c r="R34" s="1">
        <v>414.7</v>
      </c>
      <c r="S34" s="1">
        <v>18.12</v>
      </c>
      <c r="T34" s="2">
        <f t="shared" si="5"/>
        <v>8.5100172300000013E-2</v>
      </c>
      <c r="W34" s="2"/>
      <c r="Z34" s="2"/>
      <c r="AC34" s="2"/>
      <c r="AF34" s="2"/>
      <c r="AI34" s="2"/>
      <c r="AL34" s="2"/>
      <c r="AO34" s="2"/>
      <c r="AR34" s="2"/>
      <c r="AU34" s="2"/>
      <c r="AX34" s="2"/>
      <c r="BA34" s="2"/>
      <c r="BD34" s="2"/>
      <c r="BG34" s="2"/>
    </row>
    <row r="35" spans="5:59" x14ac:dyDescent="0.2">
      <c r="E35" s="2"/>
      <c r="H35" s="2"/>
      <c r="K35" s="2"/>
      <c r="N35" s="2"/>
      <c r="Q35" s="2"/>
      <c r="R35" s="1">
        <v>248.61</v>
      </c>
      <c r="S35" s="1">
        <v>14.39</v>
      </c>
      <c r="T35" s="2">
        <f t="shared" si="5"/>
        <v>3.2175121738125007E-2</v>
      </c>
      <c r="W35" s="2"/>
      <c r="Z35" s="2"/>
      <c r="AC35" s="2"/>
      <c r="AF35" s="2"/>
      <c r="AI35" s="2"/>
      <c r="AL35" s="2"/>
      <c r="AO35" s="2"/>
      <c r="AR35" s="2"/>
      <c r="AU35" s="2"/>
      <c r="AX35" s="2"/>
      <c r="BA35" s="2"/>
      <c r="BD35" s="2"/>
      <c r="BG35" s="2"/>
    </row>
    <row r="36" spans="5:59" x14ac:dyDescent="0.2">
      <c r="E36" s="2"/>
      <c r="H36" s="2"/>
      <c r="K36" s="2"/>
      <c r="N36" s="2"/>
      <c r="Q36" s="2"/>
      <c r="R36" s="1">
        <v>259.74</v>
      </c>
      <c r="S36" s="1">
        <v>10.32</v>
      </c>
      <c r="T36" s="2">
        <f t="shared" si="5"/>
        <v>1.7289333360000003E-2</v>
      </c>
      <c r="W36" s="2"/>
      <c r="Z36" s="2"/>
      <c r="AC36" s="2"/>
      <c r="AF36" s="2"/>
      <c r="AI36" s="2"/>
      <c r="AL36" s="2"/>
      <c r="AO36" s="2"/>
      <c r="AR36" s="2"/>
      <c r="AU36" s="2"/>
      <c r="AX36" s="2"/>
      <c r="BA36" s="2"/>
      <c r="BD36" s="2"/>
      <c r="BG36" s="2"/>
    </row>
    <row r="37" spans="5:59" x14ac:dyDescent="0.2">
      <c r="E37" s="2"/>
      <c r="H37" s="2"/>
      <c r="K37" s="2"/>
      <c r="N37" s="2"/>
      <c r="Q37" s="2"/>
      <c r="R37" s="1">
        <v>241.51</v>
      </c>
      <c r="S37" s="1">
        <v>17.79</v>
      </c>
      <c r="T37" s="2">
        <f t="shared" si="5"/>
        <v>4.7771296869374993E-2</v>
      </c>
      <c r="W37" s="2"/>
      <c r="Z37" s="2"/>
      <c r="AC37" s="2"/>
      <c r="AF37" s="2"/>
      <c r="AI37" s="2"/>
      <c r="AL37" s="2"/>
      <c r="AO37" s="2"/>
      <c r="AR37" s="2"/>
      <c r="AU37" s="2"/>
      <c r="AX37" s="2"/>
      <c r="BA37" s="2"/>
      <c r="BD37" s="2"/>
      <c r="BG37" s="2"/>
    </row>
    <row r="38" spans="5:59" x14ac:dyDescent="0.2">
      <c r="E38" s="2"/>
      <c r="H38" s="2"/>
      <c r="K38" s="2"/>
      <c r="N38" s="2"/>
      <c r="Q38" s="2"/>
      <c r="T38" s="2"/>
      <c r="W38" s="2"/>
      <c r="Z38" s="2"/>
      <c r="AC38" s="2"/>
      <c r="AF38" s="2"/>
      <c r="AI38" s="2"/>
      <c r="AL38" s="2"/>
      <c r="AO38" s="2"/>
      <c r="AR38" s="2"/>
      <c r="AU38" s="2"/>
      <c r="AX38" s="2"/>
      <c r="BA38" s="2"/>
      <c r="BD38" s="2"/>
      <c r="BG38" s="2"/>
    </row>
    <row r="39" spans="5:59" x14ac:dyDescent="0.2">
      <c r="E39" s="2"/>
      <c r="H39" s="2"/>
      <c r="K39" s="2"/>
      <c r="N39" s="2"/>
      <c r="Q39" s="2"/>
      <c r="T39" s="2"/>
      <c r="W39" s="2"/>
      <c r="Z39" s="2"/>
      <c r="AC39" s="2"/>
      <c r="AF39" s="2"/>
      <c r="AI39" s="2"/>
      <c r="AL39" s="2"/>
      <c r="AO39" s="2"/>
      <c r="AR39" s="2"/>
      <c r="AU39" s="2"/>
      <c r="AX39" s="2"/>
      <c r="BA39" s="2"/>
      <c r="BD39" s="2"/>
      <c r="BG39" s="2"/>
    </row>
    <row r="40" spans="5:59" x14ac:dyDescent="0.2">
      <c r="E40" s="2"/>
      <c r="H40" s="2"/>
      <c r="K40" s="2"/>
      <c r="N40" s="2"/>
      <c r="Q40" s="2"/>
      <c r="T40" s="2"/>
      <c r="W40" s="2"/>
      <c r="Z40" s="2"/>
      <c r="AC40" s="2"/>
      <c r="AF40" s="2"/>
      <c r="AI40" s="2"/>
      <c r="AL40" s="2"/>
      <c r="AO40" s="2"/>
      <c r="AR40" s="2"/>
      <c r="AU40" s="2"/>
      <c r="AX40" s="2"/>
      <c r="BA40" s="2"/>
      <c r="BD40" s="2"/>
      <c r="BG40" s="2"/>
    </row>
    <row r="41" spans="5:59" x14ac:dyDescent="0.2">
      <c r="E41" s="2"/>
      <c r="H41" s="2"/>
      <c r="K41" s="2"/>
      <c r="N41" s="2"/>
      <c r="Q41" s="2"/>
      <c r="T41" s="2"/>
      <c r="W41" s="2"/>
      <c r="Z41" s="2"/>
      <c r="AC41" s="2"/>
      <c r="AF41" s="2"/>
      <c r="AI41" s="2"/>
      <c r="AL41" s="2"/>
      <c r="AO41" s="2"/>
      <c r="AR41" s="2"/>
      <c r="AU41" s="2"/>
      <c r="AX41" s="2"/>
      <c r="BA41" s="2"/>
      <c r="BD41" s="2"/>
      <c r="BG41" s="2"/>
    </row>
    <row r="42" spans="5:59" x14ac:dyDescent="0.2"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D42" s="2"/>
      <c r="BG42" s="2"/>
    </row>
    <row r="43" spans="5:59" x14ac:dyDescent="0.2"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D43" s="2"/>
      <c r="BG43" s="2"/>
    </row>
    <row r="44" spans="5:59" x14ac:dyDescent="0.2"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D44" s="2"/>
      <c r="BG44" s="2"/>
    </row>
    <row r="45" spans="5:59" x14ac:dyDescent="0.2"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D45" s="2"/>
      <c r="BG45" s="2"/>
    </row>
    <row r="46" spans="5:59" x14ac:dyDescent="0.2"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D46" s="2"/>
      <c r="BG46" s="2"/>
    </row>
    <row r="47" spans="5:59" x14ac:dyDescent="0.2"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D47" s="2"/>
      <c r="BG47" s="2"/>
    </row>
    <row r="48" spans="5:59" x14ac:dyDescent="0.2"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D48" s="2"/>
      <c r="BG48" s="2"/>
    </row>
    <row r="49" spans="5:59" x14ac:dyDescent="0.2"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D49" s="2"/>
      <c r="BG49" s="2"/>
    </row>
    <row r="50" spans="5:59" x14ac:dyDescent="0.2"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D50" s="2"/>
      <c r="BG50" s="2"/>
    </row>
    <row r="51" spans="5:59" x14ac:dyDescent="0.2"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D51" s="2"/>
      <c r="BG51" s="2"/>
    </row>
    <row r="52" spans="5:59" x14ac:dyDescent="0.2"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D52" s="2"/>
      <c r="BG52" s="2"/>
    </row>
    <row r="53" spans="5:59" x14ac:dyDescent="0.2"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D53" s="2"/>
      <c r="BG53" s="2"/>
    </row>
    <row r="54" spans="5:59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D54" s="2"/>
      <c r="BG54" s="2"/>
    </row>
    <row r="55" spans="5:59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D55" s="2"/>
      <c r="BG55" s="2"/>
    </row>
    <row r="56" spans="5:59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D56" s="2"/>
      <c r="BG56" s="2"/>
    </row>
    <row r="57" spans="5:59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D57" s="2"/>
      <c r="BG57" s="2"/>
    </row>
    <row r="58" spans="5:59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D58" s="2"/>
      <c r="BG58" s="2"/>
    </row>
    <row r="59" spans="5:59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D59" s="2"/>
      <c r="BG59" s="2"/>
    </row>
    <row r="60" spans="5:59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D60" s="2"/>
      <c r="BG60" s="2"/>
    </row>
    <row r="61" spans="5:59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D61" s="2"/>
      <c r="BG61" s="2"/>
    </row>
    <row r="62" spans="5:59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D62" s="2"/>
      <c r="BG62" s="2"/>
    </row>
    <row r="63" spans="5:59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D63" s="2"/>
      <c r="BG63" s="2"/>
    </row>
    <row r="64" spans="5:59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D64" s="2"/>
      <c r="BG64" s="2"/>
    </row>
    <row r="65" spans="5:59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D65" s="2"/>
      <c r="BG65" s="2"/>
    </row>
    <row r="66" spans="5:59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D66" s="2"/>
      <c r="BG66" s="2"/>
    </row>
    <row r="67" spans="5:59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D67" s="2"/>
      <c r="BG67" s="2"/>
    </row>
    <row r="68" spans="5:59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D68" s="2"/>
      <c r="BG68" s="2"/>
    </row>
    <row r="69" spans="5:59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D69" s="2"/>
      <c r="BG69" s="2"/>
    </row>
    <row r="70" spans="5:59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D70" s="2"/>
      <c r="BG70" s="2"/>
    </row>
    <row r="71" spans="5:59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D71" s="2"/>
      <c r="BG71" s="2"/>
    </row>
    <row r="72" spans="5:59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D72" s="2"/>
      <c r="BG72" s="2"/>
    </row>
    <row r="73" spans="5:59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D73" s="2"/>
      <c r="BG73" s="2"/>
    </row>
    <row r="74" spans="5:59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D74" s="2"/>
      <c r="BG74" s="2"/>
    </row>
    <row r="75" spans="5:59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D75" s="2"/>
      <c r="BG75" s="2"/>
    </row>
    <row r="76" spans="5:59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D76" s="2"/>
      <c r="BG76" s="2"/>
    </row>
    <row r="77" spans="5:59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D77" s="2"/>
      <c r="BG77" s="2"/>
    </row>
    <row r="78" spans="5:59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D78" s="2"/>
      <c r="BG78" s="2"/>
    </row>
    <row r="79" spans="5:59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D79" s="2"/>
      <c r="BG79" s="2"/>
    </row>
    <row r="80" spans="5:59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D80" s="2"/>
      <c r="BG80" s="2"/>
    </row>
    <row r="81" spans="5:59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D81" s="2"/>
      <c r="BG81" s="2"/>
    </row>
    <row r="82" spans="5:59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D82" s="2"/>
      <c r="BG82" s="2"/>
    </row>
    <row r="83" spans="5:59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D83" s="2"/>
      <c r="BG83" s="2"/>
    </row>
    <row r="84" spans="5:59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D84" s="2"/>
      <c r="BG84" s="2"/>
    </row>
    <row r="85" spans="5:59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D85" s="2"/>
      <c r="BG85" s="2"/>
    </row>
    <row r="86" spans="5:59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D86" s="2"/>
      <c r="BG86" s="2"/>
    </row>
    <row r="87" spans="5:59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D87" s="2"/>
      <c r="BG87" s="2"/>
    </row>
    <row r="88" spans="5:59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D88" s="2"/>
      <c r="BG88" s="2"/>
    </row>
    <row r="89" spans="5:59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D89" s="2"/>
      <c r="BG89" s="2"/>
    </row>
    <row r="90" spans="5:59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D90" s="2"/>
      <c r="BG90" s="2"/>
    </row>
    <row r="91" spans="5:59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D91" s="2"/>
      <c r="BG91" s="2"/>
    </row>
    <row r="92" spans="5:59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D92" s="2"/>
      <c r="BG92" s="2"/>
    </row>
    <row r="93" spans="5:59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D93" s="2"/>
      <c r="BG93" s="2"/>
    </row>
    <row r="94" spans="5:59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D94" s="2"/>
      <c r="BG94" s="2"/>
    </row>
    <row r="95" spans="5:59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D95" s="2"/>
      <c r="BG95" s="2"/>
    </row>
    <row r="96" spans="5:59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D96" s="2"/>
      <c r="BG96" s="2"/>
    </row>
    <row r="97" spans="5:59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D97" s="2"/>
      <c r="BG97" s="2"/>
    </row>
    <row r="98" spans="5:59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D98" s="2"/>
      <c r="BG98" s="2"/>
    </row>
    <row r="99" spans="5:59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D99" s="2"/>
      <c r="BG99" s="2"/>
    </row>
    <row r="100" spans="5:59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D100" s="2"/>
      <c r="BG100" s="2"/>
    </row>
    <row r="101" spans="5:59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D101" s="2"/>
      <c r="BG101" s="2"/>
    </row>
    <row r="102" spans="5:59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D102" s="2"/>
      <c r="BG102" s="2"/>
    </row>
    <row r="103" spans="5:59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D103" s="2"/>
      <c r="BG103" s="2"/>
    </row>
    <row r="104" spans="5:59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D104" s="2"/>
      <c r="BG104" s="2"/>
    </row>
    <row r="105" spans="5:59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D105" s="2"/>
      <c r="BG105" s="2"/>
    </row>
    <row r="106" spans="5:59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D106" s="2"/>
      <c r="BG106" s="2"/>
    </row>
    <row r="107" spans="5:59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D107" s="2"/>
      <c r="BG107" s="2"/>
    </row>
    <row r="108" spans="5:59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D108" s="2"/>
      <c r="BG108" s="2"/>
    </row>
    <row r="109" spans="5:59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D109" s="2"/>
      <c r="BG109" s="2"/>
    </row>
    <row r="110" spans="5:59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D110" s="2"/>
      <c r="BG110" s="2"/>
    </row>
    <row r="111" spans="5:59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D111" s="2"/>
      <c r="BG111" s="2"/>
    </row>
    <row r="112" spans="5:59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D112" s="2"/>
      <c r="BG112" s="2"/>
    </row>
    <row r="113" spans="5:59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D113" s="2"/>
      <c r="BG113" s="2"/>
    </row>
    <row r="114" spans="5:59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D114" s="2"/>
      <c r="BG114" s="2"/>
    </row>
    <row r="115" spans="5:59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D115" s="2"/>
      <c r="BG115" s="2"/>
    </row>
    <row r="116" spans="5:59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D116" s="2"/>
      <c r="BG116" s="2"/>
    </row>
    <row r="117" spans="5:59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D117" s="2"/>
      <c r="BG117" s="2"/>
    </row>
    <row r="118" spans="5:59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D118" s="2"/>
      <c r="BG118" s="2"/>
    </row>
    <row r="119" spans="5:59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D119" s="2"/>
      <c r="BG119" s="2"/>
    </row>
    <row r="120" spans="5:59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D120" s="2"/>
      <c r="BG120" s="2"/>
    </row>
    <row r="121" spans="5:59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D121" s="2"/>
      <c r="BG121" s="2"/>
    </row>
    <row r="122" spans="5:59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D122" s="2"/>
      <c r="BG122" s="2"/>
    </row>
    <row r="123" spans="5:59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D123" s="2"/>
      <c r="BG123" s="2"/>
    </row>
    <row r="124" spans="5:59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D124" s="2"/>
      <c r="BG124" s="2"/>
    </row>
    <row r="125" spans="5:59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D125" s="2"/>
      <c r="BG125" s="2"/>
    </row>
    <row r="126" spans="5:59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D126" s="2"/>
      <c r="BG126" s="2"/>
    </row>
    <row r="127" spans="5:59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D127" s="2"/>
      <c r="BG127" s="2"/>
    </row>
    <row r="128" spans="5:59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D128" s="2"/>
      <c r="BG128" s="2"/>
    </row>
    <row r="129" spans="5:59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D129" s="2"/>
      <c r="BG129" s="2"/>
    </row>
    <row r="130" spans="5:59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D130" s="2"/>
      <c r="BG130" s="2"/>
    </row>
    <row r="131" spans="5:59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D131" s="2"/>
      <c r="BG131" s="2"/>
    </row>
    <row r="132" spans="5:59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D132" s="2"/>
      <c r="BG132" s="2"/>
    </row>
    <row r="133" spans="5:59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D133" s="2"/>
      <c r="BG133" s="2"/>
    </row>
    <row r="134" spans="5:59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D134" s="2"/>
      <c r="BG134" s="2"/>
    </row>
    <row r="135" spans="5:59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D135" s="2"/>
      <c r="BG135" s="2"/>
    </row>
    <row r="136" spans="5:59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D136" s="2"/>
      <c r="BG136" s="2"/>
    </row>
    <row r="137" spans="5:59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D137" s="2"/>
      <c r="BG137" s="2"/>
    </row>
    <row r="138" spans="5:59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D138" s="2"/>
      <c r="BG138" s="2"/>
    </row>
    <row r="139" spans="5:59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D139" s="2"/>
      <c r="BG139" s="2"/>
    </row>
    <row r="140" spans="5:59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D140" s="2"/>
      <c r="BG140" s="2"/>
    </row>
    <row r="141" spans="5:59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D141" s="2"/>
      <c r="BG141" s="2"/>
    </row>
    <row r="142" spans="5:59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D142" s="2"/>
      <c r="BG142" s="2"/>
    </row>
    <row r="143" spans="5:59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D143" s="2"/>
      <c r="BG143" s="2"/>
    </row>
    <row r="144" spans="5:59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D144" s="2"/>
      <c r="BG144" s="2"/>
    </row>
    <row r="145" spans="5:59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D145" s="2"/>
      <c r="BG145" s="2"/>
    </row>
    <row r="146" spans="5:59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D146" s="2"/>
      <c r="BG146" s="2"/>
    </row>
    <row r="147" spans="5:59" x14ac:dyDescent="0.2">
      <c r="E147" s="2"/>
      <c r="H147" s="2"/>
      <c r="K147" s="2"/>
      <c r="N147" s="2"/>
      <c r="Q147" s="2"/>
      <c r="T147" s="2"/>
      <c r="W147" s="2"/>
      <c r="Z147" s="2"/>
      <c r="AC147" s="2"/>
      <c r="AF147" s="2"/>
      <c r="AI147" s="2"/>
      <c r="AL147" s="2"/>
      <c r="AO147" s="2"/>
      <c r="AR147" s="2"/>
      <c r="AU147" s="2"/>
      <c r="AX147" s="2"/>
      <c r="BA147" s="2"/>
      <c r="BD147" s="2"/>
      <c r="BG147" s="2"/>
    </row>
    <row r="148" spans="5:59" x14ac:dyDescent="0.2">
      <c r="E148" s="2"/>
      <c r="H148" s="2"/>
      <c r="K148" s="2"/>
      <c r="N148" s="2"/>
      <c r="Q148" s="2"/>
      <c r="T148" s="2"/>
      <c r="W148" s="2"/>
      <c r="Z148" s="2"/>
      <c r="AC148" s="2"/>
      <c r="AF148" s="2"/>
      <c r="AI148" s="2"/>
      <c r="AL148" s="2"/>
      <c r="AO148" s="2"/>
      <c r="AR148" s="2"/>
      <c r="AU148" s="2"/>
      <c r="AX148" s="2"/>
      <c r="BA148" s="2"/>
      <c r="BD148" s="2"/>
      <c r="BG148" s="2"/>
    </row>
    <row r="149" spans="5:59" x14ac:dyDescent="0.2">
      <c r="E149" s="2"/>
      <c r="H149" s="2"/>
      <c r="K149" s="2"/>
      <c r="N149" s="2"/>
      <c r="Q149" s="2"/>
      <c r="T149" s="2"/>
      <c r="W149" s="2"/>
      <c r="Z149" s="2"/>
      <c r="AC149" s="2"/>
      <c r="AF149" s="2"/>
      <c r="AI149" s="2"/>
      <c r="AL149" s="2"/>
      <c r="AO149" s="2"/>
      <c r="AR149" s="2"/>
      <c r="AU149" s="2"/>
      <c r="AX149" s="2"/>
      <c r="BA149" s="2"/>
      <c r="BD149" s="2"/>
      <c r="BG149" s="2"/>
    </row>
    <row r="150" spans="5:59" x14ac:dyDescent="0.2">
      <c r="E150" s="2"/>
      <c r="H150" s="2"/>
      <c r="K150" s="2"/>
      <c r="N150" s="2"/>
      <c r="Q150" s="2"/>
      <c r="T150" s="2"/>
      <c r="W150" s="2"/>
      <c r="Z150" s="2"/>
      <c r="AC150" s="2"/>
      <c r="AF150" s="2"/>
      <c r="AI150" s="2"/>
      <c r="AL150" s="2"/>
      <c r="AO150" s="2"/>
      <c r="AR150" s="2"/>
      <c r="AU150" s="2"/>
      <c r="AX150" s="2"/>
      <c r="BA150" s="2"/>
      <c r="BD150" s="2"/>
      <c r="BG150" s="2"/>
    </row>
  </sheetData>
  <mergeCells count="77">
    <mergeCell ref="AA1:AC1"/>
    <mergeCell ref="L1:M1"/>
    <mergeCell ref="O1:P1"/>
    <mergeCell ref="R1:S1"/>
    <mergeCell ref="U1:W1"/>
    <mergeCell ref="X1:Z1"/>
    <mergeCell ref="A1:B1"/>
    <mergeCell ref="C2:D2"/>
    <mergeCell ref="F2:G2"/>
    <mergeCell ref="I2:J2"/>
    <mergeCell ref="C1:E1"/>
    <mergeCell ref="F1:G1"/>
    <mergeCell ref="I1:J1"/>
    <mergeCell ref="X2:Y2"/>
    <mergeCell ref="AA2:AB2"/>
    <mergeCell ref="AD2:AE2"/>
    <mergeCell ref="AG2:AH2"/>
    <mergeCell ref="L2:M2"/>
    <mergeCell ref="O2:P2"/>
    <mergeCell ref="R2:S2"/>
    <mergeCell ref="U2:V2"/>
    <mergeCell ref="AP3:AQ3"/>
    <mergeCell ref="AS3:AT3"/>
    <mergeCell ref="AV3:AW3"/>
    <mergeCell ref="AJ3:AK3"/>
    <mergeCell ref="AJ2:AK2"/>
    <mergeCell ref="AM2:AN2"/>
    <mergeCell ref="AP2:AQ2"/>
    <mergeCell ref="AS2:AT2"/>
    <mergeCell ref="AV2:AW2"/>
    <mergeCell ref="C4:D4"/>
    <mergeCell ref="F4:G4"/>
    <mergeCell ref="I4:J4"/>
    <mergeCell ref="L4:M4"/>
    <mergeCell ref="AM3:AN3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AA4:AB4"/>
    <mergeCell ref="AD4:AE4"/>
    <mergeCell ref="AG4:AH4"/>
    <mergeCell ref="O4:P4"/>
    <mergeCell ref="R4:S4"/>
    <mergeCell ref="U4:V4"/>
    <mergeCell ref="X4:Y4"/>
    <mergeCell ref="AM4:AN4"/>
    <mergeCell ref="AP4:AQ4"/>
    <mergeCell ref="AS4:AT4"/>
    <mergeCell ref="AV4:AW4"/>
    <mergeCell ref="AJ4:AK4"/>
    <mergeCell ref="AY2:AZ2"/>
    <mergeCell ref="AY3:AZ3"/>
    <mergeCell ref="AY4:AZ4"/>
    <mergeCell ref="BB2:BC2"/>
    <mergeCell ref="BE2:BF2"/>
    <mergeCell ref="BB3:BC3"/>
    <mergeCell ref="BE3:BF3"/>
    <mergeCell ref="BB4:BC4"/>
    <mergeCell ref="BE4:BF4"/>
    <mergeCell ref="AV1:AX1"/>
    <mergeCell ref="AY1:BA1"/>
    <mergeCell ref="BB1:BD1"/>
    <mergeCell ref="BE1:BG1"/>
    <mergeCell ref="AD1:AF1"/>
    <mergeCell ref="AG1:AI1"/>
    <mergeCell ref="AJ1:AL1"/>
    <mergeCell ref="AM1:AO1"/>
    <mergeCell ref="AP1:AR1"/>
    <mergeCell ref="AS1:AU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F957-F756-4AD1-859D-5D4E6100B542}">
  <dimension ref="A1:BM146"/>
  <sheetViews>
    <sheetView workbookViewId="0">
      <selection activeCell="F11" sqref="F11"/>
    </sheetView>
  </sheetViews>
  <sheetFormatPr defaultColWidth="9" defaultRowHeight="14.25" x14ac:dyDescent="0.2"/>
  <cols>
    <col min="1" max="1" width="14.875" style="10" customWidth="1"/>
    <col min="2" max="2" width="9" style="10"/>
    <col min="3" max="16384" width="9" style="1"/>
  </cols>
  <sheetData>
    <row r="1" spans="1:65" s="5" customFormat="1" x14ac:dyDescent="0.2">
      <c r="A1" s="22" t="s">
        <v>65</v>
      </c>
      <c r="B1" s="22"/>
      <c r="C1" s="18" t="s">
        <v>34</v>
      </c>
      <c r="D1" s="18"/>
      <c r="E1" s="18"/>
      <c r="F1" s="18" t="s">
        <v>10</v>
      </c>
      <c r="G1" s="18"/>
      <c r="H1" s="18"/>
      <c r="I1" s="18" t="s">
        <v>21</v>
      </c>
      <c r="J1" s="18"/>
      <c r="K1" s="18"/>
      <c r="L1" s="18" t="s">
        <v>12</v>
      </c>
      <c r="M1" s="18"/>
      <c r="N1" s="18"/>
      <c r="O1" s="18" t="s">
        <v>40</v>
      </c>
      <c r="P1" s="18"/>
      <c r="Q1" s="18"/>
      <c r="R1" s="18" t="s">
        <v>9</v>
      </c>
      <c r="S1" s="18"/>
      <c r="T1" s="18"/>
      <c r="U1" s="18" t="s">
        <v>23</v>
      </c>
      <c r="V1" s="18"/>
      <c r="W1" s="18"/>
      <c r="X1" s="18" t="s">
        <v>16</v>
      </c>
      <c r="Y1" s="18"/>
      <c r="Z1" s="18"/>
      <c r="AA1" s="18" t="s">
        <v>25</v>
      </c>
      <c r="AB1" s="18"/>
      <c r="AC1" s="18"/>
      <c r="AD1" s="18" t="s">
        <v>20</v>
      </c>
      <c r="AE1" s="18"/>
      <c r="AF1" s="18"/>
      <c r="AG1" s="18" t="s">
        <v>18</v>
      </c>
      <c r="AH1" s="18"/>
      <c r="AI1" s="18"/>
      <c r="AJ1" s="18" t="s">
        <v>48</v>
      </c>
      <c r="AK1" s="18"/>
      <c r="AL1" s="18"/>
      <c r="AM1" s="18" t="s">
        <v>19</v>
      </c>
      <c r="AN1" s="18"/>
      <c r="AO1" s="18"/>
      <c r="AP1" s="18" t="s">
        <v>6</v>
      </c>
      <c r="AQ1" s="18"/>
      <c r="AR1" s="18"/>
      <c r="AS1" s="18" t="s">
        <v>49</v>
      </c>
      <c r="AT1" s="18"/>
      <c r="AU1" s="18"/>
      <c r="AV1" s="18" t="s">
        <v>29</v>
      </c>
      <c r="AW1" s="18"/>
      <c r="AX1" s="18"/>
      <c r="AY1" s="18" t="s">
        <v>8</v>
      </c>
      <c r="AZ1" s="18"/>
      <c r="BA1" s="18"/>
      <c r="BB1" s="18" t="s">
        <v>33</v>
      </c>
      <c r="BC1" s="18"/>
      <c r="BD1" s="18"/>
      <c r="BE1" s="18" t="s">
        <v>13</v>
      </c>
      <c r="BF1" s="18"/>
      <c r="BG1" s="18"/>
      <c r="BH1" s="18" t="s">
        <v>30</v>
      </c>
      <c r="BI1" s="18"/>
      <c r="BJ1" s="18"/>
      <c r="BK1" s="18" t="s">
        <v>11</v>
      </c>
      <c r="BL1" s="18"/>
      <c r="BM1" s="18"/>
    </row>
    <row r="2" spans="1:65" s="10" customFormat="1" x14ac:dyDescent="0.2">
      <c r="A2" s="10" t="s">
        <v>5</v>
      </c>
      <c r="B2" s="10">
        <f>SUM(C2:TN2)</f>
        <v>78</v>
      </c>
      <c r="C2" s="23" t="s">
        <v>5</v>
      </c>
      <c r="D2" s="23"/>
      <c r="E2" s="15">
        <f>COUNT(E6:E261)</f>
        <v>3</v>
      </c>
      <c r="F2" s="23" t="s">
        <v>5</v>
      </c>
      <c r="G2" s="23"/>
      <c r="H2" s="15">
        <f>COUNT(H6:H261)</f>
        <v>1</v>
      </c>
      <c r="I2" s="23" t="s">
        <v>5</v>
      </c>
      <c r="J2" s="23"/>
      <c r="K2" s="15">
        <f>COUNT(K6:K261)</f>
        <v>3</v>
      </c>
      <c r="L2" s="23" t="s">
        <v>5</v>
      </c>
      <c r="M2" s="23"/>
      <c r="N2" s="15">
        <f>COUNT(N6:N261)</f>
        <v>8</v>
      </c>
      <c r="O2" s="23" t="s">
        <v>5</v>
      </c>
      <c r="P2" s="23"/>
      <c r="Q2" s="15">
        <f>COUNT(Q6:Q261)</f>
        <v>6</v>
      </c>
      <c r="R2" s="23" t="s">
        <v>5</v>
      </c>
      <c r="S2" s="23"/>
      <c r="T2" s="15">
        <f>COUNT(T6:T261)</f>
        <v>3</v>
      </c>
      <c r="U2" s="23" t="s">
        <v>5</v>
      </c>
      <c r="V2" s="23"/>
      <c r="W2" s="15">
        <f>COUNT(W6:W261)</f>
        <v>1</v>
      </c>
      <c r="X2" s="23" t="s">
        <v>5</v>
      </c>
      <c r="Y2" s="23"/>
      <c r="Z2" s="15">
        <f>COUNT(Z6:Z261)</f>
        <v>3</v>
      </c>
      <c r="AA2" s="23" t="s">
        <v>5</v>
      </c>
      <c r="AB2" s="23"/>
      <c r="AC2" s="15">
        <f>COUNT(AC6:AC261)</f>
        <v>6</v>
      </c>
      <c r="AD2" s="23" t="s">
        <v>5</v>
      </c>
      <c r="AE2" s="23"/>
      <c r="AF2" s="15">
        <f>COUNT(AF6:AF261)</f>
        <v>7</v>
      </c>
      <c r="AG2" s="23" t="s">
        <v>5</v>
      </c>
      <c r="AH2" s="23"/>
      <c r="AI2" s="15">
        <f>COUNT(AI6:AI261)</f>
        <v>1</v>
      </c>
      <c r="AJ2" s="23" t="s">
        <v>5</v>
      </c>
      <c r="AK2" s="23"/>
      <c r="AL2" s="15">
        <f>COUNT(AL6:AL261)</f>
        <v>1</v>
      </c>
      <c r="AM2" s="23" t="s">
        <v>5</v>
      </c>
      <c r="AN2" s="23"/>
      <c r="AO2" s="15">
        <f>COUNT(AO6:AO261)</f>
        <v>1</v>
      </c>
      <c r="AP2" s="23" t="s">
        <v>5</v>
      </c>
      <c r="AQ2" s="23"/>
      <c r="AR2" s="15">
        <f>COUNT(AR6:AR261)</f>
        <v>3</v>
      </c>
      <c r="AS2" s="23" t="s">
        <v>5</v>
      </c>
      <c r="AT2" s="23"/>
      <c r="AU2" s="15">
        <f>COUNT(AU6:AU261)</f>
        <v>3</v>
      </c>
      <c r="AV2" s="23" t="s">
        <v>5</v>
      </c>
      <c r="AW2" s="23"/>
      <c r="AX2" s="15">
        <f>COUNT(AX6:AX261)</f>
        <v>9</v>
      </c>
      <c r="AY2" s="23" t="s">
        <v>5</v>
      </c>
      <c r="AZ2" s="23"/>
      <c r="BA2" s="15">
        <f>COUNT(BA6:BA261)</f>
        <v>11</v>
      </c>
      <c r="BB2" s="23" t="s">
        <v>5</v>
      </c>
      <c r="BC2" s="23"/>
      <c r="BD2" s="15">
        <f>COUNT(BD6:BD261)</f>
        <v>1</v>
      </c>
      <c r="BE2" s="23" t="s">
        <v>5</v>
      </c>
      <c r="BF2" s="23"/>
      <c r="BG2" s="15">
        <f>COUNT(BG6:BG261)</f>
        <v>4</v>
      </c>
      <c r="BH2" s="23" t="s">
        <v>5</v>
      </c>
      <c r="BI2" s="23"/>
      <c r="BJ2" s="15">
        <f>COUNT(BJ6:BJ261)</f>
        <v>1</v>
      </c>
      <c r="BK2" s="23" t="s">
        <v>5</v>
      </c>
      <c r="BL2" s="23"/>
      <c r="BM2" s="15">
        <f>COUNT(BM6:BM261)</f>
        <v>2</v>
      </c>
    </row>
    <row r="3" spans="1:65" s="10" customFormat="1" x14ac:dyDescent="0.2">
      <c r="A3" s="10" t="s">
        <v>4</v>
      </c>
      <c r="B3" s="10">
        <f>SUM(C3:TN3)</f>
        <v>15.282358700850622</v>
      </c>
      <c r="C3" s="23" t="s">
        <v>4</v>
      </c>
      <c r="D3" s="23"/>
      <c r="E3" s="15">
        <f>SUM(E6:E261)</f>
        <v>0.19581924165374998</v>
      </c>
      <c r="F3" s="23" t="s">
        <v>4</v>
      </c>
      <c r="G3" s="23"/>
      <c r="H3" s="15">
        <f>SUM(H6:H261)</f>
        <v>6.8558368412500001E-2</v>
      </c>
      <c r="I3" s="23" t="s">
        <v>4</v>
      </c>
      <c r="J3" s="23"/>
      <c r="K3" s="15">
        <f>SUM(K6:K261)</f>
        <v>6.6545658238124999E-2</v>
      </c>
      <c r="L3" s="23" t="s">
        <v>4</v>
      </c>
      <c r="M3" s="23"/>
      <c r="N3" s="15">
        <f>SUM(N6:N261)</f>
        <v>0.83779839489999997</v>
      </c>
      <c r="O3" s="23" t="s">
        <v>4</v>
      </c>
      <c r="P3" s="23"/>
      <c r="Q3" s="15">
        <f>SUM(Q6:Q261)</f>
        <v>1.75463934471875</v>
      </c>
      <c r="R3" s="23" t="s">
        <v>4</v>
      </c>
      <c r="S3" s="23"/>
      <c r="T3" s="15">
        <f>SUM(T6:T261)</f>
        <v>0.65147918465562504</v>
      </c>
      <c r="U3" s="23" t="s">
        <v>4</v>
      </c>
      <c r="V3" s="23"/>
      <c r="W3" s="15">
        <f>SUM(W6:W261)</f>
        <v>2.6237700210000003E-2</v>
      </c>
      <c r="X3" s="23" t="s">
        <v>4</v>
      </c>
      <c r="Y3" s="23"/>
      <c r="Z3" s="15">
        <f>SUM(Z6:Z261)</f>
        <v>0.16447619892312498</v>
      </c>
      <c r="AA3" s="23" t="s">
        <v>4</v>
      </c>
      <c r="AB3" s="23"/>
      <c r="AC3" s="15">
        <f>SUM(AC6:AC261)</f>
        <v>0.20808650778624999</v>
      </c>
      <c r="AD3" s="23" t="s">
        <v>4</v>
      </c>
      <c r="AE3" s="23"/>
      <c r="AF3" s="15">
        <f>SUM(AF6:AF261)</f>
        <v>1.464809455088125</v>
      </c>
      <c r="AG3" s="23" t="s">
        <v>4</v>
      </c>
      <c r="AH3" s="23"/>
      <c r="AI3" s="15">
        <f>SUM(AI6:AI261)</f>
        <v>0.81852852417187494</v>
      </c>
      <c r="AJ3" s="23" t="s">
        <v>4</v>
      </c>
      <c r="AK3" s="23"/>
      <c r="AL3" s="15">
        <f>SUM(AL6:AL261)</f>
        <v>2.2592127755E-2</v>
      </c>
      <c r="AM3" s="23" t="s">
        <v>4</v>
      </c>
      <c r="AN3" s="23"/>
      <c r="AO3" s="15">
        <f>SUM(AO6:AO261)</f>
        <v>0.18548604479499997</v>
      </c>
      <c r="AP3" s="23" t="s">
        <v>4</v>
      </c>
      <c r="AQ3" s="23"/>
      <c r="AR3" s="15">
        <f>SUM(AR6:AR261)</f>
        <v>0.53718101236875004</v>
      </c>
      <c r="AS3" s="23" t="s">
        <v>4</v>
      </c>
      <c r="AT3" s="23"/>
      <c r="AU3" s="15">
        <f>SUM(AU6:AU261)</f>
        <v>0.28309954394812503</v>
      </c>
      <c r="AV3" s="23" t="s">
        <v>4</v>
      </c>
      <c r="AW3" s="23"/>
      <c r="AX3" s="15">
        <f>SUM(AX6:AX261)</f>
        <v>1.1549253842012501</v>
      </c>
      <c r="AY3" s="23" t="s">
        <v>4</v>
      </c>
      <c r="AZ3" s="23"/>
      <c r="BA3" s="15">
        <f>SUM(BA6:BA261)</f>
        <v>0.98389441450249993</v>
      </c>
      <c r="BB3" s="23" t="s">
        <v>4</v>
      </c>
      <c r="BC3" s="23"/>
      <c r="BD3" s="15">
        <f>SUM(BD6:BD261)</f>
        <v>0.10178</v>
      </c>
      <c r="BE3" s="23" t="s">
        <v>4</v>
      </c>
      <c r="BF3" s="23"/>
      <c r="BG3" s="15">
        <f>SUM(BG6:BG261)</f>
        <v>4.9223269580031248</v>
      </c>
      <c r="BH3" s="23" t="s">
        <v>4</v>
      </c>
      <c r="BI3" s="23"/>
      <c r="BJ3" s="15">
        <f>SUM(BJ6:BJ261)</f>
        <v>0.60414257559999995</v>
      </c>
      <c r="BK3" s="23" t="s">
        <v>4</v>
      </c>
      <c r="BL3" s="23"/>
      <c r="BM3" s="15">
        <f>SUM(BM6:BM261)</f>
        <v>0.22995206091875003</v>
      </c>
    </row>
    <row r="4" spans="1:65" s="10" customFormat="1" x14ac:dyDescent="0.2">
      <c r="C4" s="23" t="s">
        <v>3</v>
      </c>
      <c r="D4" s="23"/>
      <c r="E4" s="15">
        <f>AVERAGE(E6:E261)</f>
        <v>6.5273080551249987E-2</v>
      </c>
      <c r="F4" s="23" t="s">
        <v>3</v>
      </c>
      <c r="G4" s="23"/>
      <c r="H4" s="15">
        <f>AVERAGE(H6:H261)</f>
        <v>6.8558368412500001E-2</v>
      </c>
      <c r="I4" s="23" t="s">
        <v>3</v>
      </c>
      <c r="J4" s="23"/>
      <c r="K4" s="15">
        <f>AVERAGE(K6:K261)</f>
        <v>2.2181886079375001E-2</v>
      </c>
      <c r="L4" s="23" t="s">
        <v>3</v>
      </c>
      <c r="M4" s="23"/>
      <c r="N4" s="15">
        <f>AVERAGE(N6:N261)</f>
        <v>0.1047247993625</v>
      </c>
      <c r="O4" s="23" t="s">
        <v>3</v>
      </c>
      <c r="P4" s="23"/>
      <c r="Q4" s="15">
        <f>AVERAGE(Q6:Q261)</f>
        <v>0.29243989078645832</v>
      </c>
      <c r="R4" s="23" t="s">
        <v>3</v>
      </c>
      <c r="S4" s="23"/>
      <c r="T4" s="15">
        <f>AVERAGE(T6:T261)</f>
        <v>0.21715972821854168</v>
      </c>
      <c r="U4" s="23" t="s">
        <v>3</v>
      </c>
      <c r="V4" s="23"/>
      <c r="W4" s="15">
        <f>AVERAGE(W6:W261)</f>
        <v>2.6237700210000003E-2</v>
      </c>
      <c r="X4" s="23" t="s">
        <v>3</v>
      </c>
      <c r="Y4" s="23"/>
      <c r="Z4" s="15">
        <f>AVERAGE(Z6:Z261)</f>
        <v>5.4825399641041661E-2</v>
      </c>
      <c r="AA4" s="23" t="s">
        <v>3</v>
      </c>
      <c r="AB4" s="23"/>
      <c r="AC4" s="15">
        <f>AVERAGE(AC6:AC261)</f>
        <v>3.4681084631041664E-2</v>
      </c>
      <c r="AD4" s="23" t="s">
        <v>3</v>
      </c>
      <c r="AE4" s="23"/>
      <c r="AF4" s="15">
        <f>AVERAGE(AF6:AF261)</f>
        <v>0.20925849358401785</v>
      </c>
      <c r="AG4" s="23" t="s">
        <v>3</v>
      </c>
      <c r="AH4" s="23"/>
      <c r="AI4" s="15">
        <f>AVERAGE(AI6:AI261)</f>
        <v>0.81852852417187494</v>
      </c>
      <c r="AJ4" s="23" t="s">
        <v>3</v>
      </c>
      <c r="AK4" s="23"/>
      <c r="AL4" s="15">
        <f>AVERAGE(AL6:AL261)</f>
        <v>2.2592127755E-2</v>
      </c>
      <c r="AM4" s="23" t="s">
        <v>3</v>
      </c>
      <c r="AN4" s="23"/>
      <c r="AO4" s="15">
        <f>AVERAGE(AO6:AO261)</f>
        <v>0.18548604479499997</v>
      </c>
      <c r="AP4" s="23" t="s">
        <v>3</v>
      </c>
      <c r="AQ4" s="23"/>
      <c r="AR4" s="15">
        <f>AVERAGE(AR6:AR261)</f>
        <v>0.17906033745625002</v>
      </c>
      <c r="AS4" s="23" t="s">
        <v>3</v>
      </c>
      <c r="AT4" s="23"/>
      <c r="AU4" s="15">
        <f>AVERAGE(AU6:AU261)</f>
        <v>9.4366514649375011E-2</v>
      </c>
      <c r="AV4" s="23" t="s">
        <v>3</v>
      </c>
      <c r="AW4" s="23"/>
      <c r="AX4" s="15">
        <f>AVERAGE(AX6:AX261)</f>
        <v>0.12832504268902778</v>
      </c>
      <c r="AY4" s="23" t="s">
        <v>3</v>
      </c>
      <c r="AZ4" s="23"/>
      <c r="BA4" s="15">
        <f>AVERAGE(BA6:BA261)</f>
        <v>8.9444946772954545E-2</v>
      </c>
      <c r="BB4" s="23" t="s">
        <v>3</v>
      </c>
      <c r="BC4" s="23"/>
      <c r="BD4" s="15">
        <f>AVERAGE(BD6:BD261)</f>
        <v>0.10178</v>
      </c>
      <c r="BE4" s="23" t="s">
        <v>3</v>
      </c>
      <c r="BF4" s="23"/>
      <c r="BG4" s="15">
        <f>AVERAGE(BG6:BG261)</f>
        <v>1.2305817395007812</v>
      </c>
      <c r="BH4" s="23" t="s">
        <v>3</v>
      </c>
      <c r="BI4" s="23"/>
      <c r="BJ4" s="15">
        <f>AVERAGE(BJ6:BJ261)</f>
        <v>0.60414257559999995</v>
      </c>
      <c r="BK4" s="23" t="s">
        <v>3</v>
      </c>
      <c r="BL4" s="23"/>
      <c r="BM4" s="15">
        <f>AVERAGE(BM6:BM261)</f>
        <v>0.11497603045937502</v>
      </c>
    </row>
    <row r="5" spans="1:65" x14ac:dyDescent="0.2">
      <c r="C5" s="1" t="s">
        <v>38</v>
      </c>
      <c r="D5" s="1" t="s">
        <v>1</v>
      </c>
      <c r="E5" s="2" t="s">
        <v>39</v>
      </c>
      <c r="F5" s="1" t="s">
        <v>38</v>
      </c>
      <c r="G5" s="1" t="s">
        <v>1</v>
      </c>
      <c r="H5" s="2" t="s">
        <v>39</v>
      </c>
      <c r="I5" s="1" t="s">
        <v>38</v>
      </c>
      <c r="J5" s="1" t="s">
        <v>1</v>
      </c>
      <c r="K5" s="2" t="s">
        <v>39</v>
      </c>
      <c r="L5" s="1" t="s">
        <v>38</v>
      </c>
      <c r="M5" s="1" t="s">
        <v>1</v>
      </c>
      <c r="N5" s="2" t="s">
        <v>39</v>
      </c>
      <c r="O5" s="1" t="s">
        <v>38</v>
      </c>
      <c r="P5" s="1" t="s">
        <v>1</v>
      </c>
      <c r="Q5" s="2" t="s">
        <v>39</v>
      </c>
      <c r="R5" s="2" t="s">
        <v>38</v>
      </c>
      <c r="S5" s="1" t="s">
        <v>1</v>
      </c>
      <c r="T5" s="2" t="s">
        <v>39</v>
      </c>
      <c r="U5" s="1" t="s">
        <v>38</v>
      </c>
      <c r="V5" s="1" t="s">
        <v>1</v>
      </c>
      <c r="W5" s="2" t="s">
        <v>39</v>
      </c>
      <c r="X5" s="1" t="s">
        <v>38</v>
      </c>
      <c r="Y5" s="1" t="s">
        <v>1</v>
      </c>
      <c r="Z5" s="2" t="s">
        <v>39</v>
      </c>
      <c r="AA5" s="1" t="s">
        <v>38</v>
      </c>
      <c r="AB5" s="1" t="s">
        <v>1</v>
      </c>
      <c r="AC5" s="2" t="s">
        <v>39</v>
      </c>
      <c r="AD5" s="1" t="s">
        <v>38</v>
      </c>
      <c r="AE5" s="1" t="s">
        <v>1</v>
      </c>
      <c r="AF5" s="2" t="s">
        <v>39</v>
      </c>
      <c r="AG5" s="1" t="s">
        <v>38</v>
      </c>
      <c r="AH5" s="1" t="s">
        <v>1</v>
      </c>
      <c r="AI5" s="2" t="s">
        <v>39</v>
      </c>
      <c r="AJ5" s="1" t="s">
        <v>38</v>
      </c>
      <c r="AK5" s="1" t="s">
        <v>1</v>
      </c>
      <c r="AL5" s="2" t="s">
        <v>39</v>
      </c>
      <c r="AM5" s="1" t="s">
        <v>38</v>
      </c>
      <c r="AN5" s="1" t="s">
        <v>1</v>
      </c>
      <c r="AO5" s="2" t="s">
        <v>39</v>
      </c>
      <c r="AP5" s="1" t="s">
        <v>38</v>
      </c>
      <c r="AQ5" s="1" t="s">
        <v>1</v>
      </c>
      <c r="AR5" s="14" t="s">
        <v>39</v>
      </c>
      <c r="AS5" s="1" t="s">
        <v>38</v>
      </c>
      <c r="AT5" s="1" t="s">
        <v>1</v>
      </c>
      <c r="AU5" s="14" t="s">
        <v>39</v>
      </c>
      <c r="AV5" s="1" t="s">
        <v>38</v>
      </c>
      <c r="AW5" s="1" t="s">
        <v>1</v>
      </c>
      <c r="AX5" s="14" t="s">
        <v>39</v>
      </c>
      <c r="AY5" s="1" t="s">
        <v>38</v>
      </c>
      <c r="AZ5" s="1" t="s">
        <v>1</v>
      </c>
      <c r="BA5" s="14" t="s">
        <v>39</v>
      </c>
      <c r="BB5" s="1" t="s">
        <v>38</v>
      </c>
      <c r="BC5" s="1" t="s">
        <v>1</v>
      </c>
      <c r="BD5" s="14" t="s">
        <v>39</v>
      </c>
      <c r="BE5" s="1" t="s">
        <v>38</v>
      </c>
      <c r="BF5" s="1" t="s">
        <v>1</v>
      </c>
      <c r="BG5" s="14" t="s">
        <v>39</v>
      </c>
      <c r="BH5" s="1" t="s">
        <v>38</v>
      </c>
      <c r="BI5" s="1" t="s">
        <v>1</v>
      </c>
      <c r="BJ5" s="14" t="s">
        <v>39</v>
      </c>
      <c r="BK5" s="1" t="s">
        <v>38</v>
      </c>
      <c r="BL5" s="1" t="s">
        <v>1</v>
      </c>
      <c r="BM5" s="14" t="s">
        <v>39</v>
      </c>
    </row>
    <row r="6" spans="1:65" x14ac:dyDescent="0.2">
      <c r="C6" s="1">
        <v>300.74</v>
      </c>
      <c r="D6" s="1">
        <v>18.079999999999998</v>
      </c>
      <c r="E6" s="2">
        <f t="shared" ref="E6:E8" si="0">(C6*D6*D6)/1600000</f>
        <v>6.1442384959999992E-2</v>
      </c>
      <c r="F6" s="1">
        <v>371.65</v>
      </c>
      <c r="G6" s="1">
        <v>17.18</v>
      </c>
      <c r="H6" s="2">
        <f t="shared" ref="H6" si="1">(F6*G6*G6)/1600000</f>
        <v>6.8558368412500001E-2</v>
      </c>
      <c r="I6" s="1">
        <v>184.07</v>
      </c>
      <c r="J6" s="1">
        <v>8.4</v>
      </c>
      <c r="K6" s="2">
        <f t="shared" ref="K6:K8" si="2">(I6*J6*J6)/1600000</f>
        <v>8.1174870000000014E-3</v>
      </c>
      <c r="L6" s="1">
        <v>259.10000000000002</v>
      </c>
      <c r="M6" s="1">
        <v>18.45</v>
      </c>
      <c r="N6" s="2">
        <f t="shared" ref="N6:N13" si="3">(L6*M6*M6)/1600000</f>
        <v>5.5123929843750002E-2</v>
      </c>
      <c r="O6" s="1">
        <v>479.82</v>
      </c>
      <c r="P6" s="1">
        <v>13.55</v>
      </c>
      <c r="Q6" s="2">
        <f t="shared" ref="Q6:Q11" si="4">(O6*P6*P6)/1600000</f>
        <v>5.5060094718750008E-2</v>
      </c>
      <c r="R6" s="1">
        <v>615.36</v>
      </c>
      <c r="S6" s="1">
        <v>27.35</v>
      </c>
      <c r="T6" s="2">
        <f t="shared" ref="T6:T8" si="5">(R6*S6*S6)/1600000</f>
        <v>0.28768945350000008</v>
      </c>
      <c r="U6" s="1">
        <v>251.49</v>
      </c>
      <c r="V6" s="1">
        <v>12.92</v>
      </c>
      <c r="W6" s="2">
        <f t="shared" ref="W6" si="6">(U6*V6*V6)/1600000</f>
        <v>2.6237700210000003E-2</v>
      </c>
      <c r="X6" s="1">
        <v>339.59</v>
      </c>
      <c r="Y6" s="1">
        <v>17.309999999999999</v>
      </c>
      <c r="Z6" s="2">
        <f t="shared" ref="Z6:Z8" si="7">(X6*Y6*Y6)/1600000</f>
        <v>6.3595889499374975E-2</v>
      </c>
      <c r="AA6" s="1">
        <v>324.3</v>
      </c>
      <c r="AB6" s="1">
        <v>10.44</v>
      </c>
      <c r="AC6" s="2">
        <f t="shared" ref="AC6:AC11" si="8">(AA6*AB6*AB6)/1600000</f>
        <v>2.20916403E-2</v>
      </c>
      <c r="AD6" s="1">
        <v>354.21</v>
      </c>
      <c r="AE6" s="1">
        <v>14.06</v>
      </c>
      <c r="AF6" s="2">
        <f t="shared" ref="AF6:AF12" si="9">(AD6*AE6*AE6)/1600000</f>
        <v>4.3763442472500004E-2</v>
      </c>
      <c r="AG6" s="1">
        <v>659.87</v>
      </c>
      <c r="AH6" s="1">
        <v>44.55</v>
      </c>
      <c r="AI6" s="2">
        <f t="shared" ref="AI6" si="10">(AG6*AH6*AH6)/1600000</f>
        <v>0.81852852417187494</v>
      </c>
      <c r="AJ6" s="1">
        <v>330.38</v>
      </c>
      <c r="AK6" s="1">
        <v>10.46</v>
      </c>
      <c r="AL6" s="2">
        <f t="shared" ref="AL6" si="11">(AJ6*AK6*AK6)/1600000</f>
        <v>2.2592127755E-2</v>
      </c>
      <c r="AM6" s="1">
        <v>527.91999999999996</v>
      </c>
      <c r="AN6" s="1">
        <v>23.71</v>
      </c>
      <c r="AO6" s="2">
        <f t="shared" ref="AO6" si="12">(AM6*AN6*AN6)/1600000</f>
        <v>0.18548604479499997</v>
      </c>
      <c r="AP6" s="1">
        <v>512.39</v>
      </c>
      <c r="AQ6" s="1">
        <v>22.27</v>
      </c>
      <c r="AR6" s="2">
        <f t="shared" ref="AR6:AR8" si="13">(AP6*AQ6*AQ6)/1600000</f>
        <v>0.158825816519375</v>
      </c>
      <c r="AS6" s="1">
        <v>345.25</v>
      </c>
      <c r="AT6" s="1">
        <v>14.59</v>
      </c>
      <c r="AU6" s="2">
        <f t="shared" ref="AU6:AU8" si="14">(AS6*AT6*AT6)/1600000</f>
        <v>4.5932944703125006E-2</v>
      </c>
      <c r="AV6" s="1">
        <v>299.23</v>
      </c>
      <c r="AW6" s="1">
        <v>10.99</v>
      </c>
      <c r="AX6" s="2">
        <f t="shared" ref="AX6:AX14" si="15">(AV6*AW6*AW6)/1600000</f>
        <v>2.2588143326875001E-2</v>
      </c>
      <c r="AY6" s="1">
        <v>379.99</v>
      </c>
      <c r="AZ6" s="1">
        <v>18.23</v>
      </c>
      <c r="BA6" s="2">
        <f t="shared" ref="BA6:BA16" si="16">(AY6*AZ6*AZ6)/1600000</f>
        <v>7.8926986669375004E-2</v>
      </c>
      <c r="BB6" s="1">
        <v>407.12</v>
      </c>
      <c r="BC6" s="1">
        <v>20</v>
      </c>
      <c r="BD6" s="14">
        <f t="shared" ref="BD6" si="17">(BB6*BC6*BC6)/1600000</f>
        <v>0.10178</v>
      </c>
      <c r="BE6" s="1">
        <v>1283.73</v>
      </c>
      <c r="BF6" s="1">
        <v>49.69</v>
      </c>
      <c r="BG6" s="2">
        <f t="shared" ref="BG6:BG9" si="18">(BE6*BF6*BF6)/1600000</f>
        <v>1.9810329602831247</v>
      </c>
      <c r="BH6" s="1">
        <v>1171.9000000000001</v>
      </c>
      <c r="BI6" s="1">
        <v>28.72</v>
      </c>
      <c r="BJ6" s="2">
        <f t="shared" ref="BJ6" si="19">(BH6*BI6*BI6)/1600000</f>
        <v>0.60414257559999995</v>
      </c>
      <c r="BK6" s="1">
        <v>348.97</v>
      </c>
      <c r="BL6" s="1">
        <v>15.47</v>
      </c>
      <c r="BM6" s="2">
        <f t="shared" ref="BM6:BM7" si="20">(BK6*BL6*BL6)/1600000</f>
        <v>5.2197384045625003E-2</v>
      </c>
    </row>
    <row r="7" spans="1:65" x14ac:dyDescent="0.2">
      <c r="C7" s="1">
        <v>382.91</v>
      </c>
      <c r="D7" s="1">
        <v>14.62</v>
      </c>
      <c r="E7" s="2">
        <f t="shared" si="0"/>
        <v>5.1153042627499999E-2</v>
      </c>
      <c r="H7" s="2"/>
      <c r="I7" s="1">
        <v>301.5</v>
      </c>
      <c r="J7" s="1">
        <v>13.21</v>
      </c>
      <c r="K7" s="2">
        <f t="shared" si="2"/>
        <v>3.2883116343750005E-2</v>
      </c>
      <c r="L7" s="1">
        <v>303.87</v>
      </c>
      <c r="M7" s="1">
        <v>19.940000000000001</v>
      </c>
      <c r="N7" s="2">
        <f t="shared" si="3"/>
        <v>7.5512378707500008E-2</v>
      </c>
      <c r="O7" s="1">
        <v>1055.33</v>
      </c>
      <c r="P7" s="1">
        <v>25.16</v>
      </c>
      <c r="Q7" s="2">
        <f t="shared" si="4"/>
        <v>0.41753181652999993</v>
      </c>
      <c r="R7" s="1">
        <v>800.57</v>
      </c>
      <c r="S7" s="1">
        <v>23.93</v>
      </c>
      <c r="T7" s="2">
        <f t="shared" si="5"/>
        <v>0.28652645474562499</v>
      </c>
      <c r="W7" s="2"/>
      <c r="X7" s="1">
        <v>335.42</v>
      </c>
      <c r="Y7" s="1">
        <v>13.99</v>
      </c>
      <c r="Z7" s="2">
        <f t="shared" si="7"/>
        <v>4.103027246375001E-2</v>
      </c>
      <c r="AA7" s="1">
        <v>396.26</v>
      </c>
      <c r="AB7" s="1">
        <v>15.1</v>
      </c>
      <c r="AC7" s="2">
        <f t="shared" si="8"/>
        <v>5.6469526624999995E-2</v>
      </c>
      <c r="AD7" s="1">
        <v>1009.79</v>
      </c>
      <c r="AE7" s="1">
        <v>27.65</v>
      </c>
      <c r="AF7" s="2">
        <f t="shared" si="9"/>
        <v>0.48250448454687495</v>
      </c>
      <c r="AI7" s="2"/>
      <c r="AL7" s="2"/>
      <c r="AO7" s="2"/>
      <c r="AP7" s="1">
        <v>569.11</v>
      </c>
      <c r="AQ7" s="1">
        <v>26.35</v>
      </c>
      <c r="AR7" s="2">
        <f t="shared" si="13"/>
        <v>0.24696617373437504</v>
      </c>
      <c r="AS7" s="1">
        <v>551.82000000000005</v>
      </c>
      <c r="AT7" s="1">
        <v>23.34</v>
      </c>
      <c r="AU7" s="2">
        <f t="shared" si="14"/>
        <v>0.18787939699500003</v>
      </c>
      <c r="AV7" s="1">
        <v>345.81</v>
      </c>
      <c r="AW7" s="1">
        <v>13.88</v>
      </c>
      <c r="AX7" s="2">
        <f t="shared" si="15"/>
        <v>4.1638636290000003E-2</v>
      </c>
      <c r="AY7" s="1">
        <v>479.95</v>
      </c>
      <c r="AZ7" s="1">
        <v>18.52</v>
      </c>
      <c r="BA7" s="2">
        <f t="shared" si="16"/>
        <v>0.10288640154999999</v>
      </c>
      <c r="BE7" s="1">
        <v>1212.0999999999999</v>
      </c>
      <c r="BF7" s="1">
        <v>36</v>
      </c>
      <c r="BG7" s="2">
        <f t="shared" si="18"/>
        <v>0.98180099999999992</v>
      </c>
      <c r="BJ7" s="2"/>
      <c r="BK7" s="1">
        <v>506.77</v>
      </c>
      <c r="BL7" s="1">
        <v>23.69</v>
      </c>
      <c r="BM7" s="2">
        <f t="shared" si="20"/>
        <v>0.17775467687312502</v>
      </c>
    </row>
    <row r="8" spans="1:65" x14ac:dyDescent="0.2">
      <c r="C8" s="1">
        <v>343.46</v>
      </c>
      <c r="D8" s="1">
        <v>19.690000000000001</v>
      </c>
      <c r="E8" s="2">
        <f t="shared" si="0"/>
        <v>8.3223814066249999E-2</v>
      </c>
      <c r="H8" s="2"/>
      <c r="I8" s="1">
        <v>289.11</v>
      </c>
      <c r="J8" s="1">
        <v>11.89</v>
      </c>
      <c r="K8" s="2">
        <f t="shared" si="2"/>
        <v>2.5545054894375002E-2</v>
      </c>
      <c r="L8" s="1">
        <v>341.1</v>
      </c>
      <c r="M8" s="1">
        <v>25.91</v>
      </c>
      <c r="N8" s="2">
        <f t="shared" si="3"/>
        <v>0.14311875931875001</v>
      </c>
      <c r="O8" s="1">
        <v>672.44</v>
      </c>
      <c r="P8" s="1">
        <v>19.46</v>
      </c>
      <c r="Q8" s="2">
        <f t="shared" si="4"/>
        <v>0.15915461219000002</v>
      </c>
      <c r="R8" s="1">
        <v>377.76</v>
      </c>
      <c r="S8" s="1">
        <v>18.09</v>
      </c>
      <c r="T8" s="2">
        <f t="shared" si="5"/>
        <v>7.7263276409999998E-2</v>
      </c>
      <c r="W8" s="2"/>
      <c r="X8" s="1">
        <v>352.59</v>
      </c>
      <c r="Y8" s="1">
        <v>16.48</v>
      </c>
      <c r="Z8" s="2">
        <f t="shared" si="7"/>
        <v>5.9850036959999998E-2</v>
      </c>
      <c r="AA8" s="1">
        <v>373.46</v>
      </c>
      <c r="AB8" s="1">
        <v>12.59</v>
      </c>
      <c r="AC8" s="2">
        <f t="shared" si="8"/>
        <v>3.6997771891249996E-2</v>
      </c>
      <c r="AD8" s="1">
        <v>354.51</v>
      </c>
      <c r="AE8" s="1">
        <v>14.91</v>
      </c>
      <c r="AF8" s="2">
        <f t="shared" si="9"/>
        <v>4.9256527831875001E-2</v>
      </c>
      <c r="AI8" s="2"/>
      <c r="AL8" s="2"/>
      <c r="AO8" s="2"/>
      <c r="AP8" s="1">
        <v>410.86</v>
      </c>
      <c r="AQ8" s="1">
        <v>22.62</v>
      </c>
      <c r="AR8" s="2">
        <f t="shared" si="13"/>
        <v>0.131389022115</v>
      </c>
      <c r="AS8" s="1">
        <v>385.64</v>
      </c>
      <c r="AT8" s="1">
        <v>14.3</v>
      </c>
      <c r="AU8" s="2">
        <f t="shared" si="14"/>
        <v>4.9287202250000002E-2</v>
      </c>
      <c r="AV8" s="1">
        <v>449.46</v>
      </c>
      <c r="AW8" s="1">
        <v>15.39</v>
      </c>
      <c r="AX8" s="2">
        <f t="shared" si="15"/>
        <v>6.6534715541250011E-2</v>
      </c>
      <c r="AY8" s="1">
        <v>468.98</v>
      </c>
      <c r="AZ8" s="1">
        <v>12.97</v>
      </c>
      <c r="BA8" s="2">
        <f t="shared" si="16"/>
        <v>4.9307648551250007E-2</v>
      </c>
      <c r="BE8" s="1">
        <v>1156.8499999999999</v>
      </c>
      <c r="BF8" s="1">
        <v>31.28</v>
      </c>
      <c r="BG8" s="2">
        <f t="shared" si="18"/>
        <v>0.70744153939999987</v>
      </c>
      <c r="BJ8" s="2"/>
      <c r="BM8" s="2"/>
    </row>
    <row r="9" spans="1:65" x14ac:dyDescent="0.2">
      <c r="E9" s="2"/>
      <c r="H9" s="2"/>
      <c r="K9" s="2"/>
      <c r="L9" s="1">
        <v>351.2</v>
      </c>
      <c r="M9" s="1">
        <v>14.21</v>
      </c>
      <c r="N9" s="2">
        <f t="shared" si="3"/>
        <v>4.4322339950000005E-2</v>
      </c>
      <c r="O9" s="1">
        <v>1160.18</v>
      </c>
      <c r="P9" s="1">
        <v>28.8</v>
      </c>
      <c r="Q9" s="2">
        <f t="shared" si="4"/>
        <v>0.60143731200000006</v>
      </c>
      <c r="T9" s="2"/>
      <c r="W9" s="2"/>
      <c r="Z9" s="2"/>
      <c r="AA9" s="1">
        <v>233.64</v>
      </c>
      <c r="AB9" s="1">
        <v>13.29</v>
      </c>
      <c r="AC9" s="2">
        <f t="shared" si="8"/>
        <v>2.5791534202499997E-2</v>
      </c>
      <c r="AD9" s="1">
        <v>485.89</v>
      </c>
      <c r="AE9" s="1">
        <v>13.97</v>
      </c>
      <c r="AF9" s="2">
        <f t="shared" si="9"/>
        <v>5.9266706063125001E-2</v>
      </c>
      <c r="AI9" s="2"/>
      <c r="AL9" s="2"/>
      <c r="AO9" s="2"/>
      <c r="AR9" s="2"/>
      <c r="AU9" s="2"/>
      <c r="AV9" s="1">
        <v>1070.79</v>
      </c>
      <c r="AW9" s="1">
        <v>34.229999999999997</v>
      </c>
      <c r="AX9" s="2">
        <f t="shared" si="15"/>
        <v>0.7841481502443749</v>
      </c>
      <c r="AY9" s="1">
        <v>752.25</v>
      </c>
      <c r="AZ9" s="1">
        <v>22.63</v>
      </c>
      <c r="BA9" s="2">
        <f t="shared" si="16"/>
        <v>0.24077496126562498</v>
      </c>
      <c r="BE9" s="1">
        <v>1214.72</v>
      </c>
      <c r="BF9" s="1">
        <v>40.61</v>
      </c>
      <c r="BG9" s="2">
        <f t="shared" si="18"/>
        <v>1.25205145832</v>
      </c>
      <c r="BJ9" s="2"/>
      <c r="BM9" s="2"/>
    </row>
    <row r="10" spans="1:65" x14ac:dyDescent="0.2">
      <c r="E10" s="2"/>
      <c r="H10" s="2"/>
      <c r="K10" s="2"/>
      <c r="L10" s="1">
        <v>366.37</v>
      </c>
      <c r="M10" s="1">
        <v>21.58</v>
      </c>
      <c r="N10" s="2">
        <f t="shared" si="3"/>
        <v>0.10663574379249997</v>
      </c>
      <c r="O10" s="1">
        <v>902.3</v>
      </c>
      <c r="P10" s="1">
        <v>23.16</v>
      </c>
      <c r="Q10" s="2">
        <f t="shared" si="4"/>
        <v>0.30248795430000003</v>
      </c>
      <c r="T10" s="2"/>
      <c r="W10" s="2"/>
      <c r="Z10" s="2"/>
      <c r="AA10" s="1">
        <v>246.12</v>
      </c>
      <c r="AB10" s="1">
        <v>9.2200000000000006</v>
      </c>
      <c r="AC10" s="2">
        <f t="shared" si="8"/>
        <v>1.3076417130000002E-2</v>
      </c>
      <c r="AD10" s="1">
        <v>491.36</v>
      </c>
      <c r="AE10" s="1">
        <v>19.57</v>
      </c>
      <c r="AF10" s="2">
        <f t="shared" si="9"/>
        <v>0.11761466279000002</v>
      </c>
      <c r="AI10" s="2"/>
      <c r="AL10" s="2"/>
      <c r="AO10" s="2"/>
      <c r="AR10" s="2"/>
      <c r="AU10" s="2"/>
      <c r="AV10" s="1">
        <v>284.31</v>
      </c>
      <c r="AW10" s="1">
        <v>11.55</v>
      </c>
      <c r="AX10" s="2">
        <f t="shared" si="15"/>
        <v>2.3704790484375002E-2</v>
      </c>
      <c r="AY10" s="1">
        <v>531.23</v>
      </c>
      <c r="AZ10" s="1">
        <v>14.66</v>
      </c>
      <c r="BA10" s="2">
        <f t="shared" si="16"/>
        <v>7.1356008867500001E-2</v>
      </c>
      <c r="BG10" s="2"/>
      <c r="BJ10" s="2"/>
      <c r="BM10" s="2"/>
    </row>
    <row r="11" spans="1:65" x14ac:dyDescent="0.2">
      <c r="E11" s="2"/>
      <c r="H11" s="2"/>
      <c r="K11" s="2"/>
      <c r="L11" s="1">
        <v>395.69</v>
      </c>
      <c r="M11" s="1">
        <v>24.44</v>
      </c>
      <c r="N11" s="2">
        <f t="shared" si="3"/>
        <v>0.14771938648999999</v>
      </c>
      <c r="O11" s="1">
        <v>1353.28</v>
      </c>
      <c r="P11" s="1">
        <v>16.09</v>
      </c>
      <c r="Q11" s="2">
        <f t="shared" si="4"/>
        <v>0.21896755497999998</v>
      </c>
      <c r="T11" s="2"/>
      <c r="W11" s="2"/>
      <c r="Z11" s="2"/>
      <c r="AA11" s="1">
        <v>386.2</v>
      </c>
      <c r="AB11" s="1">
        <v>14.91</v>
      </c>
      <c r="AC11" s="2">
        <f t="shared" si="8"/>
        <v>5.3659617637500004E-2</v>
      </c>
      <c r="AD11" s="1">
        <v>905.21</v>
      </c>
      <c r="AE11" s="1">
        <v>18.649999999999999</v>
      </c>
      <c r="AF11" s="2">
        <f t="shared" si="9"/>
        <v>0.19678275326562497</v>
      </c>
      <c r="AI11" s="2"/>
      <c r="AL11" s="2"/>
      <c r="AO11" s="2"/>
      <c r="AR11" s="2"/>
      <c r="AU11" s="2"/>
      <c r="AV11" s="1">
        <v>423.37</v>
      </c>
      <c r="AW11" s="1">
        <v>14.57</v>
      </c>
      <c r="AX11" s="2">
        <f t="shared" si="15"/>
        <v>5.6171911320625004E-2</v>
      </c>
      <c r="AY11" s="1">
        <v>410.63</v>
      </c>
      <c r="AZ11" s="1">
        <v>14.32</v>
      </c>
      <c r="BA11" s="2">
        <f t="shared" si="16"/>
        <v>5.2627983320000002E-2</v>
      </c>
      <c r="BG11" s="2"/>
      <c r="BJ11" s="2"/>
      <c r="BM11" s="2"/>
    </row>
    <row r="12" spans="1:65" x14ac:dyDescent="0.2">
      <c r="E12" s="2"/>
      <c r="H12" s="2"/>
      <c r="K12" s="2"/>
      <c r="L12" s="1">
        <v>412.94</v>
      </c>
      <c r="M12" s="1">
        <v>18.23</v>
      </c>
      <c r="N12" s="2">
        <f t="shared" si="3"/>
        <v>8.5770967328750017E-2</v>
      </c>
      <c r="Q12" s="2"/>
      <c r="T12" s="2"/>
      <c r="W12" s="2"/>
      <c r="Z12" s="2"/>
      <c r="AC12" s="2"/>
      <c r="AD12" s="1">
        <v>854.61</v>
      </c>
      <c r="AE12" s="1">
        <v>31.07</v>
      </c>
      <c r="AF12" s="2">
        <f t="shared" si="9"/>
        <v>0.51562087811812507</v>
      </c>
      <c r="AI12" s="2"/>
      <c r="AL12" s="2"/>
      <c r="AO12" s="2"/>
      <c r="AR12" s="2"/>
      <c r="AU12" s="2"/>
      <c r="AV12" s="1">
        <v>510.42</v>
      </c>
      <c r="AW12" s="1">
        <v>15.12</v>
      </c>
      <c r="AX12" s="2">
        <f t="shared" si="15"/>
        <v>7.293085128E-2</v>
      </c>
      <c r="AY12" s="1">
        <v>554.03</v>
      </c>
      <c r="AZ12" s="1">
        <v>15.93</v>
      </c>
      <c r="BA12" s="2">
        <f t="shared" si="16"/>
        <v>8.7870854716874988E-2</v>
      </c>
      <c r="BG12" s="2"/>
      <c r="BJ12" s="2"/>
      <c r="BM12" s="2"/>
    </row>
    <row r="13" spans="1:65" x14ac:dyDescent="0.2">
      <c r="E13" s="2"/>
      <c r="H13" s="2"/>
      <c r="K13" s="2"/>
      <c r="L13" s="1">
        <v>342.86</v>
      </c>
      <c r="M13" s="1">
        <v>28.95</v>
      </c>
      <c r="N13" s="2">
        <f t="shared" si="3"/>
        <v>0.17959488946875002</v>
      </c>
      <c r="Q13" s="2"/>
      <c r="T13" s="2"/>
      <c r="W13" s="2"/>
      <c r="Z13" s="2"/>
      <c r="AC13" s="2"/>
      <c r="AF13" s="2"/>
      <c r="AI13" s="2"/>
      <c r="AL13" s="2"/>
      <c r="AO13" s="2"/>
      <c r="AR13" s="2"/>
      <c r="AU13" s="2"/>
      <c r="AV13" s="1">
        <v>336.77</v>
      </c>
      <c r="AW13" s="1">
        <v>12.29</v>
      </c>
      <c r="AX13" s="2">
        <f t="shared" si="15"/>
        <v>3.179195097312499E-2</v>
      </c>
      <c r="AY13" s="1">
        <v>630.11</v>
      </c>
      <c r="AZ13" s="1">
        <v>14.51</v>
      </c>
      <c r="BA13" s="2">
        <f t="shared" si="16"/>
        <v>8.2914639006874999E-2</v>
      </c>
      <c r="BG13" s="2"/>
      <c r="BJ13" s="2"/>
      <c r="BM13" s="2"/>
    </row>
    <row r="14" spans="1:65" x14ac:dyDescent="0.2">
      <c r="E14" s="2"/>
      <c r="H14" s="2"/>
      <c r="K14" s="2"/>
      <c r="N14" s="2"/>
      <c r="Q14" s="2"/>
      <c r="T14" s="2"/>
      <c r="W14" s="2"/>
      <c r="Z14" s="2"/>
      <c r="AC14" s="2"/>
      <c r="AF14" s="2"/>
      <c r="AI14" s="2"/>
      <c r="AL14" s="2"/>
      <c r="AO14" s="2"/>
      <c r="AR14" s="2"/>
      <c r="AU14" s="2"/>
      <c r="AV14" s="1">
        <v>408.65</v>
      </c>
      <c r="AW14" s="1">
        <v>14.73</v>
      </c>
      <c r="AX14" s="2">
        <f t="shared" si="15"/>
        <v>5.5416234740625007E-2</v>
      </c>
      <c r="AY14" s="1">
        <v>513.47</v>
      </c>
      <c r="AZ14" s="1">
        <v>15.86</v>
      </c>
      <c r="BA14" s="2">
        <f t="shared" si="16"/>
        <v>8.0723774007499999E-2</v>
      </c>
      <c r="BG14" s="2"/>
      <c r="BJ14" s="2"/>
      <c r="BM14" s="2"/>
    </row>
    <row r="15" spans="1:65" x14ac:dyDescent="0.2">
      <c r="E15" s="2"/>
      <c r="H15" s="2"/>
      <c r="K15" s="2"/>
      <c r="N15" s="2"/>
      <c r="Q15" s="2"/>
      <c r="T15" s="2"/>
      <c r="W15" s="2"/>
      <c r="Z15" s="2"/>
      <c r="AC15" s="2"/>
      <c r="AF15" s="2"/>
      <c r="AI15" s="2"/>
      <c r="AL15" s="2"/>
      <c r="AO15" s="2"/>
      <c r="AR15" s="2"/>
      <c r="AU15" s="2"/>
      <c r="AX15" s="2"/>
      <c r="AY15" s="1">
        <v>454.22</v>
      </c>
      <c r="AZ15" s="1">
        <v>14.44</v>
      </c>
      <c r="BA15" s="2">
        <f t="shared" si="16"/>
        <v>5.9194404620000002E-2</v>
      </c>
      <c r="BG15" s="2"/>
      <c r="BJ15" s="2"/>
      <c r="BM15" s="2"/>
    </row>
    <row r="16" spans="1:65" x14ac:dyDescent="0.2">
      <c r="E16" s="2"/>
      <c r="H16" s="2"/>
      <c r="K16" s="2"/>
      <c r="N16" s="2"/>
      <c r="Q16" s="2"/>
      <c r="T16" s="2"/>
      <c r="W16" s="2"/>
      <c r="Z16" s="2"/>
      <c r="AC16" s="2"/>
      <c r="AF16" s="2"/>
      <c r="AI16" s="2"/>
      <c r="AL16" s="2"/>
      <c r="AO16" s="2"/>
      <c r="AR16" s="2"/>
      <c r="AU16" s="2"/>
      <c r="AX16" s="2"/>
      <c r="AY16" s="1">
        <v>554.19000000000005</v>
      </c>
      <c r="AZ16" s="1">
        <v>14.94</v>
      </c>
      <c r="BA16" s="2">
        <f t="shared" si="16"/>
        <v>7.7310751927500004E-2</v>
      </c>
      <c r="BG16" s="2"/>
      <c r="BJ16" s="2"/>
      <c r="BM16" s="2"/>
    </row>
    <row r="17" spans="5:65" x14ac:dyDescent="0.2">
      <c r="E17" s="2"/>
      <c r="H17" s="2"/>
      <c r="K17" s="2"/>
      <c r="N17" s="2"/>
      <c r="Q17" s="2"/>
      <c r="T17" s="2"/>
      <c r="W17" s="2"/>
      <c r="Z17" s="2"/>
      <c r="AC17" s="2"/>
      <c r="AF17" s="2"/>
      <c r="AI17" s="2"/>
      <c r="AL17" s="2"/>
      <c r="AO17" s="2"/>
      <c r="AR17" s="2"/>
      <c r="AU17" s="2"/>
      <c r="AX17" s="2"/>
      <c r="BA17" s="2"/>
      <c r="BG17" s="2"/>
      <c r="BJ17" s="2"/>
      <c r="BM17" s="2"/>
    </row>
    <row r="18" spans="5:65" x14ac:dyDescent="0.2">
      <c r="E18" s="2"/>
      <c r="H18" s="2"/>
      <c r="K18" s="2"/>
      <c r="N18" s="2"/>
      <c r="Q18" s="2"/>
      <c r="T18" s="2"/>
      <c r="W18" s="2"/>
      <c r="Z18" s="2"/>
      <c r="AC18" s="2"/>
      <c r="AF18" s="2"/>
      <c r="AI18" s="2"/>
      <c r="AL18" s="2"/>
      <c r="AO18" s="2"/>
      <c r="AR18" s="2"/>
      <c r="AU18" s="2"/>
      <c r="AX18" s="2"/>
      <c r="BA18" s="2"/>
      <c r="BG18" s="2"/>
      <c r="BJ18" s="2"/>
      <c r="BM18" s="2"/>
    </row>
    <row r="19" spans="5:65" x14ac:dyDescent="0.2">
      <c r="E19" s="2"/>
      <c r="H19" s="2"/>
      <c r="K19" s="2"/>
      <c r="N19" s="2"/>
      <c r="Q19" s="2"/>
      <c r="T19" s="2"/>
      <c r="W19" s="2"/>
      <c r="Z19" s="2"/>
      <c r="AC19" s="2"/>
      <c r="AF19" s="2"/>
      <c r="AI19" s="2"/>
      <c r="AL19" s="2"/>
      <c r="AO19" s="2"/>
      <c r="AR19" s="2"/>
      <c r="AU19" s="2"/>
      <c r="AX19" s="2"/>
      <c r="BA19" s="2"/>
      <c r="BG19" s="2"/>
      <c r="BJ19" s="2"/>
      <c r="BM19" s="2"/>
    </row>
    <row r="20" spans="5:65" x14ac:dyDescent="0.2">
      <c r="E20" s="2"/>
      <c r="H20" s="2"/>
      <c r="K20" s="2"/>
      <c r="N20" s="2"/>
      <c r="Q20" s="2"/>
      <c r="T20" s="2"/>
      <c r="W20" s="2"/>
      <c r="Z20" s="2"/>
      <c r="AC20" s="2"/>
      <c r="AF20" s="2"/>
      <c r="AI20" s="2"/>
      <c r="AL20" s="2"/>
      <c r="AO20" s="2"/>
      <c r="AR20" s="2"/>
      <c r="AU20" s="2"/>
      <c r="AX20" s="2"/>
      <c r="BA20" s="2"/>
      <c r="BG20" s="2"/>
      <c r="BJ20" s="2"/>
      <c r="BM20" s="2"/>
    </row>
    <row r="21" spans="5:65" x14ac:dyDescent="0.2">
      <c r="E21" s="2"/>
      <c r="H21" s="2"/>
      <c r="K21" s="2"/>
      <c r="N21" s="2"/>
      <c r="Q21" s="2"/>
      <c r="T21" s="2"/>
      <c r="W21" s="2"/>
      <c r="Z21" s="2"/>
      <c r="AC21" s="2"/>
      <c r="AF21" s="2"/>
      <c r="AI21" s="2"/>
      <c r="AL21" s="2"/>
      <c r="AO21" s="2"/>
      <c r="AR21" s="2"/>
      <c r="AU21" s="2"/>
      <c r="AX21" s="2"/>
      <c r="BA21" s="2"/>
      <c r="BG21" s="2"/>
      <c r="BJ21" s="2"/>
      <c r="BM21" s="2"/>
    </row>
    <row r="22" spans="5:65" x14ac:dyDescent="0.2">
      <c r="E22" s="2"/>
      <c r="H22" s="2"/>
      <c r="K22" s="2"/>
      <c r="N22" s="2"/>
      <c r="Q22" s="2"/>
      <c r="T22" s="2"/>
      <c r="W22" s="2"/>
      <c r="Z22" s="2"/>
      <c r="AC22" s="2"/>
      <c r="AF22" s="2"/>
      <c r="AI22" s="2"/>
      <c r="AL22" s="2"/>
      <c r="AO22" s="2"/>
      <c r="AR22" s="2"/>
      <c r="AU22" s="2"/>
      <c r="AX22" s="2"/>
      <c r="BA22" s="2"/>
      <c r="BG22" s="2"/>
      <c r="BJ22" s="2"/>
      <c r="BM22" s="2"/>
    </row>
    <row r="23" spans="5:65" x14ac:dyDescent="0.2">
      <c r="E23" s="2"/>
      <c r="H23" s="2"/>
      <c r="K23" s="2"/>
      <c r="N23" s="2"/>
      <c r="Q23" s="2"/>
      <c r="T23" s="2"/>
      <c r="W23" s="2"/>
      <c r="Z23" s="2"/>
      <c r="AC23" s="2"/>
      <c r="AF23" s="2"/>
      <c r="AI23" s="2"/>
      <c r="AL23" s="2"/>
      <c r="AO23" s="2"/>
      <c r="AR23" s="2"/>
      <c r="AU23" s="2"/>
      <c r="AX23" s="2"/>
      <c r="BA23" s="2"/>
      <c r="BG23" s="2"/>
      <c r="BJ23" s="2"/>
      <c r="BM23" s="2"/>
    </row>
    <row r="24" spans="5:65" x14ac:dyDescent="0.2">
      <c r="E24" s="2"/>
      <c r="H24" s="2"/>
      <c r="K24" s="2"/>
      <c r="N24" s="2"/>
      <c r="Q24" s="2"/>
      <c r="T24" s="2"/>
      <c r="W24" s="2"/>
      <c r="Z24" s="2"/>
      <c r="AC24" s="2"/>
      <c r="AF24" s="2"/>
      <c r="AI24" s="2"/>
      <c r="AL24" s="2"/>
      <c r="AO24" s="2"/>
      <c r="AR24" s="2"/>
      <c r="AU24" s="2"/>
      <c r="AX24" s="2"/>
      <c r="BA24" s="2"/>
      <c r="BG24" s="2"/>
      <c r="BJ24" s="2"/>
      <c r="BM24" s="2"/>
    </row>
    <row r="25" spans="5:65" x14ac:dyDescent="0.2">
      <c r="E25" s="2"/>
      <c r="H25" s="2"/>
      <c r="K25" s="2"/>
      <c r="N25" s="2"/>
      <c r="Q25" s="2"/>
      <c r="T25" s="2"/>
      <c r="W25" s="2"/>
      <c r="Z25" s="2"/>
      <c r="AC25" s="2"/>
      <c r="AF25" s="2"/>
      <c r="AI25" s="2"/>
      <c r="AL25" s="2"/>
      <c r="AO25" s="2"/>
      <c r="AR25" s="2"/>
      <c r="AU25" s="2"/>
      <c r="AX25" s="2"/>
      <c r="BA25" s="2"/>
      <c r="BG25" s="2"/>
      <c r="BJ25" s="2"/>
      <c r="BM25" s="2"/>
    </row>
    <row r="26" spans="5:65" x14ac:dyDescent="0.2">
      <c r="E26" s="2"/>
      <c r="H26" s="2"/>
      <c r="K26" s="2"/>
      <c r="N26" s="2"/>
      <c r="Q26" s="2"/>
      <c r="T26" s="2"/>
      <c r="W26" s="2"/>
      <c r="Z26" s="2"/>
      <c r="AC26" s="2"/>
      <c r="AF26" s="2"/>
      <c r="AI26" s="2"/>
      <c r="AL26" s="2"/>
      <c r="AO26" s="2"/>
      <c r="AR26" s="2"/>
      <c r="AU26" s="2"/>
      <c r="AX26" s="2"/>
      <c r="BA26" s="2"/>
      <c r="BG26" s="2"/>
      <c r="BJ26" s="2"/>
      <c r="BM26" s="2"/>
    </row>
    <row r="27" spans="5:65" x14ac:dyDescent="0.2">
      <c r="E27" s="2"/>
      <c r="H27" s="2"/>
      <c r="K27" s="2"/>
      <c r="N27" s="2"/>
      <c r="Q27" s="2"/>
      <c r="T27" s="2"/>
      <c r="W27" s="2"/>
      <c r="Z27" s="2"/>
      <c r="AC27" s="2"/>
      <c r="AF27" s="2"/>
      <c r="AI27" s="2"/>
      <c r="AL27" s="2"/>
      <c r="AO27" s="2"/>
      <c r="AR27" s="2"/>
      <c r="AU27" s="2"/>
      <c r="AX27" s="2"/>
      <c r="BA27" s="2"/>
      <c r="BG27" s="2"/>
      <c r="BJ27" s="2"/>
      <c r="BM27" s="2"/>
    </row>
    <row r="28" spans="5:65" x14ac:dyDescent="0.2">
      <c r="E28" s="2"/>
      <c r="H28" s="2"/>
      <c r="K28" s="2"/>
      <c r="N28" s="2"/>
      <c r="Q28" s="2"/>
      <c r="T28" s="2"/>
      <c r="W28" s="2"/>
      <c r="Z28" s="2"/>
      <c r="AC28" s="2"/>
      <c r="AF28" s="2"/>
      <c r="AI28" s="2"/>
      <c r="AL28" s="2"/>
      <c r="AO28" s="2"/>
      <c r="AR28" s="2"/>
      <c r="AU28" s="2"/>
      <c r="AX28" s="2"/>
      <c r="BA28" s="2"/>
      <c r="BG28" s="2"/>
      <c r="BJ28" s="2"/>
      <c r="BM28" s="2"/>
    </row>
    <row r="29" spans="5:65" x14ac:dyDescent="0.2">
      <c r="E29" s="2"/>
      <c r="H29" s="2"/>
      <c r="K29" s="2"/>
      <c r="N29" s="2"/>
      <c r="Q29" s="2"/>
      <c r="T29" s="2"/>
      <c r="W29" s="2"/>
      <c r="Z29" s="2"/>
      <c r="AC29" s="2"/>
      <c r="AF29" s="2"/>
      <c r="AI29" s="2"/>
      <c r="AL29" s="2"/>
      <c r="AO29" s="2"/>
      <c r="AR29" s="2"/>
      <c r="AU29" s="2"/>
      <c r="AX29" s="2"/>
      <c r="BA29" s="2"/>
      <c r="BG29" s="2"/>
      <c r="BJ29" s="2"/>
      <c r="BM29" s="2"/>
    </row>
    <row r="30" spans="5:65" x14ac:dyDescent="0.2">
      <c r="E30" s="2"/>
      <c r="H30" s="2"/>
      <c r="K30" s="2"/>
      <c r="N30" s="2"/>
      <c r="Q30" s="2"/>
      <c r="T30" s="2"/>
      <c r="W30" s="2"/>
      <c r="Z30" s="2"/>
      <c r="AC30" s="2"/>
      <c r="AF30" s="2"/>
      <c r="AI30" s="2"/>
      <c r="AL30" s="2"/>
      <c r="AO30" s="2"/>
      <c r="AR30" s="2"/>
      <c r="AU30" s="2"/>
      <c r="AX30" s="2"/>
      <c r="BA30" s="2"/>
      <c r="BG30" s="2"/>
      <c r="BJ30" s="2"/>
      <c r="BM30" s="2"/>
    </row>
    <row r="31" spans="5:65" x14ac:dyDescent="0.2">
      <c r="E31" s="2"/>
      <c r="H31" s="2"/>
      <c r="K31" s="2"/>
      <c r="N31" s="2"/>
      <c r="Q31" s="2"/>
      <c r="T31" s="2"/>
      <c r="W31" s="2"/>
      <c r="Z31" s="2"/>
      <c r="AC31" s="2"/>
      <c r="AF31" s="2"/>
      <c r="AI31" s="2"/>
      <c r="AL31" s="2"/>
      <c r="AO31" s="2"/>
      <c r="AR31" s="2"/>
      <c r="AU31" s="2"/>
      <c r="AX31" s="2"/>
      <c r="BA31" s="2"/>
      <c r="BG31" s="2"/>
      <c r="BJ31" s="2"/>
      <c r="BM31" s="2"/>
    </row>
    <row r="32" spans="5:65" x14ac:dyDescent="0.2">
      <c r="E32" s="2"/>
      <c r="H32" s="2"/>
      <c r="K32" s="2"/>
      <c r="N32" s="2"/>
      <c r="Q32" s="2"/>
      <c r="T32" s="2"/>
      <c r="W32" s="2"/>
      <c r="Z32" s="2"/>
      <c r="AC32" s="2"/>
      <c r="AF32" s="2"/>
      <c r="AI32" s="2"/>
      <c r="AL32" s="2"/>
      <c r="AO32" s="2"/>
      <c r="AR32" s="2"/>
      <c r="AU32" s="2"/>
      <c r="AX32" s="2"/>
      <c r="BA32" s="2"/>
      <c r="BG32" s="2"/>
      <c r="BJ32" s="2"/>
      <c r="BM32" s="2"/>
    </row>
    <row r="33" spans="5:65" x14ac:dyDescent="0.2">
      <c r="E33" s="2"/>
      <c r="H33" s="2"/>
      <c r="K33" s="2"/>
      <c r="N33" s="2"/>
      <c r="Q33" s="2"/>
      <c r="T33" s="2"/>
      <c r="W33" s="2"/>
      <c r="Z33" s="2"/>
      <c r="AC33" s="2"/>
      <c r="AF33" s="2"/>
      <c r="AI33" s="2"/>
      <c r="AL33" s="2"/>
      <c r="AO33" s="2"/>
      <c r="AR33" s="2"/>
      <c r="AU33" s="2"/>
      <c r="AX33" s="2"/>
      <c r="BA33" s="2"/>
      <c r="BG33" s="2"/>
      <c r="BJ33" s="2"/>
      <c r="BM33" s="2"/>
    </row>
    <row r="34" spans="5:65" x14ac:dyDescent="0.2">
      <c r="E34" s="2"/>
      <c r="H34" s="2"/>
      <c r="K34" s="2"/>
      <c r="N34" s="2"/>
      <c r="Q34" s="2"/>
      <c r="T34" s="2"/>
      <c r="W34" s="2"/>
      <c r="Z34" s="2"/>
      <c r="AC34" s="2"/>
      <c r="AF34" s="2"/>
      <c r="AI34" s="2"/>
      <c r="AL34" s="2"/>
      <c r="AO34" s="2"/>
      <c r="AR34" s="2"/>
      <c r="AU34" s="2"/>
      <c r="AX34" s="2"/>
      <c r="BA34" s="2"/>
      <c r="BG34" s="2"/>
      <c r="BJ34" s="2"/>
      <c r="BM34" s="2"/>
    </row>
    <row r="35" spans="5:65" x14ac:dyDescent="0.2">
      <c r="E35" s="2"/>
      <c r="H35" s="2"/>
      <c r="K35" s="2"/>
      <c r="N35" s="2"/>
      <c r="Q35" s="2"/>
      <c r="T35" s="2"/>
      <c r="W35" s="2"/>
      <c r="Z35" s="2"/>
      <c r="AC35" s="2"/>
      <c r="AF35" s="2"/>
      <c r="AI35" s="2"/>
      <c r="AL35" s="2"/>
      <c r="AO35" s="2"/>
      <c r="AR35" s="2"/>
      <c r="AU35" s="2"/>
      <c r="AX35" s="2"/>
      <c r="BA35" s="2"/>
      <c r="BG35" s="2"/>
      <c r="BJ35" s="2"/>
      <c r="BM35" s="2"/>
    </row>
    <row r="36" spans="5:65" x14ac:dyDescent="0.2">
      <c r="E36" s="2"/>
      <c r="H36" s="2"/>
      <c r="K36" s="2"/>
      <c r="N36" s="2"/>
      <c r="Q36" s="2"/>
      <c r="T36" s="2"/>
      <c r="W36" s="2"/>
      <c r="Z36" s="2"/>
      <c r="AC36" s="2"/>
      <c r="AF36" s="2"/>
      <c r="AI36" s="2"/>
      <c r="AL36" s="2"/>
      <c r="AO36" s="2"/>
      <c r="AR36" s="2"/>
      <c r="AU36" s="2"/>
      <c r="AX36" s="2"/>
      <c r="BA36" s="2"/>
      <c r="BG36" s="2"/>
      <c r="BJ36" s="2"/>
      <c r="BM36" s="2"/>
    </row>
    <row r="37" spans="5:65" x14ac:dyDescent="0.2">
      <c r="E37" s="2"/>
      <c r="H37" s="2"/>
      <c r="K37" s="2"/>
      <c r="N37" s="2"/>
      <c r="Q37" s="2"/>
      <c r="T37" s="2"/>
      <c r="W37" s="2"/>
      <c r="Z37" s="2"/>
      <c r="AC37" s="2"/>
      <c r="AF37" s="2"/>
      <c r="AI37" s="2"/>
      <c r="AL37" s="2"/>
      <c r="AO37" s="2"/>
      <c r="AR37" s="2"/>
      <c r="AU37" s="2"/>
      <c r="AX37" s="2"/>
      <c r="BA37" s="2"/>
      <c r="BG37" s="2"/>
      <c r="BJ37" s="2"/>
      <c r="BM37" s="2"/>
    </row>
    <row r="38" spans="5:65" x14ac:dyDescent="0.2">
      <c r="E38" s="2"/>
      <c r="H38" s="2"/>
      <c r="K38" s="2"/>
      <c r="N38" s="2"/>
      <c r="Q38" s="2"/>
      <c r="T38" s="2"/>
      <c r="W38" s="2"/>
      <c r="Z38" s="2"/>
      <c r="AC38" s="2"/>
      <c r="AF38" s="2"/>
      <c r="AI38" s="2"/>
      <c r="AL38" s="2"/>
      <c r="AO38" s="2"/>
      <c r="AR38" s="2"/>
      <c r="AU38" s="2"/>
      <c r="AX38" s="2"/>
      <c r="BA38" s="2"/>
      <c r="BG38" s="2"/>
      <c r="BJ38" s="2"/>
      <c r="BM38" s="2"/>
    </row>
    <row r="39" spans="5:65" x14ac:dyDescent="0.2">
      <c r="E39" s="2"/>
      <c r="H39" s="2"/>
      <c r="K39" s="2"/>
      <c r="N39" s="2"/>
      <c r="Q39" s="2"/>
      <c r="T39" s="2"/>
      <c r="W39" s="2"/>
      <c r="Z39" s="2"/>
      <c r="AC39" s="2"/>
      <c r="AF39" s="2"/>
      <c r="AI39" s="2"/>
      <c r="AL39" s="2"/>
      <c r="AO39" s="2"/>
      <c r="AR39" s="2"/>
      <c r="AU39" s="2"/>
      <c r="AX39" s="2"/>
      <c r="BA39" s="2"/>
      <c r="BG39" s="2"/>
      <c r="BJ39" s="2"/>
      <c r="BM39" s="2"/>
    </row>
    <row r="40" spans="5:65" x14ac:dyDescent="0.2">
      <c r="E40" s="2"/>
      <c r="H40" s="2"/>
      <c r="K40" s="2"/>
      <c r="N40" s="2"/>
      <c r="Q40" s="2"/>
      <c r="T40" s="2"/>
      <c r="W40" s="2"/>
      <c r="Z40" s="2"/>
      <c r="AC40" s="2"/>
      <c r="AF40" s="2"/>
      <c r="AI40" s="2"/>
      <c r="AL40" s="2"/>
      <c r="AO40" s="2"/>
      <c r="AR40" s="2"/>
      <c r="AU40" s="2"/>
      <c r="AX40" s="2"/>
      <c r="BA40" s="2"/>
      <c r="BG40" s="2"/>
      <c r="BJ40" s="2"/>
      <c r="BM40" s="2"/>
    </row>
    <row r="41" spans="5:65" x14ac:dyDescent="0.2">
      <c r="E41" s="2"/>
      <c r="H41" s="2"/>
      <c r="K41" s="2"/>
      <c r="N41" s="2"/>
      <c r="Q41" s="2"/>
      <c r="T41" s="2"/>
      <c r="W41" s="2"/>
      <c r="Z41" s="2"/>
      <c r="AC41" s="2"/>
      <c r="AF41" s="2"/>
      <c r="AI41" s="2"/>
      <c r="AL41" s="2"/>
      <c r="AO41" s="2"/>
      <c r="AR41" s="2"/>
      <c r="AU41" s="2"/>
      <c r="AX41" s="2"/>
      <c r="BA41" s="2"/>
      <c r="BG41" s="2"/>
      <c r="BJ41" s="2"/>
      <c r="BM41" s="2"/>
    </row>
    <row r="42" spans="5:65" x14ac:dyDescent="0.2">
      <c r="E42" s="2"/>
      <c r="H42" s="2"/>
      <c r="K42" s="2"/>
      <c r="N42" s="2"/>
      <c r="Q42" s="2"/>
      <c r="T42" s="2"/>
      <c r="W42" s="2"/>
      <c r="Z42" s="2"/>
      <c r="AC42" s="2"/>
      <c r="AF42" s="2"/>
      <c r="AI42" s="2"/>
      <c r="AL42" s="2"/>
      <c r="AO42" s="2"/>
      <c r="AR42" s="2"/>
      <c r="AU42" s="2"/>
      <c r="AX42" s="2"/>
      <c r="BA42" s="2"/>
      <c r="BG42" s="2"/>
      <c r="BJ42" s="2"/>
      <c r="BM42" s="2"/>
    </row>
    <row r="43" spans="5:65" x14ac:dyDescent="0.2">
      <c r="E43" s="2"/>
      <c r="H43" s="2"/>
      <c r="K43" s="2"/>
      <c r="N43" s="2"/>
      <c r="Q43" s="2"/>
      <c r="T43" s="2"/>
      <c r="W43" s="2"/>
      <c r="Z43" s="2"/>
      <c r="AC43" s="2"/>
      <c r="AF43" s="2"/>
      <c r="AI43" s="2"/>
      <c r="AL43" s="2"/>
      <c r="AO43" s="2"/>
      <c r="AR43" s="2"/>
      <c r="AU43" s="2"/>
      <c r="AX43" s="2"/>
      <c r="BA43" s="2"/>
      <c r="BG43" s="2"/>
      <c r="BJ43" s="2"/>
      <c r="BM43" s="2"/>
    </row>
    <row r="44" spans="5:65" x14ac:dyDescent="0.2">
      <c r="E44" s="2"/>
      <c r="H44" s="2"/>
      <c r="K44" s="2"/>
      <c r="N44" s="2"/>
      <c r="Q44" s="2"/>
      <c r="T44" s="2"/>
      <c r="W44" s="2"/>
      <c r="Z44" s="2"/>
      <c r="AC44" s="2"/>
      <c r="AF44" s="2"/>
      <c r="AI44" s="2"/>
      <c r="AL44" s="2"/>
      <c r="AO44" s="2"/>
      <c r="AR44" s="2"/>
      <c r="AU44" s="2"/>
      <c r="AX44" s="2"/>
      <c r="BA44" s="2"/>
      <c r="BG44" s="2"/>
      <c r="BJ44" s="2"/>
      <c r="BM44" s="2"/>
    </row>
    <row r="45" spans="5:65" x14ac:dyDescent="0.2">
      <c r="E45" s="2"/>
      <c r="H45" s="2"/>
      <c r="K45" s="2"/>
      <c r="N45" s="2"/>
      <c r="Q45" s="2"/>
      <c r="T45" s="2"/>
      <c r="W45" s="2"/>
      <c r="Z45" s="2"/>
      <c r="AC45" s="2"/>
      <c r="AF45" s="2"/>
      <c r="AI45" s="2"/>
      <c r="AL45" s="2"/>
      <c r="AO45" s="2"/>
      <c r="AR45" s="2"/>
      <c r="AU45" s="2"/>
      <c r="AX45" s="2"/>
      <c r="BA45" s="2"/>
      <c r="BG45" s="2"/>
      <c r="BJ45" s="2"/>
      <c r="BM45" s="2"/>
    </row>
    <row r="46" spans="5:65" x14ac:dyDescent="0.2">
      <c r="E46" s="2"/>
      <c r="H46" s="2"/>
      <c r="K46" s="2"/>
      <c r="N46" s="2"/>
      <c r="Q46" s="2"/>
      <c r="T46" s="2"/>
      <c r="W46" s="2"/>
      <c r="Z46" s="2"/>
      <c r="AC46" s="2"/>
      <c r="AF46" s="2"/>
      <c r="AI46" s="2"/>
      <c r="AL46" s="2"/>
      <c r="AO46" s="2"/>
      <c r="AR46" s="2"/>
      <c r="AU46" s="2"/>
      <c r="AX46" s="2"/>
      <c r="BA46" s="2"/>
      <c r="BG46" s="2"/>
      <c r="BJ46" s="2"/>
      <c r="BM46" s="2"/>
    </row>
    <row r="47" spans="5:65" x14ac:dyDescent="0.2">
      <c r="E47" s="2"/>
      <c r="H47" s="2"/>
      <c r="K47" s="2"/>
      <c r="N47" s="2"/>
      <c r="Q47" s="2"/>
      <c r="T47" s="2"/>
      <c r="W47" s="2"/>
      <c r="Z47" s="2"/>
      <c r="AC47" s="2"/>
      <c r="AF47" s="2"/>
      <c r="AI47" s="2"/>
      <c r="AL47" s="2"/>
      <c r="AO47" s="2"/>
      <c r="AR47" s="2"/>
      <c r="AU47" s="2"/>
      <c r="AX47" s="2"/>
      <c r="BA47" s="2"/>
      <c r="BG47" s="2"/>
      <c r="BJ47" s="2"/>
      <c r="BM47" s="2"/>
    </row>
    <row r="48" spans="5:65" x14ac:dyDescent="0.2">
      <c r="E48" s="2"/>
      <c r="H48" s="2"/>
      <c r="K48" s="2"/>
      <c r="N48" s="2"/>
      <c r="Q48" s="2"/>
      <c r="T48" s="2"/>
      <c r="W48" s="2"/>
      <c r="Z48" s="2"/>
      <c r="AC48" s="2"/>
      <c r="AF48" s="2"/>
      <c r="AI48" s="2"/>
      <c r="AL48" s="2"/>
      <c r="AO48" s="2"/>
      <c r="AR48" s="2"/>
      <c r="AU48" s="2"/>
      <c r="AX48" s="2"/>
      <c r="BA48" s="2"/>
      <c r="BG48" s="2"/>
      <c r="BJ48" s="2"/>
      <c r="BM48" s="2"/>
    </row>
    <row r="49" spans="5:65" x14ac:dyDescent="0.2">
      <c r="E49" s="2"/>
      <c r="H49" s="2"/>
      <c r="K49" s="2"/>
      <c r="N49" s="2"/>
      <c r="Q49" s="2"/>
      <c r="T49" s="2"/>
      <c r="W49" s="2"/>
      <c r="Z49" s="2"/>
      <c r="AC49" s="2"/>
      <c r="AF49" s="2"/>
      <c r="AI49" s="2"/>
      <c r="AL49" s="2"/>
      <c r="AO49" s="2"/>
      <c r="AR49" s="2"/>
      <c r="AU49" s="2"/>
      <c r="AX49" s="2"/>
      <c r="BA49" s="2"/>
      <c r="BG49" s="2"/>
      <c r="BJ49" s="2"/>
      <c r="BM49" s="2"/>
    </row>
    <row r="50" spans="5:65" x14ac:dyDescent="0.2">
      <c r="E50" s="2"/>
      <c r="H50" s="2"/>
      <c r="K50" s="2"/>
      <c r="N50" s="2"/>
      <c r="Q50" s="2"/>
      <c r="T50" s="2"/>
      <c r="W50" s="2"/>
      <c r="Z50" s="2"/>
      <c r="AC50" s="2"/>
      <c r="AF50" s="2"/>
      <c r="AI50" s="2"/>
      <c r="AL50" s="2"/>
      <c r="AO50" s="2"/>
      <c r="AR50" s="2"/>
      <c r="AU50" s="2"/>
      <c r="AX50" s="2"/>
      <c r="BA50" s="2"/>
      <c r="BG50" s="2"/>
      <c r="BJ50" s="2"/>
      <c r="BM50" s="2"/>
    </row>
    <row r="51" spans="5:65" x14ac:dyDescent="0.2">
      <c r="E51" s="2"/>
      <c r="H51" s="2"/>
      <c r="K51" s="2"/>
      <c r="N51" s="2"/>
      <c r="Q51" s="2"/>
      <c r="T51" s="2"/>
      <c r="W51" s="2"/>
      <c r="Z51" s="2"/>
      <c r="AC51" s="2"/>
      <c r="AF51" s="2"/>
      <c r="AI51" s="2"/>
      <c r="AL51" s="2"/>
      <c r="AO51" s="2"/>
      <c r="AR51" s="2"/>
      <c r="AU51" s="2"/>
      <c r="AX51" s="2"/>
      <c r="BA51" s="2"/>
      <c r="BG51" s="2"/>
      <c r="BJ51" s="2"/>
      <c r="BM51" s="2"/>
    </row>
    <row r="52" spans="5:65" x14ac:dyDescent="0.2">
      <c r="E52" s="2"/>
      <c r="H52" s="2"/>
      <c r="K52" s="2"/>
      <c r="N52" s="2"/>
      <c r="Q52" s="2"/>
      <c r="T52" s="2"/>
      <c r="W52" s="2"/>
      <c r="Z52" s="2"/>
      <c r="AC52" s="2"/>
      <c r="AF52" s="2"/>
      <c r="AI52" s="2"/>
      <c r="AL52" s="2"/>
      <c r="AO52" s="2"/>
      <c r="AR52" s="2"/>
      <c r="AU52" s="2"/>
      <c r="AX52" s="2"/>
      <c r="BA52" s="2"/>
      <c r="BG52" s="2"/>
      <c r="BJ52" s="2"/>
      <c r="BM52" s="2"/>
    </row>
    <row r="53" spans="5:65" x14ac:dyDescent="0.2">
      <c r="E53" s="2"/>
      <c r="H53" s="2"/>
      <c r="K53" s="2"/>
      <c r="N53" s="2"/>
      <c r="Q53" s="2"/>
      <c r="T53" s="2"/>
      <c r="W53" s="2"/>
      <c r="Z53" s="2"/>
      <c r="AC53" s="2"/>
      <c r="AF53" s="2"/>
      <c r="AI53" s="2"/>
      <c r="AL53" s="2"/>
      <c r="AO53" s="2"/>
      <c r="AR53" s="2"/>
      <c r="AU53" s="2"/>
      <c r="AX53" s="2"/>
      <c r="BA53" s="2"/>
      <c r="BG53" s="2"/>
      <c r="BJ53" s="2"/>
      <c r="BM53" s="2"/>
    </row>
    <row r="54" spans="5:65" x14ac:dyDescent="0.2">
      <c r="E54" s="2"/>
      <c r="H54" s="2"/>
      <c r="K54" s="2"/>
      <c r="N54" s="2"/>
      <c r="Q54" s="2"/>
      <c r="T54" s="2"/>
      <c r="W54" s="2"/>
      <c r="Z54" s="2"/>
      <c r="AC54" s="2"/>
      <c r="AF54" s="2"/>
      <c r="AI54" s="2"/>
      <c r="AL54" s="2"/>
      <c r="AO54" s="2"/>
      <c r="AR54" s="2"/>
      <c r="AU54" s="2"/>
      <c r="AX54" s="2"/>
      <c r="BA54" s="2"/>
      <c r="BG54" s="2"/>
      <c r="BJ54" s="2"/>
      <c r="BM54" s="2"/>
    </row>
    <row r="55" spans="5:65" x14ac:dyDescent="0.2">
      <c r="E55" s="2"/>
      <c r="H55" s="2"/>
      <c r="K55" s="2"/>
      <c r="N55" s="2"/>
      <c r="Q55" s="2"/>
      <c r="T55" s="2"/>
      <c r="W55" s="2"/>
      <c r="Z55" s="2"/>
      <c r="AC55" s="2"/>
      <c r="AF55" s="2"/>
      <c r="AI55" s="2"/>
      <c r="AL55" s="2"/>
      <c r="AO55" s="2"/>
      <c r="AR55" s="2"/>
      <c r="AU55" s="2"/>
      <c r="AX55" s="2"/>
      <c r="BA55" s="2"/>
      <c r="BG55" s="2"/>
      <c r="BJ55" s="2"/>
      <c r="BM55" s="2"/>
    </row>
    <row r="56" spans="5:65" x14ac:dyDescent="0.2">
      <c r="E56" s="2"/>
      <c r="H56" s="2"/>
      <c r="K56" s="2"/>
      <c r="N56" s="2"/>
      <c r="Q56" s="2"/>
      <c r="T56" s="2"/>
      <c r="W56" s="2"/>
      <c r="Z56" s="2"/>
      <c r="AC56" s="2"/>
      <c r="AF56" s="2"/>
      <c r="AI56" s="2"/>
      <c r="AL56" s="2"/>
      <c r="AO56" s="2"/>
      <c r="AR56" s="2"/>
      <c r="AU56" s="2"/>
      <c r="AX56" s="2"/>
      <c r="BA56" s="2"/>
      <c r="BG56" s="2"/>
      <c r="BJ56" s="2"/>
      <c r="BM56" s="2"/>
    </row>
    <row r="57" spans="5:65" x14ac:dyDescent="0.2">
      <c r="E57" s="2"/>
      <c r="H57" s="2"/>
      <c r="K57" s="2"/>
      <c r="N57" s="2"/>
      <c r="Q57" s="2"/>
      <c r="T57" s="2"/>
      <c r="W57" s="2"/>
      <c r="Z57" s="2"/>
      <c r="AC57" s="2"/>
      <c r="AF57" s="2"/>
      <c r="AI57" s="2"/>
      <c r="AL57" s="2"/>
      <c r="AO57" s="2"/>
      <c r="AR57" s="2"/>
      <c r="AU57" s="2"/>
      <c r="AX57" s="2"/>
      <c r="BA57" s="2"/>
      <c r="BG57" s="2"/>
      <c r="BJ57" s="2"/>
      <c r="BM57" s="2"/>
    </row>
    <row r="58" spans="5:65" x14ac:dyDescent="0.2">
      <c r="E58" s="2"/>
      <c r="H58" s="2"/>
      <c r="K58" s="2"/>
      <c r="N58" s="2"/>
      <c r="Q58" s="2"/>
      <c r="T58" s="2"/>
      <c r="W58" s="2"/>
      <c r="Z58" s="2"/>
      <c r="AC58" s="2"/>
      <c r="AF58" s="2"/>
      <c r="AI58" s="2"/>
      <c r="AL58" s="2"/>
      <c r="AO58" s="2"/>
      <c r="AR58" s="2"/>
      <c r="AU58" s="2"/>
      <c r="AX58" s="2"/>
      <c r="BA58" s="2"/>
      <c r="BG58" s="2"/>
      <c r="BJ58" s="2"/>
      <c r="BM58" s="2"/>
    </row>
    <row r="59" spans="5:65" x14ac:dyDescent="0.2">
      <c r="E59" s="2"/>
      <c r="H59" s="2"/>
      <c r="K59" s="2"/>
      <c r="N59" s="2"/>
      <c r="Q59" s="2"/>
      <c r="T59" s="2"/>
      <c r="W59" s="2"/>
      <c r="Z59" s="2"/>
      <c r="AC59" s="2"/>
      <c r="AF59" s="2"/>
      <c r="AI59" s="2"/>
      <c r="AL59" s="2"/>
      <c r="AO59" s="2"/>
      <c r="AR59" s="2"/>
      <c r="AU59" s="2"/>
      <c r="AX59" s="2"/>
      <c r="BA59" s="2"/>
      <c r="BG59" s="2"/>
      <c r="BJ59" s="2"/>
      <c r="BM59" s="2"/>
    </row>
    <row r="60" spans="5:65" x14ac:dyDescent="0.2">
      <c r="E60" s="2"/>
      <c r="H60" s="2"/>
      <c r="K60" s="2"/>
      <c r="N60" s="2"/>
      <c r="Q60" s="2"/>
      <c r="T60" s="2"/>
      <c r="W60" s="2"/>
      <c r="Z60" s="2"/>
      <c r="AC60" s="2"/>
      <c r="AF60" s="2"/>
      <c r="AI60" s="2"/>
      <c r="AL60" s="2"/>
      <c r="AO60" s="2"/>
      <c r="AR60" s="2"/>
      <c r="AU60" s="2"/>
      <c r="AX60" s="2"/>
      <c r="BA60" s="2"/>
      <c r="BG60" s="2"/>
      <c r="BJ60" s="2"/>
      <c r="BM60" s="2"/>
    </row>
    <row r="61" spans="5:65" x14ac:dyDescent="0.2">
      <c r="E61" s="2"/>
      <c r="H61" s="2"/>
      <c r="K61" s="2"/>
      <c r="N61" s="2"/>
      <c r="Q61" s="2"/>
      <c r="T61" s="2"/>
      <c r="W61" s="2"/>
      <c r="Z61" s="2"/>
      <c r="AC61" s="2"/>
      <c r="AF61" s="2"/>
      <c r="AI61" s="2"/>
      <c r="AL61" s="2"/>
      <c r="AO61" s="2"/>
      <c r="AR61" s="2"/>
      <c r="AU61" s="2"/>
      <c r="AX61" s="2"/>
      <c r="BA61" s="2"/>
      <c r="BG61" s="2"/>
      <c r="BJ61" s="2"/>
      <c r="BM61" s="2"/>
    </row>
    <row r="62" spans="5:65" x14ac:dyDescent="0.2">
      <c r="E62" s="2"/>
      <c r="H62" s="2"/>
      <c r="K62" s="2"/>
      <c r="N62" s="2"/>
      <c r="Q62" s="2"/>
      <c r="T62" s="2"/>
      <c r="W62" s="2"/>
      <c r="Z62" s="2"/>
      <c r="AC62" s="2"/>
      <c r="AF62" s="2"/>
      <c r="AI62" s="2"/>
      <c r="AL62" s="2"/>
      <c r="AO62" s="2"/>
      <c r="AR62" s="2"/>
      <c r="AU62" s="2"/>
      <c r="AX62" s="2"/>
      <c r="BA62" s="2"/>
      <c r="BG62" s="2"/>
      <c r="BJ62" s="2"/>
      <c r="BM62" s="2"/>
    </row>
    <row r="63" spans="5:65" x14ac:dyDescent="0.2">
      <c r="E63" s="2"/>
      <c r="H63" s="2"/>
      <c r="K63" s="2"/>
      <c r="N63" s="2"/>
      <c r="Q63" s="2"/>
      <c r="T63" s="2"/>
      <c r="W63" s="2"/>
      <c r="Z63" s="2"/>
      <c r="AC63" s="2"/>
      <c r="AF63" s="2"/>
      <c r="AI63" s="2"/>
      <c r="AL63" s="2"/>
      <c r="AO63" s="2"/>
      <c r="AR63" s="2"/>
      <c r="AU63" s="2"/>
      <c r="AX63" s="2"/>
      <c r="BA63" s="2"/>
      <c r="BG63" s="2"/>
      <c r="BJ63" s="2"/>
      <c r="BM63" s="2"/>
    </row>
    <row r="64" spans="5:65" x14ac:dyDescent="0.2">
      <c r="E64" s="2"/>
      <c r="H64" s="2"/>
      <c r="K64" s="2"/>
      <c r="N64" s="2"/>
      <c r="Q64" s="2"/>
      <c r="T64" s="2"/>
      <c r="W64" s="2"/>
      <c r="Z64" s="2"/>
      <c r="AC64" s="2"/>
      <c r="AF64" s="2"/>
      <c r="AI64" s="2"/>
      <c r="AL64" s="2"/>
      <c r="AO64" s="2"/>
      <c r="AR64" s="2"/>
      <c r="AU64" s="2"/>
      <c r="AX64" s="2"/>
      <c r="BA64" s="2"/>
      <c r="BG64" s="2"/>
      <c r="BJ64" s="2"/>
      <c r="BM64" s="2"/>
    </row>
    <row r="65" spans="5:65" x14ac:dyDescent="0.2">
      <c r="E65" s="2"/>
      <c r="H65" s="2"/>
      <c r="K65" s="2"/>
      <c r="N65" s="2"/>
      <c r="Q65" s="2"/>
      <c r="T65" s="2"/>
      <c r="W65" s="2"/>
      <c r="Z65" s="2"/>
      <c r="AC65" s="2"/>
      <c r="AF65" s="2"/>
      <c r="AI65" s="2"/>
      <c r="AL65" s="2"/>
      <c r="AO65" s="2"/>
      <c r="AR65" s="2"/>
      <c r="AU65" s="2"/>
      <c r="AX65" s="2"/>
      <c r="BA65" s="2"/>
      <c r="BG65" s="2"/>
      <c r="BJ65" s="2"/>
      <c r="BM65" s="2"/>
    </row>
    <row r="66" spans="5:65" x14ac:dyDescent="0.2">
      <c r="E66" s="2"/>
      <c r="H66" s="2"/>
      <c r="K66" s="2"/>
      <c r="N66" s="2"/>
      <c r="Q66" s="2"/>
      <c r="T66" s="2"/>
      <c r="W66" s="2"/>
      <c r="Z66" s="2"/>
      <c r="AC66" s="2"/>
      <c r="AF66" s="2"/>
      <c r="AI66" s="2"/>
      <c r="AL66" s="2"/>
      <c r="AO66" s="2"/>
      <c r="AR66" s="2"/>
      <c r="AU66" s="2"/>
      <c r="AX66" s="2"/>
      <c r="BA66" s="2"/>
      <c r="BG66" s="2"/>
      <c r="BJ66" s="2"/>
      <c r="BM66" s="2"/>
    </row>
    <row r="67" spans="5:65" x14ac:dyDescent="0.2">
      <c r="E67" s="2"/>
      <c r="H67" s="2"/>
      <c r="K67" s="2"/>
      <c r="N67" s="2"/>
      <c r="Q67" s="2"/>
      <c r="T67" s="2"/>
      <c r="W67" s="2"/>
      <c r="Z67" s="2"/>
      <c r="AC67" s="2"/>
      <c r="AF67" s="2"/>
      <c r="AI67" s="2"/>
      <c r="AL67" s="2"/>
      <c r="AO67" s="2"/>
      <c r="AR67" s="2"/>
      <c r="AU67" s="2"/>
      <c r="AX67" s="2"/>
      <c r="BA67" s="2"/>
      <c r="BG67" s="2"/>
      <c r="BJ67" s="2"/>
      <c r="BM67" s="2"/>
    </row>
    <row r="68" spans="5:65" x14ac:dyDescent="0.2">
      <c r="E68" s="2"/>
      <c r="H68" s="2"/>
      <c r="K68" s="2"/>
      <c r="N68" s="2"/>
      <c r="Q68" s="2"/>
      <c r="T68" s="2"/>
      <c r="W68" s="2"/>
      <c r="Z68" s="2"/>
      <c r="AC68" s="2"/>
      <c r="AF68" s="2"/>
      <c r="AI68" s="2"/>
      <c r="AL68" s="2"/>
      <c r="AO68" s="2"/>
      <c r="AR68" s="2"/>
      <c r="AU68" s="2"/>
      <c r="AX68" s="2"/>
      <c r="BA68" s="2"/>
      <c r="BG68" s="2"/>
      <c r="BJ68" s="2"/>
      <c r="BM68" s="2"/>
    </row>
    <row r="69" spans="5:65" x14ac:dyDescent="0.2">
      <c r="E69" s="2"/>
      <c r="H69" s="2"/>
      <c r="K69" s="2"/>
      <c r="N69" s="2"/>
      <c r="Q69" s="2"/>
      <c r="T69" s="2"/>
      <c r="W69" s="2"/>
      <c r="Z69" s="2"/>
      <c r="AC69" s="2"/>
      <c r="AF69" s="2"/>
      <c r="AI69" s="2"/>
      <c r="AL69" s="2"/>
      <c r="AO69" s="2"/>
      <c r="AR69" s="2"/>
      <c r="AU69" s="2"/>
      <c r="AX69" s="2"/>
      <c r="BA69" s="2"/>
      <c r="BG69" s="2"/>
      <c r="BJ69" s="2"/>
      <c r="BM69" s="2"/>
    </row>
    <row r="70" spans="5:65" x14ac:dyDescent="0.2">
      <c r="E70" s="2"/>
      <c r="H70" s="2"/>
      <c r="K70" s="2"/>
      <c r="N70" s="2"/>
      <c r="Q70" s="2"/>
      <c r="T70" s="2"/>
      <c r="W70" s="2"/>
      <c r="Z70" s="2"/>
      <c r="AC70" s="2"/>
      <c r="AF70" s="2"/>
      <c r="AI70" s="2"/>
      <c r="AL70" s="2"/>
      <c r="AO70" s="2"/>
      <c r="AR70" s="2"/>
      <c r="AU70" s="2"/>
      <c r="AX70" s="2"/>
      <c r="BA70" s="2"/>
      <c r="BG70" s="2"/>
      <c r="BJ70" s="2"/>
      <c r="BM70" s="2"/>
    </row>
    <row r="71" spans="5:65" x14ac:dyDescent="0.2">
      <c r="E71" s="2"/>
      <c r="H71" s="2"/>
      <c r="K71" s="2"/>
      <c r="N71" s="2"/>
      <c r="Q71" s="2"/>
      <c r="T71" s="2"/>
      <c r="W71" s="2"/>
      <c r="Z71" s="2"/>
      <c r="AC71" s="2"/>
      <c r="AF71" s="2"/>
      <c r="AI71" s="2"/>
      <c r="AL71" s="2"/>
      <c r="AO71" s="2"/>
      <c r="AR71" s="2"/>
      <c r="AU71" s="2"/>
      <c r="AX71" s="2"/>
      <c r="BA71" s="2"/>
      <c r="BG71" s="2"/>
      <c r="BJ71" s="2"/>
      <c r="BM71" s="2"/>
    </row>
    <row r="72" spans="5:65" x14ac:dyDescent="0.2">
      <c r="E72" s="2"/>
      <c r="H72" s="2"/>
      <c r="K72" s="2"/>
      <c r="N72" s="2"/>
      <c r="Q72" s="2"/>
      <c r="T72" s="2"/>
      <c r="W72" s="2"/>
      <c r="Z72" s="2"/>
      <c r="AC72" s="2"/>
      <c r="AF72" s="2"/>
      <c r="AI72" s="2"/>
      <c r="AL72" s="2"/>
      <c r="AO72" s="2"/>
      <c r="AR72" s="2"/>
      <c r="AU72" s="2"/>
      <c r="AX72" s="2"/>
      <c r="BA72" s="2"/>
      <c r="BG72" s="2"/>
      <c r="BJ72" s="2"/>
      <c r="BM72" s="2"/>
    </row>
    <row r="73" spans="5:65" x14ac:dyDescent="0.2">
      <c r="E73" s="2"/>
      <c r="H73" s="2"/>
      <c r="K73" s="2"/>
      <c r="N73" s="2"/>
      <c r="Q73" s="2"/>
      <c r="T73" s="2"/>
      <c r="W73" s="2"/>
      <c r="Z73" s="2"/>
      <c r="AC73" s="2"/>
      <c r="AF73" s="2"/>
      <c r="AI73" s="2"/>
      <c r="AL73" s="2"/>
      <c r="AO73" s="2"/>
      <c r="AR73" s="2"/>
      <c r="AU73" s="2"/>
      <c r="AX73" s="2"/>
      <c r="BA73" s="2"/>
      <c r="BG73" s="2"/>
      <c r="BJ73" s="2"/>
      <c r="BM73" s="2"/>
    </row>
    <row r="74" spans="5:65" x14ac:dyDescent="0.2">
      <c r="E74" s="2"/>
      <c r="H74" s="2"/>
      <c r="K74" s="2"/>
      <c r="N74" s="2"/>
      <c r="Q74" s="2"/>
      <c r="T74" s="2"/>
      <c r="W74" s="2"/>
      <c r="Z74" s="2"/>
      <c r="AC74" s="2"/>
      <c r="AF74" s="2"/>
      <c r="AI74" s="2"/>
      <c r="AL74" s="2"/>
      <c r="AO74" s="2"/>
      <c r="AR74" s="2"/>
      <c r="AU74" s="2"/>
      <c r="AX74" s="2"/>
      <c r="BA74" s="2"/>
      <c r="BG74" s="2"/>
      <c r="BJ74" s="2"/>
      <c r="BM74" s="2"/>
    </row>
    <row r="75" spans="5:65" x14ac:dyDescent="0.2">
      <c r="E75" s="2"/>
      <c r="H75" s="2"/>
      <c r="K75" s="2"/>
      <c r="N75" s="2"/>
      <c r="Q75" s="2"/>
      <c r="T75" s="2"/>
      <c r="W75" s="2"/>
      <c r="Z75" s="2"/>
      <c r="AC75" s="2"/>
      <c r="AF75" s="2"/>
      <c r="AI75" s="2"/>
      <c r="AL75" s="2"/>
      <c r="AO75" s="2"/>
      <c r="AR75" s="2"/>
      <c r="AU75" s="2"/>
      <c r="AX75" s="2"/>
      <c r="BA75" s="2"/>
      <c r="BG75" s="2"/>
      <c r="BJ75" s="2"/>
      <c r="BM75" s="2"/>
    </row>
    <row r="76" spans="5:65" x14ac:dyDescent="0.2">
      <c r="E76" s="2"/>
      <c r="H76" s="2"/>
      <c r="K76" s="2"/>
      <c r="N76" s="2"/>
      <c r="Q76" s="2"/>
      <c r="T76" s="2"/>
      <c r="W76" s="2"/>
      <c r="Z76" s="2"/>
      <c r="AC76" s="2"/>
      <c r="AF76" s="2"/>
      <c r="AI76" s="2"/>
      <c r="AL76" s="2"/>
      <c r="AO76" s="2"/>
      <c r="AR76" s="2"/>
      <c r="AU76" s="2"/>
      <c r="AX76" s="2"/>
      <c r="BA76" s="2"/>
      <c r="BG76" s="2"/>
      <c r="BJ76" s="2"/>
      <c r="BM76" s="2"/>
    </row>
    <row r="77" spans="5:65" x14ac:dyDescent="0.2">
      <c r="E77" s="2"/>
      <c r="H77" s="2"/>
      <c r="K77" s="2"/>
      <c r="N77" s="2"/>
      <c r="Q77" s="2"/>
      <c r="T77" s="2"/>
      <c r="W77" s="2"/>
      <c r="Z77" s="2"/>
      <c r="AC77" s="2"/>
      <c r="AF77" s="2"/>
      <c r="AI77" s="2"/>
      <c r="AL77" s="2"/>
      <c r="AO77" s="2"/>
      <c r="AR77" s="2"/>
      <c r="AU77" s="2"/>
      <c r="AX77" s="2"/>
      <c r="BA77" s="2"/>
      <c r="BG77" s="2"/>
      <c r="BJ77" s="2"/>
      <c r="BM77" s="2"/>
    </row>
    <row r="78" spans="5:65" x14ac:dyDescent="0.2">
      <c r="E78" s="2"/>
      <c r="H78" s="2"/>
      <c r="K78" s="2"/>
      <c r="N78" s="2"/>
      <c r="Q78" s="2"/>
      <c r="T78" s="2"/>
      <c r="W78" s="2"/>
      <c r="Z78" s="2"/>
      <c r="AC78" s="2"/>
      <c r="AF78" s="2"/>
      <c r="AI78" s="2"/>
      <c r="AL78" s="2"/>
      <c r="AO78" s="2"/>
      <c r="AR78" s="2"/>
      <c r="AU78" s="2"/>
      <c r="AX78" s="2"/>
      <c r="BA78" s="2"/>
      <c r="BG78" s="2"/>
      <c r="BJ78" s="2"/>
      <c r="BM78" s="2"/>
    </row>
    <row r="79" spans="5:65" x14ac:dyDescent="0.2">
      <c r="E79" s="2"/>
      <c r="H79" s="2"/>
      <c r="K79" s="2"/>
      <c r="N79" s="2"/>
      <c r="Q79" s="2"/>
      <c r="T79" s="2"/>
      <c r="W79" s="2"/>
      <c r="Z79" s="2"/>
      <c r="AC79" s="2"/>
      <c r="AF79" s="2"/>
      <c r="AI79" s="2"/>
      <c r="AL79" s="2"/>
      <c r="AO79" s="2"/>
      <c r="AR79" s="2"/>
      <c r="AU79" s="2"/>
      <c r="AX79" s="2"/>
      <c r="BA79" s="2"/>
      <c r="BG79" s="2"/>
      <c r="BJ79" s="2"/>
      <c r="BM79" s="2"/>
    </row>
    <row r="80" spans="5:65" x14ac:dyDescent="0.2">
      <c r="E80" s="2"/>
      <c r="H80" s="2"/>
      <c r="K80" s="2"/>
      <c r="N80" s="2"/>
      <c r="Q80" s="2"/>
      <c r="T80" s="2"/>
      <c r="W80" s="2"/>
      <c r="Z80" s="2"/>
      <c r="AC80" s="2"/>
      <c r="AF80" s="2"/>
      <c r="AI80" s="2"/>
      <c r="AL80" s="2"/>
      <c r="AO80" s="2"/>
      <c r="AR80" s="2"/>
      <c r="AU80" s="2"/>
      <c r="AX80" s="2"/>
      <c r="BA80" s="2"/>
      <c r="BG80" s="2"/>
      <c r="BJ80" s="2"/>
      <c r="BM80" s="2"/>
    </row>
    <row r="81" spans="5:65" x14ac:dyDescent="0.2">
      <c r="E81" s="2"/>
      <c r="H81" s="2"/>
      <c r="K81" s="2"/>
      <c r="N81" s="2"/>
      <c r="Q81" s="2"/>
      <c r="T81" s="2"/>
      <c r="W81" s="2"/>
      <c r="Z81" s="2"/>
      <c r="AC81" s="2"/>
      <c r="AF81" s="2"/>
      <c r="AI81" s="2"/>
      <c r="AL81" s="2"/>
      <c r="AO81" s="2"/>
      <c r="AR81" s="2"/>
      <c r="AU81" s="2"/>
      <c r="AX81" s="2"/>
      <c r="BA81" s="2"/>
      <c r="BG81" s="2"/>
      <c r="BJ81" s="2"/>
      <c r="BM81" s="2"/>
    </row>
    <row r="82" spans="5:65" x14ac:dyDescent="0.2">
      <c r="E82" s="2"/>
      <c r="H82" s="2"/>
      <c r="K82" s="2"/>
      <c r="N82" s="2"/>
      <c r="Q82" s="2"/>
      <c r="T82" s="2"/>
      <c r="W82" s="2"/>
      <c r="Z82" s="2"/>
      <c r="AC82" s="2"/>
      <c r="AF82" s="2"/>
      <c r="AI82" s="2"/>
      <c r="AL82" s="2"/>
      <c r="AO82" s="2"/>
      <c r="AR82" s="2"/>
      <c r="AU82" s="2"/>
      <c r="AX82" s="2"/>
      <c r="BA82" s="2"/>
      <c r="BG82" s="2"/>
      <c r="BJ82" s="2"/>
      <c r="BM82" s="2"/>
    </row>
    <row r="83" spans="5:65" x14ac:dyDescent="0.2">
      <c r="E83" s="2"/>
      <c r="H83" s="2"/>
      <c r="K83" s="2"/>
      <c r="N83" s="2"/>
      <c r="Q83" s="2"/>
      <c r="T83" s="2"/>
      <c r="W83" s="2"/>
      <c r="Z83" s="2"/>
      <c r="AC83" s="2"/>
      <c r="AF83" s="2"/>
      <c r="AI83" s="2"/>
      <c r="AL83" s="2"/>
      <c r="AO83" s="2"/>
      <c r="AR83" s="2"/>
      <c r="AU83" s="2"/>
      <c r="AX83" s="2"/>
      <c r="BA83" s="2"/>
      <c r="BG83" s="2"/>
      <c r="BJ83" s="2"/>
      <c r="BM83" s="2"/>
    </row>
    <row r="84" spans="5:65" x14ac:dyDescent="0.2">
      <c r="E84" s="2"/>
      <c r="H84" s="2"/>
      <c r="K84" s="2"/>
      <c r="N84" s="2"/>
      <c r="Q84" s="2"/>
      <c r="T84" s="2"/>
      <c r="W84" s="2"/>
      <c r="Z84" s="2"/>
      <c r="AC84" s="2"/>
      <c r="AF84" s="2"/>
      <c r="AI84" s="2"/>
      <c r="AL84" s="2"/>
      <c r="AO84" s="2"/>
      <c r="AR84" s="2"/>
      <c r="AU84" s="2"/>
      <c r="AX84" s="2"/>
      <c r="BA84" s="2"/>
      <c r="BG84" s="2"/>
      <c r="BJ84" s="2"/>
      <c r="BM84" s="2"/>
    </row>
    <row r="85" spans="5:65" x14ac:dyDescent="0.2">
      <c r="E85" s="2"/>
      <c r="H85" s="2"/>
      <c r="K85" s="2"/>
      <c r="N85" s="2"/>
      <c r="Q85" s="2"/>
      <c r="T85" s="2"/>
      <c r="W85" s="2"/>
      <c r="Z85" s="2"/>
      <c r="AC85" s="2"/>
      <c r="AF85" s="2"/>
      <c r="AI85" s="2"/>
      <c r="AL85" s="2"/>
      <c r="AO85" s="2"/>
      <c r="AR85" s="2"/>
      <c r="AU85" s="2"/>
      <c r="AX85" s="2"/>
      <c r="BA85" s="2"/>
      <c r="BG85" s="2"/>
      <c r="BJ85" s="2"/>
      <c r="BM85" s="2"/>
    </row>
    <row r="86" spans="5:65" x14ac:dyDescent="0.2">
      <c r="E86" s="2"/>
      <c r="H86" s="2"/>
      <c r="K86" s="2"/>
      <c r="N86" s="2"/>
      <c r="Q86" s="2"/>
      <c r="T86" s="2"/>
      <c r="W86" s="2"/>
      <c r="Z86" s="2"/>
      <c r="AC86" s="2"/>
      <c r="AF86" s="2"/>
      <c r="AI86" s="2"/>
      <c r="AL86" s="2"/>
      <c r="AO86" s="2"/>
      <c r="AR86" s="2"/>
      <c r="AU86" s="2"/>
      <c r="AX86" s="2"/>
      <c r="BA86" s="2"/>
      <c r="BG86" s="2"/>
      <c r="BJ86" s="2"/>
      <c r="BM86" s="2"/>
    </row>
    <row r="87" spans="5:65" x14ac:dyDescent="0.2">
      <c r="E87" s="2"/>
      <c r="H87" s="2"/>
      <c r="K87" s="2"/>
      <c r="N87" s="2"/>
      <c r="Q87" s="2"/>
      <c r="T87" s="2"/>
      <c r="W87" s="2"/>
      <c r="Z87" s="2"/>
      <c r="AC87" s="2"/>
      <c r="AF87" s="2"/>
      <c r="AI87" s="2"/>
      <c r="AL87" s="2"/>
      <c r="AO87" s="2"/>
      <c r="AR87" s="2"/>
      <c r="AU87" s="2"/>
      <c r="AX87" s="2"/>
      <c r="BA87" s="2"/>
      <c r="BG87" s="2"/>
      <c r="BJ87" s="2"/>
      <c r="BM87" s="2"/>
    </row>
    <row r="88" spans="5:65" x14ac:dyDescent="0.2">
      <c r="E88" s="2"/>
      <c r="H88" s="2"/>
      <c r="K88" s="2"/>
      <c r="N88" s="2"/>
      <c r="Q88" s="2"/>
      <c r="T88" s="2"/>
      <c r="W88" s="2"/>
      <c r="Z88" s="2"/>
      <c r="AC88" s="2"/>
      <c r="AF88" s="2"/>
      <c r="AI88" s="2"/>
      <c r="AL88" s="2"/>
      <c r="AO88" s="2"/>
      <c r="AR88" s="2"/>
      <c r="AU88" s="2"/>
      <c r="AX88" s="2"/>
      <c r="BA88" s="2"/>
      <c r="BG88" s="2"/>
      <c r="BJ88" s="2"/>
      <c r="BM88" s="2"/>
    </row>
    <row r="89" spans="5:65" x14ac:dyDescent="0.2">
      <c r="E89" s="2"/>
      <c r="H89" s="2"/>
      <c r="K89" s="2"/>
      <c r="N89" s="2"/>
      <c r="Q89" s="2"/>
      <c r="T89" s="2"/>
      <c r="W89" s="2"/>
      <c r="Z89" s="2"/>
      <c r="AC89" s="2"/>
      <c r="AF89" s="2"/>
      <c r="AI89" s="2"/>
      <c r="AL89" s="2"/>
      <c r="AO89" s="2"/>
      <c r="AR89" s="2"/>
      <c r="AU89" s="2"/>
      <c r="AX89" s="2"/>
      <c r="BA89" s="2"/>
      <c r="BG89" s="2"/>
      <c r="BJ89" s="2"/>
      <c r="BM89" s="2"/>
    </row>
    <row r="90" spans="5:65" x14ac:dyDescent="0.2">
      <c r="E90" s="2"/>
      <c r="H90" s="2"/>
      <c r="K90" s="2"/>
      <c r="N90" s="2"/>
      <c r="Q90" s="2"/>
      <c r="T90" s="2"/>
      <c r="W90" s="2"/>
      <c r="Z90" s="2"/>
      <c r="AC90" s="2"/>
      <c r="AF90" s="2"/>
      <c r="AI90" s="2"/>
      <c r="AL90" s="2"/>
      <c r="AO90" s="2"/>
      <c r="AR90" s="2"/>
      <c r="AU90" s="2"/>
      <c r="AX90" s="2"/>
      <c r="BA90" s="2"/>
      <c r="BG90" s="2"/>
      <c r="BJ90" s="2"/>
      <c r="BM90" s="2"/>
    </row>
    <row r="91" spans="5:65" x14ac:dyDescent="0.2">
      <c r="E91" s="2"/>
      <c r="H91" s="2"/>
      <c r="K91" s="2"/>
      <c r="N91" s="2"/>
      <c r="Q91" s="2"/>
      <c r="T91" s="2"/>
      <c r="W91" s="2"/>
      <c r="Z91" s="2"/>
      <c r="AC91" s="2"/>
      <c r="AF91" s="2"/>
      <c r="AI91" s="2"/>
      <c r="AL91" s="2"/>
      <c r="AO91" s="2"/>
      <c r="AR91" s="2"/>
      <c r="AU91" s="2"/>
      <c r="AX91" s="2"/>
      <c r="BA91" s="2"/>
      <c r="BG91" s="2"/>
      <c r="BJ91" s="2"/>
      <c r="BM91" s="2"/>
    </row>
    <row r="92" spans="5:65" x14ac:dyDescent="0.2">
      <c r="E92" s="2"/>
      <c r="H92" s="2"/>
      <c r="K92" s="2"/>
      <c r="N92" s="2"/>
      <c r="Q92" s="2"/>
      <c r="T92" s="2"/>
      <c r="W92" s="2"/>
      <c r="Z92" s="2"/>
      <c r="AC92" s="2"/>
      <c r="AF92" s="2"/>
      <c r="AI92" s="2"/>
      <c r="AL92" s="2"/>
      <c r="AO92" s="2"/>
      <c r="AR92" s="2"/>
      <c r="AU92" s="2"/>
      <c r="AX92" s="2"/>
      <c r="BA92" s="2"/>
      <c r="BG92" s="2"/>
      <c r="BJ92" s="2"/>
      <c r="BM92" s="2"/>
    </row>
    <row r="93" spans="5:65" x14ac:dyDescent="0.2">
      <c r="E93" s="2"/>
      <c r="H93" s="2"/>
      <c r="K93" s="2"/>
      <c r="N93" s="2"/>
      <c r="Q93" s="2"/>
      <c r="T93" s="2"/>
      <c r="W93" s="2"/>
      <c r="Z93" s="2"/>
      <c r="AC93" s="2"/>
      <c r="AF93" s="2"/>
      <c r="AI93" s="2"/>
      <c r="AL93" s="2"/>
      <c r="AO93" s="2"/>
      <c r="AR93" s="2"/>
      <c r="AU93" s="2"/>
      <c r="AX93" s="2"/>
      <c r="BA93" s="2"/>
      <c r="BG93" s="2"/>
      <c r="BJ93" s="2"/>
      <c r="BM93" s="2"/>
    </row>
    <row r="94" spans="5:65" x14ac:dyDescent="0.2">
      <c r="E94" s="2"/>
      <c r="H94" s="2"/>
      <c r="K94" s="2"/>
      <c r="N94" s="2"/>
      <c r="Q94" s="2"/>
      <c r="T94" s="2"/>
      <c r="W94" s="2"/>
      <c r="Z94" s="2"/>
      <c r="AC94" s="2"/>
      <c r="AF94" s="2"/>
      <c r="AI94" s="2"/>
      <c r="AL94" s="2"/>
      <c r="AO94" s="2"/>
      <c r="AR94" s="2"/>
      <c r="AU94" s="2"/>
      <c r="AX94" s="2"/>
      <c r="BA94" s="2"/>
      <c r="BG94" s="2"/>
      <c r="BJ94" s="2"/>
      <c r="BM94" s="2"/>
    </row>
    <row r="95" spans="5:65" x14ac:dyDescent="0.2">
      <c r="E95" s="2"/>
      <c r="H95" s="2"/>
      <c r="K95" s="2"/>
      <c r="N95" s="2"/>
      <c r="Q95" s="2"/>
      <c r="T95" s="2"/>
      <c r="W95" s="2"/>
      <c r="Z95" s="2"/>
      <c r="AC95" s="2"/>
      <c r="AF95" s="2"/>
      <c r="AI95" s="2"/>
      <c r="AL95" s="2"/>
      <c r="AO95" s="2"/>
      <c r="AR95" s="2"/>
      <c r="AU95" s="2"/>
      <c r="AX95" s="2"/>
      <c r="BA95" s="2"/>
      <c r="BG95" s="2"/>
      <c r="BJ95" s="2"/>
      <c r="BM95" s="2"/>
    </row>
    <row r="96" spans="5:65" x14ac:dyDescent="0.2">
      <c r="E96" s="2"/>
      <c r="H96" s="2"/>
      <c r="K96" s="2"/>
      <c r="N96" s="2"/>
      <c r="Q96" s="2"/>
      <c r="T96" s="2"/>
      <c r="W96" s="2"/>
      <c r="Z96" s="2"/>
      <c r="AC96" s="2"/>
      <c r="AF96" s="2"/>
      <c r="AI96" s="2"/>
      <c r="AL96" s="2"/>
      <c r="AO96" s="2"/>
      <c r="AR96" s="2"/>
      <c r="AU96" s="2"/>
      <c r="AX96" s="2"/>
      <c r="BA96" s="2"/>
      <c r="BG96" s="2"/>
      <c r="BJ96" s="2"/>
      <c r="BM96" s="2"/>
    </row>
    <row r="97" spans="5:65" x14ac:dyDescent="0.2">
      <c r="E97" s="2"/>
      <c r="H97" s="2"/>
      <c r="K97" s="2"/>
      <c r="N97" s="2"/>
      <c r="Q97" s="2"/>
      <c r="T97" s="2"/>
      <c r="W97" s="2"/>
      <c r="Z97" s="2"/>
      <c r="AC97" s="2"/>
      <c r="AF97" s="2"/>
      <c r="AI97" s="2"/>
      <c r="AL97" s="2"/>
      <c r="AO97" s="2"/>
      <c r="AR97" s="2"/>
      <c r="AU97" s="2"/>
      <c r="AX97" s="2"/>
      <c r="BA97" s="2"/>
      <c r="BG97" s="2"/>
      <c r="BJ97" s="2"/>
      <c r="BM97" s="2"/>
    </row>
    <row r="98" spans="5:65" x14ac:dyDescent="0.2">
      <c r="E98" s="2"/>
      <c r="H98" s="2"/>
      <c r="K98" s="2"/>
      <c r="N98" s="2"/>
      <c r="Q98" s="2"/>
      <c r="T98" s="2"/>
      <c r="W98" s="2"/>
      <c r="Z98" s="2"/>
      <c r="AC98" s="2"/>
      <c r="AF98" s="2"/>
      <c r="AI98" s="2"/>
      <c r="AL98" s="2"/>
      <c r="AO98" s="2"/>
      <c r="AR98" s="2"/>
      <c r="AU98" s="2"/>
      <c r="AX98" s="2"/>
      <c r="BA98" s="2"/>
      <c r="BG98" s="2"/>
      <c r="BJ98" s="2"/>
      <c r="BM98" s="2"/>
    </row>
    <row r="99" spans="5:65" x14ac:dyDescent="0.2">
      <c r="E99" s="2"/>
      <c r="H99" s="2"/>
      <c r="K99" s="2"/>
      <c r="N99" s="2"/>
      <c r="Q99" s="2"/>
      <c r="T99" s="2"/>
      <c r="W99" s="2"/>
      <c r="Z99" s="2"/>
      <c r="AC99" s="2"/>
      <c r="AF99" s="2"/>
      <c r="AI99" s="2"/>
      <c r="AL99" s="2"/>
      <c r="AO99" s="2"/>
      <c r="AR99" s="2"/>
      <c r="AU99" s="2"/>
      <c r="AX99" s="2"/>
      <c r="BA99" s="2"/>
      <c r="BG99" s="2"/>
      <c r="BJ99" s="2"/>
      <c r="BM99" s="2"/>
    </row>
    <row r="100" spans="5:65" x14ac:dyDescent="0.2">
      <c r="E100" s="2"/>
      <c r="H100" s="2"/>
      <c r="K100" s="2"/>
      <c r="N100" s="2"/>
      <c r="Q100" s="2"/>
      <c r="T100" s="2"/>
      <c r="W100" s="2"/>
      <c r="Z100" s="2"/>
      <c r="AC100" s="2"/>
      <c r="AF100" s="2"/>
      <c r="AI100" s="2"/>
      <c r="AL100" s="2"/>
      <c r="AO100" s="2"/>
      <c r="AR100" s="2"/>
      <c r="AU100" s="2"/>
      <c r="AX100" s="2"/>
      <c r="BA100" s="2"/>
      <c r="BG100" s="2"/>
      <c r="BJ100" s="2"/>
      <c r="BM100" s="2"/>
    </row>
    <row r="101" spans="5:65" x14ac:dyDescent="0.2">
      <c r="E101" s="2"/>
      <c r="H101" s="2"/>
      <c r="K101" s="2"/>
      <c r="N101" s="2"/>
      <c r="Q101" s="2"/>
      <c r="T101" s="2"/>
      <c r="W101" s="2"/>
      <c r="Z101" s="2"/>
      <c r="AC101" s="2"/>
      <c r="AF101" s="2"/>
      <c r="AI101" s="2"/>
      <c r="AL101" s="2"/>
      <c r="AO101" s="2"/>
      <c r="AR101" s="2"/>
      <c r="AU101" s="2"/>
      <c r="AX101" s="2"/>
      <c r="BA101" s="2"/>
      <c r="BG101" s="2"/>
      <c r="BJ101" s="2"/>
      <c r="BM101" s="2"/>
    </row>
    <row r="102" spans="5:65" x14ac:dyDescent="0.2">
      <c r="E102" s="2"/>
      <c r="H102" s="2"/>
      <c r="K102" s="2"/>
      <c r="N102" s="2"/>
      <c r="Q102" s="2"/>
      <c r="T102" s="2"/>
      <c r="W102" s="2"/>
      <c r="Z102" s="2"/>
      <c r="AC102" s="2"/>
      <c r="AF102" s="2"/>
      <c r="AI102" s="2"/>
      <c r="AL102" s="2"/>
      <c r="AO102" s="2"/>
      <c r="AR102" s="2"/>
      <c r="AU102" s="2"/>
      <c r="AX102" s="2"/>
      <c r="BA102" s="2"/>
      <c r="BG102" s="2"/>
      <c r="BJ102" s="2"/>
      <c r="BM102" s="2"/>
    </row>
    <row r="103" spans="5:65" x14ac:dyDescent="0.2">
      <c r="E103" s="2"/>
      <c r="H103" s="2"/>
      <c r="K103" s="2"/>
      <c r="N103" s="2"/>
      <c r="Q103" s="2"/>
      <c r="T103" s="2"/>
      <c r="W103" s="2"/>
      <c r="Z103" s="2"/>
      <c r="AC103" s="2"/>
      <c r="AF103" s="2"/>
      <c r="AI103" s="2"/>
      <c r="AL103" s="2"/>
      <c r="AO103" s="2"/>
      <c r="AR103" s="2"/>
      <c r="AU103" s="2"/>
      <c r="AX103" s="2"/>
      <c r="BA103" s="2"/>
      <c r="BG103" s="2"/>
      <c r="BJ103" s="2"/>
      <c r="BM103" s="2"/>
    </row>
    <row r="104" spans="5:65" x14ac:dyDescent="0.2">
      <c r="E104" s="2"/>
      <c r="H104" s="2"/>
      <c r="K104" s="2"/>
      <c r="N104" s="2"/>
      <c r="Q104" s="2"/>
      <c r="T104" s="2"/>
      <c r="W104" s="2"/>
      <c r="Z104" s="2"/>
      <c r="AC104" s="2"/>
      <c r="AF104" s="2"/>
      <c r="AI104" s="2"/>
      <c r="AL104" s="2"/>
      <c r="AO104" s="2"/>
      <c r="AR104" s="2"/>
      <c r="AU104" s="2"/>
      <c r="AX104" s="2"/>
      <c r="BA104" s="2"/>
      <c r="BG104" s="2"/>
      <c r="BJ104" s="2"/>
      <c r="BM104" s="2"/>
    </row>
    <row r="105" spans="5:65" x14ac:dyDescent="0.2">
      <c r="E105" s="2"/>
      <c r="H105" s="2"/>
      <c r="K105" s="2"/>
      <c r="N105" s="2"/>
      <c r="Q105" s="2"/>
      <c r="T105" s="2"/>
      <c r="W105" s="2"/>
      <c r="Z105" s="2"/>
      <c r="AC105" s="2"/>
      <c r="AF105" s="2"/>
      <c r="AI105" s="2"/>
      <c r="AL105" s="2"/>
      <c r="AO105" s="2"/>
      <c r="AR105" s="2"/>
      <c r="AU105" s="2"/>
      <c r="AX105" s="2"/>
      <c r="BA105" s="2"/>
      <c r="BG105" s="2"/>
      <c r="BJ105" s="2"/>
      <c r="BM105" s="2"/>
    </row>
    <row r="106" spans="5:65" x14ac:dyDescent="0.2">
      <c r="E106" s="2"/>
      <c r="H106" s="2"/>
      <c r="K106" s="2"/>
      <c r="N106" s="2"/>
      <c r="Q106" s="2"/>
      <c r="T106" s="2"/>
      <c r="W106" s="2"/>
      <c r="Z106" s="2"/>
      <c r="AC106" s="2"/>
      <c r="AF106" s="2"/>
      <c r="AI106" s="2"/>
      <c r="AL106" s="2"/>
      <c r="AO106" s="2"/>
      <c r="AR106" s="2"/>
      <c r="AU106" s="2"/>
      <c r="AX106" s="2"/>
      <c r="BA106" s="2"/>
      <c r="BG106" s="2"/>
      <c r="BJ106" s="2"/>
      <c r="BM106" s="2"/>
    </row>
    <row r="107" spans="5:65" x14ac:dyDescent="0.2">
      <c r="E107" s="2"/>
      <c r="H107" s="2"/>
      <c r="K107" s="2"/>
      <c r="N107" s="2"/>
      <c r="Q107" s="2"/>
      <c r="T107" s="2"/>
      <c r="W107" s="2"/>
      <c r="Z107" s="2"/>
      <c r="AC107" s="2"/>
      <c r="AF107" s="2"/>
      <c r="AI107" s="2"/>
      <c r="AL107" s="2"/>
      <c r="AO107" s="2"/>
      <c r="AR107" s="2"/>
      <c r="AU107" s="2"/>
      <c r="AX107" s="2"/>
      <c r="BA107" s="2"/>
      <c r="BG107" s="2"/>
      <c r="BJ107" s="2"/>
      <c r="BM107" s="2"/>
    </row>
    <row r="108" spans="5:65" x14ac:dyDescent="0.2">
      <c r="E108" s="2"/>
      <c r="H108" s="2"/>
      <c r="K108" s="2"/>
      <c r="N108" s="2"/>
      <c r="Q108" s="2"/>
      <c r="T108" s="2"/>
      <c r="W108" s="2"/>
      <c r="Z108" s="2"/>
      <c r="AC108" s="2"/>
      <c r="AF108" s="2"/>
      <c r="AI108" s="2"/>
      <c r="AL108" s="2"/>
      <c r="AO108" s="2"/>
      <c r="AR108" s="2"/>
      <c r="AU108" s="2"/>
      <c r="AX108" s="2"/>
      <c r="BA108" s="2"/>
      <c r="BG108" s="2"/>
      <c r="BJ108" s="2"/>
      <c r="BM108" s="2"/>
    </row>
    <row r="109" spans="5:65" x14ac:dyDescent="0.2">
      <c r="E109" s="2"/>
      <c r="H109" s="2"/>
      <c r="K109" s="2"/>
      <c r="N109" s="2"/>
      <c r="Q109" s="2"/>
      <c r="T109" s="2"/>
      <c r="W109" s="2"/>
      <c r="Z109" s="2"/>
      <c r="AC109" s="2"/>
      <c r="AF109" s="2"/>
      <c r="AI109" s="2"/>
      <c r="AL109" s="2"/>
      <c r="AO109" s="2"/>
      <c r="AR109" s="2"/>
      <c r="AU109" s="2"/>
      <c r="AX109" s="2"/>
      <c r="BA109" s="2"/>
      <c r="BG109" s="2"/>
      <c r="BJ109" s="2"/>
      <c r="BM109" s="2"/>
    </row>
    <row r="110" spans="5:65" x14ac:dyDescent="0.2">
      <c r="E110" s="2"/>
      <c r="H110" s="2"/>
      <c r="K110" s="2"/>
      <c r="N110" s="2"/>
      <c r="Q110" s="2"/>
      <c r="T110" s="2"/>
      <c r="W110" s="2"/>
      <c r="Z110" s="2"/>
      <c r="AC110" s="2"/>
      <c r="AF110" s="2"/>
      <c r="AI110" s="2"/>
      <c r="AL110" s="2"/>
      <c r="AO110" s="2"/>
      <c r="AR110" s="2"/>
      <c r="AU110" s="2"/>
      <c r="AX110" s="2"/>
      <c r="BA110" s="2"/>
      <c r="BG110" s="2"/>
      <c r="BJ110" s="2"/>
      <c r="BM110" s="2"/>
    </row>
    <row r="111" spans="5:65" x14ac:dyDescent="0.2">
      <c r="E111" s="2"/>
      <c r="H111" s="2"/>
      <c r="K111" s="2"/>
      <c r="N111" s="2"/>
      <c r="Q111" s="2"/>
      <c r="T111" s="2"/>
      <c r="W111" s="2"/>
      <c r="Z111" s="2"/>
      <c r="AC111" s="2"/>
      <c r="AF111" s="2"/>
      <c r="AI111" s="2"/>
      <c r="AL111" s="2"/>
      <c r="AO111" s="2"/>
      <c r="AR111" s="2"/>
      <c r="AU111" s="2"/>
      <c r="AX111" s="2"/>
      <c r="BA111" s="2"/>
      <c r="BG111" s="2"/>
      <c r="BJ111" s="2"/>
      <c r="BM111" s="2"/>
    </row>
    <row r="112" spans="5:65" x14ac:dyDescent="0.2">
      <c r="E112" s="2"/>
      <c r="H112" s="2"/>
      <c r="K112" s="2"/>
      <c r="N112" s="2"/>
      <c r="Q112" s="2"/>
      <c r="T112" s="2"/>
      <c r="W112" s="2"/>
      <c r="Z112" s="2"/>
      <c r="AC112" s="2"/>
      <c r="AF112" s="2"/>
      <c r="AI112" s="2"/>
      <c r="AL112" s="2"/>
      <c r="AO112" s="2"/>
      <c r="AR112" s="2"/>
      <c r="AU112" s="2"/>
      <c r="AX112" s="2"/>
      <c r="BA112" s="2"/>
      <c r="BG112" s="2"/>
      <c r="BJ112" s="2"/>
      <c r="BM112" s="2"/>
    </row>
    <row r="113" spans="5:65" x14ac:dyDescent="0.2">
      <c r="E113" s="2"/>
      <c r="H113" s="2"/>
      <c r="K113" s="2"/>
      <c r="N113" s="2"/>
      <c r="Q113" s="2"/>
      <c r="T113" s="2"/>
      <c r="W113" s="2"/>
      <c r="Z113" s="2"/>
      <c r="AC113" s="2"/>
      <c r="AF113" s="2"/>
      <c r="AI113" s="2"/>
      <c r="AL113" s="2"/>
      <c r="AO113" s="2"/>
      <c r="AR113" s="2"/>
      <c r="AU113" s="2"/>
      <c r="AX113" s="2"/>
      <c r="BA113" s="2"/>
      <c r="BG113" s="2"/>
      <c r="BJ113" s="2"/>
      <c r="BM113" s="2"/>
    </row>
    <row r="114" spans="5:65" x14ac:dyDescent="0.2">
      <c r="E114" s="2"/>
      <c r="H114" s="2"/>
      <c r="K114" s="2"/>
      <c r="N114" s="2"/>
      <c r="Q114" s="2"/>
      <c r="T114" s="2"/>
      <c r="W114" s="2"/>
      <c r="Z114" s="2"/>
      <c r="AC114" s="2"/>
      <c r="AF114" s="2"/>
      <c r="AI114" s="2"/>
      <c r="AL114" s="2"/>
      <c r="AO114" s="2"/>
      <c r="AR114" s="2"/>
      <c r="AU114" s="2"/>
      <c r="AX114" s="2"/>
      <c r="BA114" s="2"/>
      <c r="BG114" s="2"/>
      <c r="BJ114" s="2"/>
      <c r="BM114" s="2"/>
    </row>
    <row r="115" spans="5:65" x14ac:dyDescent="0.2">
      <c r="E115" s="2"/>
      <c r="H115" s="2"/>
      <c r="K115" s="2"/>
      <c r="N115" s="2"/>
      <c r="Q115" s="2"/>
      <c r="T115" s="2"/>
      <c r="W115" s="2"/>
      <c r="Z115" s="2"/>
      <c r="AC115" s="2"/>
      <c r="AF115" s="2"/>
      <c r="AI115" s="2"/>
      <c r="AL115" s="2"/>
      <c r="AO115" s="2"/>
      <c r="AR115" s="2"/>
      <c r="AU115" s="2"/>
      <c r="AX115" s="2"/>
      <c r="BA115" s="2"/>
      <c r="BG115" s="2"/>
      <c r="BJ115" s="2"/>
      <c r="BM115" s="2"/>
    </row>
    <row r="116" spans="5:65" x14ac:dyDescent="0.2">
      <c r="E116" s="2"/>
      <c r="H116" s="2"/>
      <c r="K116" s="2"/>
      <c r="N116" s="2"/>
      <c r="Q116" s="2"/>
      <c r="T116" s="2"/>
      <c r="W116" s="2"/>
      <c r="Z116" s="2"/>
      <c r="AC116" s="2"/>
      <c r="AF116" s="2"/>
      <c r="AI116" s="2"/>
      <c r="AL116" s="2"/>
      <c r="AO116" s="2"/>
      <c r="AR116" s="2"/>
      <c r="AU116" s="2"/>
      <c r="AX116" s="2"/>
      <c r="BA116" s="2"/>
      <c r="BG116" s="2"/>
      <c r="BJ116" s="2"/>
      <c r="BM116" s="2"/>
    </row>
    <row r="117" spans="5:65" x14ac:dyDescent="0.2">
      <c r="E117" s="2"/>
      <c r="H117" s="2"/>
      <c r="K117" s="2"/>
      <c r="N117" s="2"/>
      <c r="Q117" s="2"/>
      <c r="T117" s="2"/>
      <c r="W117" s="2"/>
      <c r="Z117" s="2"/>
      <c r="AC117" s="2"/>
      <c r="AF117" s="2"/>
      <c r="AI117" s="2"/>
      <c r="AL117" s="2"/>
      <c r="AO117" s="2"/>
      <c r="AR117" s="2"/>
      <c r="AU117" s="2"/>
      <c r="AX117" s="2"/>
      <c r="BA117" s="2"/>
      <c r="BG117" s="2"/>
      <c r="BJ117" s="2"/>
      <c r="BM117" s="2"/>
    </row>
    <row r="118" spans="5:65" x14ac:dyDescent="0.2">
      <c r="E118" s="2"/>
      <c r="H118" s="2"/>
      <c r="K118" s="2"/>
      <c r="N118" s="2"/>
      <c r="Q118" s="2"/>
      <c r="T118" s="2"/>
      <c r="W118" s="2"/>
      <c r="Z118" s="2"/>
      <c r="AC118" s="2"/>
      <c r="AF118" s="2"/>
      <c r="AI118" s="2"/>
      <c r="AL118" s="2"/>
      <c r="AO118" s="2"/>
      <c r="AR118" s="2"/>
      <c r="AU118" s="2"/>
      <c r="AX118" s="2"/>
      <c r="BA118" s="2"/>
      <c r="BG118" s="2"/>
      <c r="BJ118" s="2"/>
      <c r="BM118" s="2"/>
    </row>
    <row r="119" spans="5:65" x14ac:dyDescent="0.2">
      <c r="E119" s="2"/>
      <c r="H119" s="2"/>
      <c r="K119" s="2"/>
      <c r="N119" s="2"/>
      <c r="Q119" s="2"/>
      <c r="T119" s="2"/>
      <c r="W119" s="2"/>
      <c r="Z119" s="2"/>
      <c r="AC119" s="2"/>
      <c r="AF119" s="2"/>
      <c r="AI119" s="2"/>
      <c r="AL119" s="2"/>
      <c r="AO119" s="2"/>
      <c r="AR119" s="2"/>
      <c r="AU119" s="2"/>
      <c r="AX119" s="2"/>
      <c r="BA119" s="2"/>
      <c r="BG119" s="2"/>
      <c r="BJ119" s="2"/>
      <c r="BM119" s="2"/>
    </row>
    <row r="120" spans="5:65" x14ac:dyDescent="0.2">
      <c r="E120" s="2"/>
      <c r="H120" s="2"/>
      <c r="K120" s="2"/>
      <c r="N120" s="2"/>
      <c r="Q120" s="2"/>
      <c r="T120" s="2"/>
      <c r="W120" s="2"/>
      <c r="Z120" s="2"/>
      <c r="AC120" s="2"/>
      <c r="AF120" s="2"/>
      <c r="AI120" s="2"/>
      <c r="AL120" s="2"/>
      <c r="AO120" s="2"/>
      <c r="AR120" s="2"/>
      <c r="AU120" s="2"/>
      <c r="AX120" s="2"/>
      <c r="BA120" s="2"/>
      <c r="BG120" s="2"/>
      <c r="BJ120" s="2"/>
      <c r="BM120" s="2"/>
    </row>
    <row r="121" spans="5:65" x14ac:dyDescent="0.2">
      <c r="E121" s="2"/>
      <c r="H121" s="2"/>
      <c r="K121" s="2"/>
      <c r="N121" s="2"/>
      <c r="Q121" s="2"/>
      <c r="T121" s="2"/>
      <c r="W121" s="2"/>
      <c r="Z121" s="2"/>
      <c r="AC121" s="2"/>
      <c r="AF121" s="2"/>
      <c r="AI121" s="2"/>
      <c r="AL121" s="2"/>
      <c r="AO121" s="2"/>
      <c r="AR121" s="2"/>
      <c r="AU121" s="2"/>
      <c r="AX121" s="2"/>
      <c r="BA121" s="2"/>
      <c r="BG121" s="2"/>
      <c r="BJ121" s="2"/>
      <c r="BM121" s="2"/>
    </row>
    <row r="122" spans="5:65" x14ac:dyDescent="0.2">
      <c r="E122" s="2"/>
      <c r="H122" s="2"/>
      <c r="K122" s="2"/>
      <c r="N122" s="2"/>
      <c r="Q122" s="2"/>
      <c r="T122" s="2"/>
      <c r="W122" s="2"/>
      <c r="Z122" s="2"/>
      <c r="AC122" s="2"/>
      <c r="AF122" s="2"/>
      <c r="AI122" s="2"/>
      <c r="AL122" s="2"/>
      <c r="AO122" s="2"/>
      <c r="AR122" s="2"/>
      <c r="AU122" s="2"/>
      <c r="AX122" s="2"/>
      <c r="BA122" s="2"/>
      <c r="BG122" s="2"/>
      <c r="BJ122" s="2"/>
      <c r="BM122" s="2"/>
    </row>
    <row r="123" spans="5:65" x14ac:dyDescent="0.2">
      <c r="E123" s="2"/>
      <c r="H123" s="2"/>
      <c r="K123" s="2"/>
      <c r="N123" s="2"/>
      <c r="Q123" s="2"/>
      <c r="T123" s="2"/>
      <c r="W123" s="2"/>
      <c r="Z123" s="2"/>
      <c r="AC123" s="2"/>
      <c r="AF123" s="2"/>
      <c r="AI123" s="2"/>
      <c r="AL123" s="2"/>
      <c r="AO123" s="2"/>
      <c r="AR123" s="2"/>
      <c r="AU123" s="2"/>
      <c r="AX123" s="2"/>
      <c r="BA123" s="2"/>
      <c r="BG123" s="2"/>
      <c r="BJ123" s="2"/>
      <c r="BM123" s="2"/>
    </row>
    <row r="124" spans="5:65" x14ac:dyDescent="0.2">
      <c r="E124" s="2"/>
      <c r="H124" s="2"/>
      <c r="K124" s="2"/>
      <c r="N124" s="2"/>
      <c r="Q124" s="2"/>
      <c r="T124" s="2"/>
      <c r="W124" s="2"/>
      <c r="Z124" s="2"/>
      <c r="AC124" s="2"/>
      <c r="AF124" s="2"/>
      <c r="AI124" s="2"/>
      <c r="AL124" s="2"/>
      <c r="AO124" s="2"/>
      <c r="AR124" s="2"/>
      <c r="AU124" s="2"/>
      <c r="AX124" s="2"/>
      <c r="BA124" s="2"/>
      <c r="BG124" s="2"/>
      <c r="BJ124" s="2"/>
      <c r="BM124" s="2"/>
    </row>
    <row r="125" spans="5:65" x14ac:dyDescent="0.2">
      <c r="E125" s="2"/>
      <c r="H125" s="2"/>
      <c r="K125" s="2"/>
      <c r="N125" s="2"/>
      <c r="Q125" s="2"/>
      <c r="T125" s="2"/>
      <c r="W125" s="2"/>
      <c r="Z125" s="2"/>
      <c r="AC125" s="2"/>
      <c r="AF125" s="2"/>
      <c r="AI125" s="2"/>
      <c r="AL125" s="2"/>
      <c r="AO125" s="2"/>
      <c r="AR125" s="2"/>
      <c r="AU125" s="2"/>
      <c r="AX125" s="2"/>
      <c r="BA125" s="2"/>
      <c r="BG125" s="2"/>
      <c r="BJ125" s="2"/>
      <c r="BM125" s="2"/>
    </row>
    <row r="126" spans="5:65" x14ac:dyDescent="0.2">
      <c r="E126" s="2"/>
      <c r="H126" s="2"/>
      <c r="K126" s="2"/>
      <c r="N126" s="2"/>
      <c r="Q126" s="2"/>
      <c r="T126" s="2"/>
      <c r="W126" s="2"/>
      <c r="Z126" s="2"/>
      <c r="AC126" s="2"/>
      <c r="AF126" s="2"/>
      <c r="AI126" s="2"/>
      <c r="AL126" s="2"/>
      <c r="AO126" s="2"/>
      <c r="AR126" s="2"/>
      <c r="AU126" s="2"/>
      <c r="AX126" s="2"/>
      <c r="BA126" s="2"/>
      <c r="BG126" s="2"/>
      <c r="BJ126" s="2"/>
      <c r="BM126" s="2"/>
    </row>
    <row r="127" spans="5:65" x14ac:dyDescent="0.2">
      <c r="E127" s="2"/>
      <c r="H127" s="2"/>
      <c r="K127" s="2"/>
      <c r="N127" s="2"/>
      <c r="Q127" s="2"/>
      <c r="T127" s="2"/>
      <c r="W127" s="2"/>
      <c r="Z127" s="2"/>
      <c r="AC127" s="2"/>
      <c r="AF127" s="2"/>
      <c r="AI127" s="2"/>
      <c r="AL127" s="2"/>
      <c r="AO127" s="2"/>
      <c r="AR127" s="2"/>
      <c r="AU127" s="2"/>
      <c r="AX127" s="2"/>
      <c r="BA127" s="2"/>
      <c r="BG127" s="2"/>
      <c r="BJ127" s="2"/>
      <c r="BM127" s="2"/>
    </row>
    <row r="128" spans="5:65" x14ac:dyDescent="0.2">
      <c r="E128" s="2"/>
      <c r="H128" s="2"/>
      <c r="K128" s="2"/>
      <c r="N128" s="2"/>
      <c r="Q128" s="2"/>
      <c r="T128" s="2"/>
      <c r="W128" s="2"/>
      <c r="Z128" s="2"/>
      <c r="AC128" s="2"/>
      <c r="AF128" s="2"/>
      <c r="AI128" s="2"/>
      <c r="AL128" s="2"/>
      <c r="AO128" s="2"/>
      <c r="AR128" s="2"/>
      <c r="AU128" s="2"/>
      <c r="AX128" s="2"/>
      <c r="BA128" s="2"/>
      <c r="BG128" s="2"/>
      <c r="BJ128" s="2"/>
      <c r="BM128" s="2"/>
    </row>
    <row r="129" spans="5:65" x14ac:dyDescent="0.2">
      <c r="E129" s="2"/>
      <c r="H129" s="2"/>
      <c r="K129" s="2"/>
      <c r="N129" s="2"/>
      <c r="Q129" s="2"/>
      <c r="T129" s="2"/>
      <c r="W129" s="2"/>
      <c r="Z129" s="2"/>
      <c r="AC129" s="2"/>
      <c r="AF129" s="2"/>
      <c r="AI129" s="2"/>
      <c r="AL129" s="2"/>
      <c r="AO129" s="2"/>
      <c r="AR129" s="2"/>
      <c r="AU129" s="2"/>
      <c r="AX129" s="2"/>
      <c r="BA129" s="2"/>
      <c r="BG129" s="2"/>
      <c r="BJ129" s="2"/>
      <c r="BM129" s="2"/>
    </row>
    <row r="130" spans="5:65" x14ac:dyDescent="0.2">
      <c r="E130" s="2"/>
      <c r="H130" s="2"/>
      <c r="K130" s="2"/>
      <c r="N130" s="2"/>
      <c r="Q130" s="2"/>
      <c r="T130" s="2"/>
      <c r="W130" s="2"/>
      <c r="Z130" s="2"/>
      <c r="AC130" s="2"/>
      <c r="AF130" s="2"/>
      <c r="AI130" s="2"/>
      <c r="AL130" s="2"/>
      <c r="AO130" s="2"/>
      <c r="AR130" s="2"/>
      <c r="AU130" s="2"/>
      <c r="AX130" s="2"/>
      <c r="BA130" s="2"/>
      <c r="BG130" s="2"/>
      <c r="BJ130" s="2"/>
      <c r="BM130" s="2"/>
    </row>
    <row r="131" spans="5:65" x14ac:dyDescent="0.2">
      <c r="E131" s="2"/>
      <c r="H131" s="2"/>
      <c r="K131" s="2"/>
      <c r="N131" s="2"/>
      <c r="Q131" s="2"/>
      <c r="T131" s="2"/>
      <c r="W131" s="2"/>
      <c r="Z131" s="2"/>
      <c r="AC131" s="2"/>
      <c r="AF131" s="2"/>
      <c r="AI131" s="2"/>
      <c r="AL131" s="2"/>
      <c r="AO131" s="2"/>
      <c r="AR131" s="2"/>
      <c r="AU131" s="2"/>
      <c r="AX131" s="2"/>
      <c r="BA131" s="2"/>
      <c r="BG131" s="2"/>
      <c r="BJ131" s="2"/>
      <c r="BM131" s="2"/>
    </row>
    <row r="132" spans="5:65" x14ac:dyDescent="0.2">
      <c r="E132" s="2"/>
      <c r="H132" s="2"/>
      <c r="K132" s="2"/>
      <c r="N132" s="2"/>
      <c r="Q132" s="2"/>
      <c r="T132" s="2"/>
      <c r="W132" s="2"/>
      <c r="Z132" s="2"/>
      <c r="AC132" s="2"/>
      <c r="AF132" s="2"/>
      <c r="AI132" s="2"/>
      <c r="AL132" s="2"/>
      <c r="AO132" s="2"/>
      <c r="AR132" s="2"/>
      <c r="AU132" s="2"/>
      <c r="AX132" s="2"/>
      <c r="BA132" s="2"/>
      <c r="BG132" s="2"/>
      <c r="BJ132" s="2"/>
      <c r="BM132" s="2"/>
    </row>
    <row r="133" spans="5:65" x14ac:dyDescent="0.2">
      <c r="E133" s="2"/>
      <c r="H133" s="2"/>
      <c r="K133" s="2"/>
      <c r="N133" s="2"/>
      <c r="Q133" s="2"/>
      <c r="T133" s="2"/>
      <c r="W133" s="2"/>
      <c r="Z133" s="2"/>
      <c r="AC133" s="2"/>
      <c r="AF133" s="2"/>
      <c r="AI133" s="2"/>
      <c r="AL133" s="2"/>
      <c r="AO133" s="2"/>
      <c r="AR133" s="2"/>
      <c r="AU133" s="2"/>
      <c r="AX133" s="2"/>
      <c r="BA133" s="2"/>
      <c r="BG133" s="2"/>
      <c r="BJ133" s="2"/>
      <c r="BM133" s="2"/>
    </row>
    <row r="134" spans="5:65" x14ac:dyDescent="0.2">
      <c r="E134" s="2"/>
      <c r="H134" s="2"/>
      <c r="K134" s="2"/>
      <c r="N134" s="2"/>
      <c r="Q134" s="2"/>
      <c r="T134" s="2"/>
      <c r="W134" s="2"/>
      <c r="Z134" s="2"/>
      <c r="AC134" s="2"/>
      <c r="AF134" s="2"/>
      <c r="AI134" s="2"/>
      <c r="AL134" s="2"/>
      <c r="AO134" s="2"/>
      <c r="AR134" s="2"/>
      <c r="AU134" s="2"/>
      <c r="AX134" s="2"/>
      <c r="BA134" s="2"/>
      <c r="BG134" s="2"/>
      <c r="BJ134" s="2"/>
      <c r="BM134" s="2"/>
    </row>
    <row r="135" spans="5:65" x14ac:dyDescent="0.2">
      <c r="E135" s="2"/>
      <c r="H135" s="2"/>
      <c r="K135" s="2"/>
      <c r="N135" s="2"/>
      <c r="Q135" s="2"/>
      <c r="T135" s="2"/>
      <c r="W135" s="2"/>
      <c r="Z135" s="2"/>
      <c r="AC135" s="2"/>
      <c r="AF135" s="2"/>
      <c r="AI135" s="2"/>
      <c r="AL135" s="2"/>
      <c r="AO135" s="2"/>
      <c r="AR135" s="2"/>
      <c r="AU135" s="2"/>
      <c r="AX135" s="2"/>
      <c r="BA135" s="2"/>
      <c r="BG135" s="2"/>
      <c r="BJ135" s="2"/>
      <c r="BM135" s="2"/>
    </row>
    <row r="136" spans="5:65" x14ac:dyDescent="0.2">
      <c r="E136" s="2"/>
      <c r="H136" s="2"/>
      <c r="K136" s="2"/>
      <c r="N136" s="2"/>
      <c r="Q136" s="2"/>
      <c r="T136" s="2"/>
      <c r="W136" s="2"/>
      <c r="Z136" s="2"/>
      <c r="AC136" s="2"/>
      <c r="AF136" s="2"/>
      <c r="AI136" s="2"/>
      <c r="AL136" s="2"/>
      <c r="AO136" s="2"/>
      <c r="AR136" s="2"/>
      <c r="AU136" s="2"/>
      <c r="AX136" s="2"/>
      <c r="BA136" s="2"/>
      <c r="BG136" s="2"/>
      <c r="BJ136" s="2"/>
      <c r="BM136" s="2"/>
    </row>
    <row r="137" spans="5:65" x14ac:dyDescent="0.2">
      <c r="E137" s="2"/>
      <c r="H137" s="2"/>
      <c r="K137" s="2"/>
      <c r="N137" s="2"/>
      <c r="Q137" s="2"/>
      <c r="T137" s="2"/>
      <c r="W137" s="2"/>
      <c r="Z137" s="2"/>
      <c r="AC137" s="2"/>
      <c r="AF137" s="2"/>
      <c r="AI137" s="2"/>
      <c r="AL137" s="2"/>
      <c r="AO137" s="2"/>
      <c r="AR137" s="2"/>
      <c r="AU137" s="2"/>
      <c r="AX137" s="2"/>
      <c r="BA137" s="2"/>
      <c r="BG137" s="2"/>
      <c r="BJ137" s="2"/>
      <c r="BM137" s="2"/>
    </row>
    <row r="138" spans="5:65" x14ac:dyDescent="0.2">
      <c r="E138" s="2"/>
      <c r="H138" s="2"/>
      <c r="K138" s="2"/>
      <c r="N138" s="2"/>
      <c r="Q138" s="2"/>
      <c r="T138" s="2"/>
      <c r="W138" s="2"/>
      <c r="Z138" s="2"/>
      <c r="AC138" s="2"/>
      <c r="AF138" s="2"/>
      <c r="AI138" s="2"/>
      <c r="AL138" s="2"/>
      <c r="AO138" s="2"/>
      <c r="AR138" s="2"/>
      <c r="AU138" s="2"/>
      <c r="AX138" s="2"/>
      <c r="BA138" s="2"/>
      <c r="BG138" s="2"/>
      <c r="BJ138" s="2"/>
      <c r="BM138" s="2"/>
    </row>
    <row r="139" spans="5:65" x14ac:dyDescent="0.2">
      <c r="E139" s="2"/>
      <c r="H139" s="2"/>
      <c r="K139" s="2"/>
      <c r="N139" s="2"/>
      <c r="Q139" s="2"/>
      <c r="T139" s="2"/>
      <c r="W139" s="2"/>
      <c r="Z139" s="2"/>
      <c r="AC139" s="2"/>
      <c r="AF139" s="2"/>
      <c r="AI139" s="2"/>
      <c r="AL139" s="2"/>
      <c r="AO139" s="2"/>
      <c r="AR139" s="2"/>
      <c r="AU139" s="2"/>
      <c r="AX139" s="2"/>
      <c r="BA139" s="2"/>
      <c r="BG139" s="2"/>
      <c r="BJ139" s="2"/>
      <c r="BM139" s="2"/>
    </row>
    <row r="140" spans="5:65" x14ac:dyDescent="0.2">
      <c r="E140" s="2"/>
      <c r="H140" s="2"/>
      <c r="K140" s="2"/>
      <c r="N140" s="2"/>
      <c r="Q140" s="2"/>
      <c r="T140" s="2"/>
      <c r="W140" s="2"/>
      <c r="Z140" s="2"/>
      <c r="AC140" s="2"/>
      <c r="AF140" s="2"/>
      <c r="AI140" s="2"/>
      <c r="AL140" s="2"/>
      <c r="AO140" s="2"/>
      <c r="AR140" s="2"/>
      <c r="AU140" s="2"/>
      <c r="AX140" s="2"/>
      <c r="BA140" s="2"/>
      <c r="BG140" s="2"/>
      <c r="BJ140" s="2"/>
      <c r="BM140" s="2"/>
    </row>
    <row r="141" spans="5:65" x14ac:dyDescent="0.2">
      <c r="E141" s="2"/>
      <c r="H141" s="2"/>
      <c r="K141" s="2"/>
      <c r="N141" s="2"/>
      <c r="Q141" s="2"/>
      <c r="T141" s="2"/>
      <c r="W141" s="2"/>
      <c r="Z141" s="2"/>
      <c r="AC141" s="2"/>
      <c r="AF141" s="2"/>
      <c r="AI141" s="2"/>
      <c r="AL141" s="2"/>
      <c r="AO141" s="2"/>
      <c r="AR141" s="2"/>
      <c r="AU141" s="2"/>
      <c r="AX141" s="2"/>
      <c r="BA141" s="2"/>
      <c r="BG141" s="2"/>
      <c r="BJ141" s="2"/>
      <c r="BM141" s="2"/>
    </row>
    <row r="142" spans="5:65" x14ac:dyDescent="0.2">
      <c r="E142" s="2"/>
      <c r="H142" s="2"/>
      <c r="K142" s="2"/>
      <c r="N142" s="2"/>
      <c r="Q142" s="2"/>
      <c r="T142" s="2"/>
      <c r="W142" s="2"/>
      <c r="Z142" s="2"/>
      <c r="AC142" s="2"/>
      <c r="AF142" s="2"/>
      <c r="AI142" s="2"/>
      <c r="AL142" s="2"/>
      <c r="AO142" s="2"/>
      <c r="AR142" s="2"/>
      <c r="AU142" s="2"/>
      <c r="AX142" s="2"/>
      <c r="BA142" s="2"/>
      <c r="BG142" s="2"/>
      <c r="BJ142" s="2"/>
      <c r="BM142" s="2"/>
    </row>
    <row r="143" spans="5:65" x14ac:dyDescent="0.2">
      <c r="E143" s="2"/>
      <c r="H143" s="2"/>
      <c r="K143" s="2"/>
      <c r="N143" s="2"/>
      <c r="Q143" s="2"/>
      <c r="T143" s="2"/>
      <c r="W143" s="2"/>
      <c r="Z143" s="2"/>
      <c r="AC143" s="2"/>
      <c r="AF143" s="2"/>
      <c r="AI143" s="2"/>
      <c r="AL143" s="2"/>
      <c r="AO143" s="2"/>
      <c r="AR143" s="2"/>
      <c r="AU143" s="2"/>
      <c r="AX143" s="2"/>
      <c r="BA143" s="2"/>
      <c r="BG143" s="2"/>
      <c r="BJ143" s="2"/>
      <c r="BM143" s="2"/>
    </row>
    <row r="144" spans="5:65" x14ac:dyDescent="0.2">
      <c r="E144" s="2"/>
      <c r="H144" s="2"/>
      <c r="K144" s="2"/>
      <c r="N144" s="2"/>
      <c r="Q144" s="2"/>
      <c r="T144" s="2"/>
      <c r="W144" s="2"/>
      <c r="Z144" s="2"/>
      <c r="AC144" s="2"/>
      <c r="AF144" s="2"/>
      <c r="AI144" s="2"/>
      <c r="AL144" s="2"/>
      <c r="AO144" s="2"/>
      <c r="AR144" s="2"/>
      <c r="AU144" s="2"/>
      <c r="AX144" s="2"/>
      <c r="BA144" s="2"/>
      <c r="BG144" s="2"/>
      <c r="BJ144" s="2"/>
      <c r="BM144" s="2"/>
    </row>
    <row r="145" spans="5:65" x14ac:dyDescent="0.2">
      <c r="E145" s="2"/>
      <c r="H145" s="2"/>
      <c r="K145" s="2"/>
      <c r="N145" s="2"/>
      <c r="Q145" s="2"/>
      <c r="T145" s="2"/>
      <c r="W145" s="2"/>
      <c r="Z145" s="2"/>
      <c r="AC145" s="2"/>
      <c r="AF145" s="2"/>
      <c r="AI145" s="2"/>
      <c r="AL145" s="2"/>
      <c r="AO145" s="2"/>
      <c r="AR145" s="2"/>
      <c r="AU145" s="2"/>
      <c r="AX145" s="2"/>
      <c r="BA145" s="2"/>
      <c r="BG145" s="2"/>
      <c r="BJ145" s="2"/>
      <c r="BM145" s="2"/>
    </row>
    <row r="146" spans="5:65" x14ac:dyDescent="0.2">
      <c r="E146" s="2"/>
      <c r="H146" s="2"/>
      <c r="K146" s="2"/>
      <c r="N146" s="2"/>
      <c r="Q146" s="2"/>
      <c r="T146" s="2"/>
      <c r="W146" s="2"/>
      <c r="Z146" s="2"/>
      <c r="AC146" s="2"/>
      <c r="AF146" s="2"/>
      <c r="AI146" s="2"/>
      <c r="AL146" s="2"/>
      <c r="AO146" s="2"/>
      <c r="AR146" s="2"/>
      <c r="AU146" s="2"/>
      <c r="AX146" s="2"/>
      <c r="BA146" s="2"/>
      <c r="BG146" s="2"/>
      <c r="BJ146" s="2"/>
      <c r="BM146" s="2"/>
    </row>
  </sheetData>
  <mergeCells count="85"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I2:J2"/>
    <mergeCell ref="L2:M2"/>
    <mergeCell ref="O2:P2"/>
    <mergeCell ref="R2:S2"/>
    <mergeCell ref="A1:B1"/>
    <mergeCell ref="C2:D2"/>
    <mergeCell ref="F2:G2"/>
    <mergeCell ref="C1:E1"/>
    <mergeCell ref="F1:H1"/>
    <mergeCell ref="I1:K1"/>
    <mergeCell ref="L1:N1"/>
    <mergeCell ref="O1:Q1"/>
    <mergeCell ref="R1:T1"/>
    <mergeCell ref="AG2:AH2"/>
    <mergeCell ref="AJ2:AK2"/>
    <mergeCell ref="U2:V2"/>
    <mergeCell ref="X2:Y2"/>
    <mergeCell ref="AA2:AB2"/>
    <mergeCell ref="AD2:AE2"/>
    <mergeCell ref="C4:D4"/>
    <mergeCell ref="F4:G4"/>
    <mergeCell ref="AJ3:AK3"/>
    <mergeCell ref="AM3:AN3"/>
    <mergeCell ref="AM2:AN2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I4:J4"/>
    <mergeCell ref="L4:M4"/>
    <mergeCell ref="O4:P4"/>
    <mergeCell ref="R4:S4"/>
    <mergeCell ref="U4:V4"/>
    <mergeCell ref="AJ4:AK4"/>
    <mergeCell ref="AM4:AN4"/>
    <mergeCell ref="X4:Y4"/>
    <mergeCell ref="AA4:AB4"/>
    <mergeCell ref="AD4:AE4"/>
    <mergeCell ref="AG4:AH4"/>
    <mergeCell ref="AP2:AQ2"/>
    <mergeCell ref="AS2:AT2"/>
    <mergeCell ref="AV2:AW2"/>
    <mergeCell ref="AY2:AZ2"/>
    <mergeCell ref="BB2:BC2"/>
    <mergeCell ref="AP3:AQ3"/>
    <mergeCell ref="AS3:AT3"/>
    <mergeCell ref="AV3:AW3"/>
    <mergeCell ref="AY3:AZ3"/>
    <mergeCell ref="BB3:BC3"/>
    <mergeCell ref="AP4:AQ4"/>
    <mergeCell ref="AS4:AT4"/>
    <mergeCell ref="AV4:AW4"/>
    <mergeCell ref="AY4:AZ4"/>
    <mergeCell ref="BB4:BC4"/>
    <mergeCell ref="BE4:BF4"/>
    <mergeCell ref="BH2:BI2"/>
    <mergeCell ref="BK2:BL2"/>
    <mergeCell ref="BH3:BI3"/>
    <mergeCell ref="BK3:BL3"/>
    <mergeCell ref="BH4:BI4"/>
    <mergeCell ref="BK4:BL4"/>
    <mergeCell ref="BE2:BF2"/>
    <mergeCell ref="BE3:B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PN-1</vt:lpstr>
      <vt:lpstr>PN-2</vt:lpstr>
      <vt:lpstr>PN-3</vt:lpstr>
      <vt:lpstr>PNV-1</vt:lpstr>
      <vt:lpstr>PNV-2</vt:lpstr>
      <vt:lpstr>PNV-3</vt:lpstr>
      <vt:lpstr>PS-1</vt:lpstr>
      <vt:lpstr>PS-2</vt:lpstr>
      <vt:lpstr>PS-3</vt:lpstr>
      <vt:lpstr>SP-1</vt:lpstr>
      <vt:lpstr>SP-2</vt:lpstr>
      <vt:lpstr>SP-3</vt:lpstr>
      <vt:lpstr>SPV-1</vt:lpstr>
      <vt:lpstr>SPV-2</vt:lpstr>
      <vt:lpstr>SPV-3</vt:lpstr>
      <vt:lpstr>FA-1</vt:lpstr>
      <vt:lpstr>FA-2</vt:lpstr>
      <vt:lpstr>FA-3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2026-08-06T14:17:47Z</dcterms:modified>
</cp:coreProperties>
</file>