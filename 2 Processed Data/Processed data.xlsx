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2_Processed_Data\"/>
    </mc:Choice>
  </mc:AlternateContent>
  <xr:revisionPtr revIDLastSave="0" documentId="13_ncr:1_{6410BFBD-2476-4D4D-A016-9D28E93123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rphological identification" sheetId="1" r:id="rId1"/>
    <sheet name="Total boimass (μg)" sheetId="5" r:id="rId2"/>
    <sheet name="Average mass (μg)" sheetId="2" r:id="rId3"/>
    <sheet name="eDNA metabarcoding" sheetId="3" r:id="rId4"/>
    <sheet name="Nematode-extracted DN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4" i="4" l="1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D45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2" i="5"/>
</calcChain>
</file>

<file path=xl/sharedStrings.xml><?xml version="1.0" encoding="utf-8"?>
<sst xmlns="http://schemas.openxmlformats.org/spreadsheetml/2006/main" count="755" uniqueCount="144">
  <si>
    <t>PN-1</t>
  </si>
  <si>
    <t>PN-2</t>
  </si>
  <si>
    <t>PN-3</t>
  </si>
  <si>
    <t>PNV-1</t>
  </si>
  <si>
    <t>PNV-2</t>
  </si>
  <si>
    <t>PNV-3</t>
  </si>
  <si>
    <t>PS-1</t>
  </si>
  <si>
    <t>PS-2</t>
  </si>
  <si>
    <t>PS-3</t>
  </si>
  <si>
    <t>SP-1</t>
  </si>
  <si>
    <t>SP-2</t>
  </si>
  <si>
    <t>SP-3</t>
  </si>
  <si>
    <t>SPV-1</t>
  </si>
  <si>
    <t>SPV-2</t>
  </si>
  <si>
    <t>SPV-3</t>
  </si>
  <si>
    <t>FA-1</t>
  </si>
  <si>
    <t>FA-2</t>
  </si>
  <si>
    <t>FA-3</t>
  </si>
  <si>
    <t>Rhabditidae</t>
  </si>
  <si>
    <t>Caenorhabditis</t>
  </si>
  <si>
    <t>bacterial feeding</t>
  </si>
  <si>
    <t>Rhabditis</t>
  </si>
  <si>
    <t>Panagrolaimidae</t>
  </si>
  <si>
    <t>Panagrellus</t>
  </si>
  <si>
    <t>Rhabditophanes</t>
  </si>
  <si>
    <t>Cephalobidae</t>
  </si>
  <si>
    <t>Acrobeles</t>
  </si>
  <si>
    <t>Acrobeloides</t>
  </si>
  <si>
    <t>Chiloplacus</t>
  </si>
  <si>
    <t>Plectidae</t>
  </si>
  <si>
    <t>Anaplectus</t>
  </si>
  <si>
    <t>Plectus</t>
  </si>
  <si>
    <t>Wilsonema</t>
  </si>
  <si>
    <t>Monhysteridae</t>
  </si>
  <si>
    <t>Monhystera</t>
  </si>
  <si>
    <t>Cephalobus</t>
  </si>
  <si>
    <t>Eucephalobus</t>
  </si>
  <si>
    <t>Alaimidae</t>
  </si>
  <si>
    <t>Alaimus</t>
  </si>
  <si>
    <t>Aphelenchoididae</t>
  </si>
  <si>
    <t>Aphelenchoides</t>
  </si>
  <si>
    <t>fungal hyphal feeding</t>
  </si>
  <si>
    <t>Aphelenchidae</t>
  </si>
  <si>
    <t>Aphelenchus</t>
  </si>
  <si>
    <t>Tylenchidae</t>
  </si>
  <si>
    <t>Filenchus</t>
  </si>
  <si>
    <t>Diphtherophoridae</t>
  </si>
  <si>
    <t>Diphtherophora</t>
  </si>
  <si>
    <t>Leptonchidae</t>
  </si>
  <si>
    <t>Tylencholaimus</t>
  </si>
  <si>
    <t>Leptonchus</t>
  </si>
  <si>
    <t>Aglenchus</t>
  </si>
  <si>
    <t>plant feeding</t>
  </si>
  <si>
    <t>Boleodorus</t>
  </si>
  <si>
    <t>Tylodoridae</t>
  </si>
  <si>
    <t>Tylenchus</t>
  </si>
  <si>
    <t>Coslenchus</t>
  </si>
  <si>
    <t>Psilenchus</t>
  </si>
  <si>
    <t>Hoplolaimidae</t>
  </si>
  <si>
    <t>Helicotylenchus</t>
  </si>
  <si>
    <t>Heteroderidae</t>
  </si>
  <si>
    <t>Heterodera</t>
  </si>
  <si>
    <t>Pratylenchidae</t>
  </si>
  <si>
    <t>Hirschmanniella</t>
  </si>
  <si>
    <t>Meloidogyne</t>
  </si>
  <si>
    <t>Pratylenchus</t>
  </si>
  <si>
    <t>Rotylenchus</t>
  </si>
  <si>
    <t>Dolichodoridae</t>
  </si>
  <si>
    <t>Tylenchorhynchus</t>
  </si>
  <si>
    <t>Criconematidae</t>
  </si>
  <si>
    <t>Criconemoides</t>
  </si>
  <si>
    <t>Tripylidae</t>
  </si>
  <si>
    <t>Tripyla</t>
  </si>
  <si>
    <t>Tobrilidae</t>
  </si>
  <si>
    <t>Tobrilus</t>
  </si>
  <si>
    <t>Mononchidae</t>
  </si>
  <si>
    <t>Mononchus</t>
  </si>
  <si>
    <t>predation</t>
  </si>
  <si>
    <t>Qudsianematidae</t>
  </si>
  <si>
    <t>Labronema</t>
  </si>
  <si>
    <t>Nygolaimidae</t>
  </si>
  <si>
    <t>Nygolaimus</t>
  </si>
  <si>
    <t>omnivory</t>
  </si>
  <si>
    <t>Dorylaimidae</t>
  </si>
  <si>
    <t>Eudorylaimus</t>
  </si>
  <si>
    <t>Mesodorylaimus</t>
  </si>
  <si>
    <t>Prodorylaimus</t>
  </si>
  <si>
    <t>Aporcelaimidae</t>
  </si>
  <si>
    <t>Aporcelaimus</t>
  </si>
  <si>
    <t>Family</t>
    <phoneticPr fontId="1" type="noConversion"/>
  </si>
  <si>
    <t>Genus</t>
    <phoneticPr fontId="1" type="noConversion"/>
  </si>
  <si>
    <t>Total</t>
    <phoneticPr fontId="1" type="noConversion"/>
  </si>
  <si>
    <t>Prismatolaimus</t>
  </si>
  <si>
    <t>Trophic group</t>
    <phoneticPr fontId="1" type="noConversion"/>
  </si>
  <si>
    <t>Prismatolaimus</t>
    <phoneticPr fontId="1" type="noConversion"/>
  </si>
  <si>
    <t>Achromadoridae</t>
  </si>
  <si>
    <t>Achromadora</t>
  </si>
  <si>
    <t>Anguinidae</t>
  </si>
  <si>
    <t>Ditylenchus</t>
  </si>
  <si>
    <t>Pseudhalenchus</t>
  </si>
  <si>
    <t>Paraphelenchus</t>
  </si>
  <si>
    <t>Laimaphelenchus</t>
  </si>
  <si>
    <t>Schistonchus</t>
  </si>
  <si>
    <t>Bastianiidae</t>
  </si>
  <si>
    <t>Dintheria</t>
  </si>
  <si>
    <t>Odontolaimus</t>
  </si>
  <si>
    <t>Hemicycliophora</t>
  </si>
  <si>
    <t>Desmodoridae</t>
  </si>
  <si>
    <t>Prodesmodora</t>
  </si>
  <si>
    <t>marine nematodes</t>
  </si>
  <si>
    <t>Diplogastridae</t>
  </si>
  <si>
    <t>Mesocriconema</t>
  </si>
  <si>
    <t>Haliplectidae</t>
  </si>
  <si>
    <t>Haliplectus</t>
  </si>
  <si>
    <t>Eumonhystera</t>
  </si>
  <si>
    <t>Geomonhystera</t>
  </si>
  <si>
    <t>Theristus</t>
  </si>
  <si>
    <t>Clarkus</t>
  </si>
  <si>
    <t>Neodiplogastridae</t>
  </si>
  <si>
    <t>Pristionchus</t>
  </si>
  <si>
    <t>Nordiidae</t>
  </si>
  <si>
    <t>Enchodelus</t>
  </si>
  <si>
    <t>Panagrolaimus</t>
  </si>
  <si>
    <t xml:space="preserve">Rhabditidae </t>
  </si>
  <si>
    <t>Distolabrellus</t>
  </si>
  <si>
    <t>Oscheius</t>
  </si>
  <si>
    <t>Rotylenchulidae</t>
  </si>
  <si>
    <t>Rotylenchulus</t>
  </si>
  <si>
    <t>Swangeriidae</t>
  </si>
  <si>
    <t>Oxydirus</t>
  </si>
  <si>
    <t>Basiria</t>
  </si>
  <si>
    <t>Miculenchus</t>
  </si>
  <si>
    <t>Ottolenchus</t>
  </si>
  <si>
    <t>Haliplectidae</t>
    <phoneticPr fontId="1" type="noConversion"/>
  </si>
  <si>
    <t>Unclassified</t>
    <phoneticPr fontId="1" type="noConversion"/>
  </si>
  <si>
    <t>Bursaphelenchus</t>
  </si>
  <si>
    <t>Mylonchulidae</t>
  </si>
  <si>
    <t>Mylonchulus</t>
  </si>
  <si>
    <t>Tripylina</t>
  </si>
  <si>
    <t>Eumonhystera</t>
    <phoneticPr fontId="1" type="noConversion"/>
  </si>
  <si>
    <t>Genus</t>
  </si>
  <si>
    <t>Trophic group</t>
  </si>
  <si>
    <t>predation</t>
    <phoneticPr fontId="1" type="noConversion"/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</si>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</sst>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2" fillId="0" borderId="0" xfId="1" applyFill="1" applyAlignment="1">
      <alignment horizontal="center" vertical="center"/>
    </xf>
    <xf numFmtId="0" fontId="0" fillId="0" borderId="0" xfId="0" applyFill="1"/>
  </cellXfs>
  <cellStyles count="2">
    <cellStyle name="常规" xfId="0" builtinId="0"/>
    <cellStyle name="常规 2" xfId="1" xr:uid="{4701CCFC-0CA8-46E8-B8DA-5A6C9ACE6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zoomScale="115" zoomScaleNormal="115" workbookViewId="0">
      <selection activeCell="C47" sqref="C47"/>
    </sheetView>
  </sheetViews>
  <sheetFormatPr defaultRowHeight="14.25" x14ac:dyDescent="0.2"/>
  <cols>
    <col min="1" max="1" width="17" customWidth="1"/>
    <col min="2" max="2" width="16.5" customWidth="1"/>
    <col min="3" max="3" width="20" customWidth="1"/>
  </cols>
  <sheetData>
    <row r="1" spans="1:22" x14ac:dyDescent="0.2">
      <c r="A1" t="s">
        <v>140</v>
      </c>
      <c r="B1" t="s">
        <v>89</v>
      </c>
      <c r="C1" t="s">
        <v>141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91</v>
      </c>
    </row>
    <row r="2" spans="1:22" x14ac:dyDescent="0.2">
      <c r="A2" t="s">
        <v>38</v>
      </c>
      <c r="B2" t="s">
        <v>37</v>
      </c>
      <c r="C2" t="s">
        <v>20</v>
      </c>
      <c r="D2">
        <v>0</v>
      </c>
      <c r="E2">
        <v>0</v>
      </c>
      <c r="F2">
        <v>1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9</v>
      </c>
    </row>
    <row r="3" spans="1:22" x14ac:dyDescent="0.2">
      <c r="A3" t="s">
        <v>43</v>
      </c>
      <c r="B3" t="s">
        <v>42</v>
      </c>
      <c r="C3" t="s">
        <v>41</v>
      </c>
      <c r="D3">
        <v>9</v>
      </c>
      <c r="E3">
        <v>4</v>
      </c>
      <c r="F3">
        <v>3</v>
      </c>
      <c r="G3">
        <v>16</v>
      </c>
      <c r="H3">
        <v>6</v>
      </c>
      <c r="I3">
        <v>6</v>
      </c>
      <c r="J3">
        <v>0</v>
      </c>
      <c r="K3">
        <v>0</v>
      </c>
      <c r="L3">
        <v>2</v>
      </c>
      <c r="M3">
        <v>5</v>
      </c>
      <c r="N3">
        <v>3</v>
      </c>
      <c r="O3">
        <v>4</v>
      </c>
      <c r="P3">
        <v>13</v>
      </c>
      <c r="Q3">
        <v>2</v>
      </c>
      <c r="R3">
        <v>4</v>
      </c>
      <c r="S3">
        <v>9</v>
      </c>
      <c r="T3">
        <v>9</v>
      </c>
      <c r="U3">
        <v>1</v>
      </c>
      <c r="V3">
        <v>96</v>
      </c>
    </row>
    <row r="4" spans="1:22" x14ac:dyDescent="0.2">
      <c r="A4" t="s">
        <v>40</v>
      </c>
      <c r="B4" t="s">
        <v>39</v>
      </c>
      <c r="C4" t="s">
        <v>41</v>
      </c>
      <c r="D4">
        <v>14</v>
      </c>
      <c r="E4">
        <v>27</v>
      </c>
      <c r="F4">
        <v>15</v>
      </c>
      <c r="G4">
        <v>22</v>
      </c>
      <c r="H4">
        <v>19</v>
      </c>
      <c r="I4">
        <v>19</v>
      </c>
      <c r="J4">
        <v>2</v>
      </c>
      <c r="K4">
        <v>3</v>
      </c>
      <c r="L4">
        <v>43</v>
      </c>
      <c r="M4">
        <v>21</v>
      </c>
      <c r="N4">
        <v>10</v>
      </c>
      <c r="O4">
        <v>23</v>
      </c>
      <c r="P4">
        <v>11</v>
      </c>
      <c r="Q4">
        <v>18</v>
      </c>
      <c r="R4">
        <v>21</v>
      </c>
      <c r="S4">
        <v>10</v>
      </c>
      <c r="T4">
        <v>6</v>
      </c>
      <c r="U4">
        <v>3</v>
      </c>
      <c r="V4">
        <v>287</v>
      </c>
    </row>
    <row r="5" spans="1:22" x14ac:dyDescent="0.2">
      <c r="A5" t="s">
        <v>88</v>
      </c>
      <c r="B5" t="s">
        <v>87</v>
      </c>
      <c r="C5" t="s">
        <v>82</v>
      </c>
      <c r="D5">
        <v>2</v>
      </c>
      <c r="E5">
        <v>4</v>
      </c>
      <c r="F5">
        <v>1</v>
      </c>
      <c r="G5">
        <v>6</v>
      </c>
      <c r="H5">
        <v>1</v>
      </c>
      <c r="I5">
        <v>11</v>
      </c>
      <c r="J5">
        <v>5</v>
      </c>
      <c r="K5">
        <v>4</v>
      </c>
      <c r="L5">
        <v>1</v>
      </c>
      <c r="M5">
        <v>0</v>
      </c>
      <c r="N5">
        <v>0</v>
      </c>
      <c r="O5">
        <v>5</v>
      </c>
      <c r="P5">
        <v>3</v>
      </c>
      <c r="Q5">
        <v>2</v>
      </c>
      <c r="R5">
        <v>4</v>
      </c>
      <c r="S5">
        <v>1</v>
      </c>
      <c r="T5">
        <v>0</v>
      </c>
      <c r="U5">
        <v>4</v>
      </c>
      <c r="V5">
        <v>54</v>
      </c>
    </row>
    <row r="6" spans="1:22" x14ac:dyDescent="0.2">
      <c r="A6" t="s">
        <v>26</v>
      </c>
      <c r="B6" t="s">
        <v>25</v>
      </c>
      <c r="C6" t="s">
        <v>20</v>
      </c>
      <c r="D6">
        <v>0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</row>
    <row r="7" spans="1:22" x14ac:dyDescent="0.2">
      <c r="A7" t="s">
        <v>27</v>
      </c>
      <c r="B7" t="s">
        <v>25</v>
      </c>
      <c r="C7" t="s">
        <v>20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7</v>
      </c>
    </row>
    <row r="8" spans="1:22" x14ac:dyDescent="0.2">
      <c r="A8" t="s">
        <v>35</v>
      </c>
      <c r="B8" t="s">
        <v>25</v>
      </c>
      <c r="C8" t="s">
        <v>20</v>
      </c>
      <c r="D8">
        <v>6</v>
      </c>
      <c r="E8">
        <v>22</v>
      </c>
      <c r="F8">
        <v>18</v>
      </c>
      <c r="G8">
        <v>134</v>
      </c>
      <c r="H8">
        <v>67</v>
      </c>
      <c r="I8">
        <v>41</v>
      </c>
      <c r="J8">
        <v>6</v>
      </c>
      <c r="K8">
        <v>18</v>
      </c>
      <c r="L8">
        <v>44</v>
      </c>
      <c r="M8">
        <v>38</v>
      </c>
      <c r="N8">
        <v>32</v>
      </c>
      <c r="O8">
        <v>29</v>
      </c>
      <c r="P8">
        <v>52</v>
      </c>
      <c r="Q8">
        <v>48</v>
      </c>
      <c r="R8">
        <v>119</v>
      </c>
      <c r="S8">
        <v>10</v>
      </c>
      <c r="T8">
        <v>32</v>
      </c>
      <c r="U8">
        <v>8</v>
      </c>
      <c r="V8">
        <v>724</v>
      </c>
    </row>
    <row r="9" spans="1:22" x14ac:dyDescent="0.2">
      <c r="A9" t="s">
        <v>28</v>
      </c>
      <c r="B9" t="s">
        <v>25</v>
      </c>
      <c r="C9" t="s">
        <v>20</v>
      </c>
      <c r="D9">
        <v>73</v>
      </c>
      <c r="E9">
        <v>17</v>
      </c>
      <c r="F9">
        <v>31</v>
      </c>
      <c r="G9">
        <v>11</v>
      </c>
      <c r="H9">
        <v>9</v>
      </c>
      <c r="I9">
        <v>25</v>
      </c>
      <c r="J9">
        <v>1</v>
      </c>
      <c r="K9">
        <v>5</v>
      </c>
      <c r="L9">
        <v>4</v>
      </c>
      <c r="M9">
        <v>1</v>
      </c>
      <c r="N9">
        <v>0</v>
      </c>
      <c r="O9">
        <v>0</v>
      </c>
      <c r="P9">
        <v>1</v>
      </c>
      <c r="Q9">
        <v>2</v>
      </c>
      <c r="R9">
        <v>1</v>
      </c>
      <c r="S9">
        <v>0</v>
      </c>
      <c r="T9">
        <v>0</v>
      </c>
      <c r="U9">
        <v>0</v>
      </c>
      <c r="V9">
        <v>181</v>
      </c>
    </row>
    <row r="10" spans="1:22" x14ac:dyDescent="0.2">
      <c r="A10" t="s">
        <v>36</v>
      </c>
      <c r="B10" t="s">
        <v>25</v>
      </c>
      <c r="C10" t="s">
        <v>20</v>
      </c>
      <c r="D10">
        <v>0</v>
      </c>
      <c r="E10">
        <v>0</v>
      </c>
      <c r="F10">
        <v>0</v>
      </c>
      <c r="G10">
        <v>10</v>
      </c>
      <c r="H10">
        <v>30</v>
      </c>
      <c r="I10">
        <v>14</v>
      </c>
      <c r="J10">
        <v>0</v>
      </c>
      <c r="K10">
        <v>10</v>
      </c>
      <c r="L10">
        <v>7</v>
      </c>
      <c r="M10">
        <v>4</v>
      </c>
      <c r="N10">
        <v>2</v>
      </c>
      <c r="O10">
        <v>4</v>
      </c>
      <c r="P10">
        <v>26</v>
      </c>
      <c r="Q10">
        <v>7</v>
      </c>
      <c r="R10">
        <v>12</v>
      </c>
      <c r="S10">
        <v>7</v>
      </c>
      <c r="T10">
        <v>3</v>
      </c>
      <c r="U10">
        <v>0</v>
      </c>
      <c r="V10">
        <v>136</v>
      </c>
    </row>
    <row r="11" spans="1:22" x14ac:dyDescent="0.2">
      <c r="A11" t="s">
        <v>70</v>
      </c>
      <c r="B11" t="s">
        <v>69</v>
      </c>
      <c r="C11" t="s">
        <v>52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4</v>
      </c>
    </row>
    <row r="12" spans="1:22" x14ac:dyDescent="0.2">
      <c r="A12" t="s">
        <v>47</v>
      </c>
      <c r="B12" t="s">
        <v>46</v>
      </c>
      <c r="C12" t="s">
        <v>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</row>
    <row r="13" spans="1:22" x14ac:dyDescent="0.2">
      <c r="A13" t="s">
        <v>68</v>
      </c>
      <c r="B13" t="s">
        <v>67</v>
      </c>
      <c r="C13" t="s">
        <v>52</v>
      </c>
      <c r="D13">
        <v>0</v>
      </c>
      <c r="E13">
        <v>3</v>
      </c>
      <c r="F13">
        <v>2</v>
      </c>
      <c r="G13">
        <v>0</v>
      </c>
      <c r="H13">
        <v>1</v>
      </c>
      <c r="I13">
        <v>0</v>
      </c>
      <c r="J13">
        <v>1</v>
      </c>
      <c r="K13">
        <v>4</v>
      </c>
      <c r="L13">
        <v>2</v>
      </c>
      <c r="M13">
        <v>0</v>
      </c>
      <c r="N13">
        <v>2</v>
      </c>
      <c r="O13">
        <v>0</v>
      </c>
      <c r="P13">
        <v>0</v>
      </c>
      <c r="Q13">
        <v>8</v>
      </c>
      <c r="R13">
        <v>1</v>
      </c>
      <c r="S13">
        <v>1</v>
      </c>
      <c r="T13">
        <v>0</v>
      </c>
      <c r="U13">
        <v>0</v>
      </c>
      <c r="V13">
        <v>25</v>
      </c>
    </row>
    <row r="14" spans="1:22" x14ac:dyDescent="0.2">
      <c r="A14" t="s">
        <v>84</v>
      </c>
      <c r="B14" t="s">
        <v>83</v>
      </c>
      <c r="C14" t="s">
        <v>82</v>
      </c>
      <c r="D14">
        <v>0</v>
      </c>
      <c r="E14">
        <v>2</v>
      </c>
      <c r="F14">
        <v>0</v>
      </c>
      <c r="G14">
        <v>0</v>
      </c>
      <c r="H14">
        <v>0</v>
      </c>
      <c r="I14">
        <v>1</v>
      </c>
      <c r="J14">
        <v>1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</row>
    <row r="15" spans="1:22" x14ac:dyDescent="0.2">
      <c r="A15" t="s">
        <v>85</v>
      </c>
      <c r="B15" t="s">
        <v>83</v>
      </c>
      <c r="C15" t="s">
        <v>82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0</v>
      </c>
      <c r="T15">
        <v>1</v>
      </c>
      <c r="U15">
        <v>0</v>
      </c>
      <c r="V15">
        <v>6</v>
      </c>
    </row>
    <row r="16" spans="1:22" x14ac:dyDescent="0.2">
      <c r="A16" t="s">
        <v>86</v>
      </c>
      <c r="B16" t="s">
        <v>83</v>
      </c>
      <c r="C16" t="s">
        <v>82</v>
      </c>
      <c r="D16">
        <v>5</v>
      </c>
      <c r="E16">
        <v>18</v>
      </c>
      <c r="F16">
        <v>8</v>
      </c>
      <c r="G16">
        <v>9</v>
      </c>
      <c r="H16">
        <v>15</v>
      </c>
      <c r="I16">
        <v>52</v>
      </c>
      <c r="J16">
        <v>15</v>
      </c>
      <c r="K16">
        <v>17</v>
      </c>
      <c r="L16">
        <v>22</v>
      </c>
      <c r="M16">
        <v>18</v>
      </c>
      <c r="N16">
        <v>30</v>
      </c>
      <c r="O16">
        <v>47</v>
      </c>
      <c r="P16">
        <v>9</v>
      </c>
      <c r="Q16">
        <v>44</v>
      </c>
      <c r="R16">
        <v>17</v>
      </c>
      <c r="S16">
        <v>8</v>
      </c>
      <c r="T16">
        <v>1</v>
      </c>
      <c r="U16">
        <v>7</v>
      </c>
      <c r="V16">
        <v>342</v>
      </c>
    </row>
    <row r="17" spans="1:22" x14ac:dyDescent="0.2">
      <c r="A17" t="s">
        <v>61</v>
      </c>
      <c r="B17" t="s">
        <v>60</v>
      </c>
      <c r="C17" t="s">
        <v>52</v>
      </c>
      <c r="D17">
        <v>7</v>
      </c>
      <c r="E17">
        <v>0</v>
      </c>
      <c r="F17">
        <v>0</v>
      </c>
      <c r="G17">
        <v>0</v>
      </c>
      <c r="H17">
        <v>3</v>
      </c>
      <c r="I17">
        <v>1</v>
      </c>
      <c r="J17">
        <v>1</v>
      </c>
      <c r="K17">
        <v>15</v>
      </c>
      <c r="L17">
        <v>37</v>
      </c>
      <c r="M17">
        <v>63</v>
      </c>
      <c r="N17">
        <v>65</v>
      </c>
      <c r="O17">
        <v>3</v>
      </c>
      <c r="P17">
        <v>45</v>
      </c>
      <c r="Q17">
        <v>36</v>
      </c>
      <c r="R17">
        <v>19</v>
      </c>
      <c r="S17">
        <v>4</v>
      </c>
      <c r="T17">
        <v>2</v>
      </c>
      <c r="U17">
        <v>1</v>
      </c>
      <c r="V17">
        <v>302</v>
      </c>
    </row>
    <row r="18" spans="1:22" x14ac:dyDescent="0.2">
      <c r="A18" t="s">
        <v>64</v>
      </c>
      <c r="B18" t="s">
        <v>60</v>
      </c>
      <c r="C18" t="s">
        <v>52</v>
      </c>
      <c r="D18">
        <v>3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  <c r="K18">
        <v>13</v>
      </c>
      <c r="L18">
        <v>57</v>
      </c>
      <c r="M18">
        <v>53</v>
      </c>
      <c r="N18">
        <v>64</v>
      </c>
      <c r="O18">
        <v>3</v>
      </c>
      <c r="P18">
        <v>38</v>
      </c>
      <c r="Q18">
        <v>38</v>
      </c>
      <c r="R18">
        <v>17</v>
      </c>
      <c r="S18">
        <v>28</v>
      </c>
      <c r="T18">
        <v>8</v>
      </c>
      <c r="U18">
        <v>0</v>
      </c>
      <c r="V18">
        <v>325</v>
      </c>
    </row>
    <row r="19" spans="1:22" x14ac:dyDescent="0.2">
      <c r="A19" t="s">
        <v>59</v>
      </c>
      <c r="B19" t="s">
        <v>58</v>
      </c>
      <c r="C19" t="s">
        <v>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2</v>
      </c>
    </row>
    <row r="20" spans="1:22" x14ac:dyDescent="0.2">
      <c r="A20" t="s">
        <v>66</v>
      </c>
      <c r="B20" t="s">
        <v>58</v>
      </c>
      <c r="C20" t="s">
        <v>52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2</v>
      </c>
      <c r="Q20">
        <v>4</v>
      </c>
      <c r="R20">
        <v>0</v>
      </c>
      <c r="S20">
        <v>2</v>
      </c>
      <c r="T20">
        <v>0</v>
      </c>
      <c r="U20">
        <v>3</v>
      </c>
      <c r="V20">
        <v>13</v>
      </c>
    </row>
    <row r="21" spans="1:22" x14ac:dyDescent="0.2">
      <c r="A21" t="s">
        <v>50</v>
      </c>
      <c r="B21" t="s">
        <v>48</v>
      </c>
      <c r="C21" t="s">
        <v>41</v>
      </c>
      <c r="D21">
        <v>0</v>
      </c>
      <c r="E21">
        <v>0</v>
      </c>
      <c r="F21">
        <v>5</v>
      </c>
      <c r="G21">
        <v>1</v>
      </c>
      <c r="H21">
        <v>0</v>
      </c>
      <c r="I21">
        <v>0</v>
      </c>
      <c r="J21">
        <v>2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2</v>
      </c>
      <c r="T21">
        <v>2</v>
      </c>
      <c r="U21">
        <v>6</v>
      </c>
      <c r="V21">
        <v>22</v>
      </c>
    </row>
    <row r="22" spans="1:22" x14ac:dyDescent="0.2">
      <c r="A22" t="s">
        <v>49</v>
      </c>
      <c r="B22" t="s">
        <v>48</v>
      </c>
      <c r="C22" t="s">
        <v>41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6</v>
      </c>
    </row>
    <row r="23" spans="1:22" x14ac:dyDescent="0.2">
      <c r="A23" t="s">
        <v>34</v>
      </c>
      <c r="B23" t="s">
        <v>33</v>
      </c>
      <c r="C23" t="s">
        <v>20</v>
      </c>
      <c r="D23">
        <v>0</v>
      </c>
      <c r="E23">
        <v>1</v>
      </c>
      <c r="F23">
        <v>0</v>
      </c>
      <c r="G23">
        <v>0</v>
      </c>
      <c r="H23">
        <v>3</v>
      </c>
      <c r="I23">
        <v>0</v>
      </c>
      <c r="J23">
        <v>3</v>
      </c>
      <c r="K23">
        <v>10</v>
      </c>
      <c r="L23">
        <v>0</v>
      </c>
      <c r="M23">
        <v>1</v>
      </c>
      <c r="N23">
        <v>6</v>
      </c>
      <c r="O23">
        <v>5</v>
      </c>
      <c r="P23">
        <v>1</v>
      </c>
      <c r="Q23">
        <v>0</v>
      </c>
      <c r="R23">
        <v>1</v>
      </c>
      <c r="S23">
        <v>6</v>
      </c>
      <c r="T23">
        <v>3</v>
      </c>
      <c r="U23">
        <v>9</v>
      </c>
      <c r="V23">
        <v>49</v>
      </c>
    </row>
    <row r="24" spans="1:22" x14ac:dyDescent="0.2">
      <c r="A24" t="s">
        <v>92</v>
      </c>
      <c r="B24" t="s">
        <v>33</v>
      </c>
      <c r="C24" t="s">
        <v>20</v>
      </c>
      <c r="D24">
        <v>1</v>
      </c>
      <c r="E24">
        <v>2</v>
      </c>
      <c r="F24">
        <v>2</v>
      </c>
      <c r="G24">
        <v>2</v>
      </c>
      <c r="H24">
        <v>1</v>
      </c>
      <c r="I24">
        <v>0</v>
      </c>
      <c r="J24">
        <v>3</v>
      </c>
      <c r="K24">
        <v>6</v>
      </c>
      <c r="L24">
        <v>4</v>
      </c>
      <c r="M24">
        <v>0</v>
      </c>
      <c r="N24">
        <v>2</v>
      </c>
      <c r="O24">
        <v>3</v>
      </c>
      <c r="P24">
        <v>1</v>
      </c>
      <c r="Q24">
        <v>0</v>
      </c>
      <c r="R24">
        <v>1</v>
      </c>
      <c r="S24">
        <v>3</v>
      </c>
      <c r="T24">
        <v>0</v>
      </c>
      <c r="U24">
        <v>11</v>
      </c>
      <c r="V24">
        <v>42</v>
      </c>
    </row>
    <row r="25" spans="1:22" x14ac:dyDescent="0.2">
      <c r="A25" t="s">
        <v>76</v>
      </c>
      <c r="B25" t="s">
        <v>75</v>
      </c>
      <c r="C25" t="s">
        <v>77</v>
      </c>
      <c r="D25">
        <v>3</v>
      </c>
      <c r="E25">
        <v>1</v>
      </c>
      <c r="F25">
        <v>0</v>
      </c>
      <c r="G25">
        <v>0</v>
      </c>
      <c r="H25">
        <v>2</v>
      </c>
      <c r="I25">
        <v>26</v>
      </c>
      <c r="J25">
        <v>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6</v>
      </c>
      <c r="R25">
        <v>0</v>
      </c>
      <c r="S25">
        <v>0</v>
      </c>
      <c r="T25">
        <v>0</v>
      </c>
      <c r="U25">
        <v>1</v>
      </c>
      <c r="V25">
        <v>43</v>
      </c>
    </row>
    <row r="26" spans="1:22" x14ac:dyDescent="0.2">
      <c r="A26" t="s">
        <v>81</v>
      </c>
      <c r="B26" t="s">
        <v>80</v>
      </c>
      <c r="C26" t="s">
        <v>77</v>
      </c>
      <c r="D26">
        <v>1</v>
      </c>
      <c r="E26">
        <v>2</v>
      </c>
      <c r="F26">
        <v>1</v>
      </c>
      <c r="G26">
        <v>4</v>
      </c>
      <c r="H26">
        <v>4</v>
      </c>
      <c r="I26">
        <v>4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3</v>
      </c>
      <c r="S26">
        <v>0</v>
      </c>
      <c r="T26">
        <v>1</v>
      </c>
      <c r="U26">
        <v>3</v>
      </c>
      <c r="V26">
        <v>26</v>
      </c>
    </row>
    <row r="27" spans="1:22" x14ac:dyDescent="0.2">
      <c r="A27" t="s">
        <v>23</v>
      </c>
      <c r="B27" t="s">
        <v>22</v>
      </c>
      <c r="C27" t="s">
        <v>20</v>
      </c>
      <c r="D27">
        <v>0</v>
      </c>
      <c r="E27">
        <v>2</v>
      </c>
      <c r="F27">
        <v>0</v>
      </c>
      <c r="G27">
        <v>6</v>
      </c>
      <c r="H27">
        <v>45</v>
      </c>
      <c r="I27">
        <v>4</v>
      </c>
      <c r="J27">
        <v>2</v>
      </c>
      <c r="K27">
        <v>2</v>
      </c>
      <c r="L27">
        <v>7</v>
      </c>
      <c r="M27">
        <v>30</v>
      </c>
      <c r="N27">
        <v>14</v>
      </c>
      <c r="O27">
        <v>11</v>
      </c>
      <c r="P27">
        <v>29</v>
      </c>
      <c r="Q27">
        <v>13</v>
      </c>
      <c r="R27">
        <v>14</v>
      </c>
      <c r="S27">
        <v>9</v>
      </c>
      <c r="T27">
        <v>0</v>
      </c>
      <c r="U27">
        <v>3</v>
      </c>
      <c r="V27">
        <v>191</v>
      </c>
    </row>
    <row r="28" spans="1:22" x14ac:dyDescent="0.2">
      <c r="A28" t="s">
        <v>30</v>
      </c>
      <c r="B28" t="s">
        <v>29</v>
      </c>
      <c r="C28" t="s">
        <v>20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</row>
    <row r="29" spans="1:22" x14ac:dyDescent="0.2">
      <c r="A29" t="s">
        <v>31</v>
      </c>
      <c r="B29" t="s">
        <v>29</v>
      </c>
      <c r="C29" t="s">
        <v>20</v>
      </c>
      <c r="D29">
        <v>0</v>
      </c>
      <c r="E29">
        <v>0</v>
      </c>
      <c r="F29">
        <v>1</v>
      </c>
      <c r="G29">
        <v>3</v>
      </c>
      <c r="H29">
        <v>2</v>
      </c>
      <c r="I29">
        <v>0</v>
      </c>
      <c r="J29">
        <v>5</v>
      </c>
      <c r="K29">
        <v>4</v>
      </c>
      <c r="L29">
        <v>1</v>
      </c>
      <c r="M29">
        <v>2</v>
      </c>
      <c r="N29">
        <v>0</v>
      </c>
      <c r="O29">
        <v>0</v>
      </c>
      <c r="P29">
        <v>2</v>
      </c>
      <c r="Q29">
        <v>2</v>
      </c>
      <c r="R29">
        <v>0</v>
      </c>
      <c r="S29">
        <v>5</v>
      </c>
      <c r="T29">
        <v>4</v>
      </c>
      <c r="U29">
        <v>0</v>
      </c>
      <c r="V29">
        <v>31</v>
      </c>
    </row>
    <row r="30" spans="1:22" x14ac:dyDescent="0.2">
      <c r="A30" t="s">
        <v>32</v>
      </c>
      <c r="B30" t="s">
        <v>29</v>
      </c>
      <c r="C30" t="s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</row>
    <row r="31" spans="1:22" x14ac:dyDescent="0.2">
      <c r="A31" t="s">
        <v>63</v>
      </c>
      <c r="B31" t="s">
        <v>62</v>
      </c>
      <c r="C31" t="s">
        <v>52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</v>
      </c>
    </row>
    <row r="32" spans="1:22" x14ac:dyDescent="0.2">
      <c r="A32" t="s">
        <v>65</v>
      </c>
      <c r="B32" t="s">
        <v>62</v>
      </c>
      <c r="C32" t="s">
        <v>52</v>
      </c>
      <c r="D32">
        <v>0</v>
      </c>
      <c r="E32">
        <v>2</v>
      </c>
      <c r="F32">
        <v>2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1</v>
      </c>
      <c r="T32">
        <v>1</v>
      </c>
      <c r="U32">
        <v>0</v>
      </c>
      <c r="V32">
        <v>10</v>
      </c>
    </row>
    <row r="33" spans="1:22" x14ac:dyDescent="0.2">
      <c r="A33" t="s">
        <v>79</v>
      </c>
      <c r="B33" t="s">
        <v>78</v>
      </c>
      <c r="C33" t="s">
        <v>77</v>
      </c>
      <c r="D33">
        <v>0</v>
      </c>
      <c r="E33">
        <v>1</v>
      </c>
      <c r="F33">
        <v>6</v>
      </c>
      <c r="G33">
        <v>1</v>
      </c>
      <c r="H33">
        <v>0</v>
      </c>
      <c r="I33">
        <v>1</v>
      </c>
      <c r="J33">
        <v>3</v>
      </c>
      <c r="K33">
        <v>2</v>
      </c>
      <c r="L33">
        <v>2</v>
      </c>
      <c r="M33">
        <v>2</v>
      </c>
      <c r="N33">
        <v>3</v>
      </c>
      <c r="O33">
        <v>0</v>
      </c>
      <c r="P33">
        <v>3</v>
      </c>
      <c r="Q33">
        <v>1</v>
      </c>
      <c r="R33">
        <v>1</v>
      </c>
      <c r="S33">
        <v>1</v>
      </c>
      <c r="T33">
        <v>0</v>
      </c>
      <c r="U33">
        <v>1</v>
      </c>
      <c r="V33">
        <v>28</v>
      </c>
    </row>
    <row r="34" spans="1:22" x14ac:dyDescent="0.2">
      <c r="A34" t="s">
        <v>19</v>
      </c>
      <c r="B34" t="s">
        <v>18</v>
      </c>
      <c r="C34" t="s">
        <v>20</v>
      </c>
      <c r="D34">
        <v>16</v>
      </c>
      <c r="E34">
        <v>7</v>
      </c>
      <c r="F34">
        <v>10</v>
      </c>
      <c r="G34">
        <v>9</v>
      </c>
      <c r="H34">
        <v>10</v>
      </c>
      <c r="I34">
        <v>16</v>
      </c>
      <c r="J34">
        <v>2</v>
      </c>
      <c r="K34">
        <v>9</v>
      </c>
      <c r="L34">
        <v>6</v>
      </c>
      <c r="M34">
        <v>0</v>
      </c>
      <c r="N34">
        <v>0</v>
      </c>
      <c r="O34">
        <v>0</v>
      </c>
      <c r="P34">
        <v>2</v>
      </c>
      <c r="Q34">
        <v>3</v>
      </c>
      <c r="R34">
        <v>5</v>
      </c>
      <c r="S34">
        <v>3</v>
      </c>
      <c r="T34">
        <v>13</v>
      </c>
      <c r="U34">
        <v>1</v>
      </c>
      <c r="V34">
        <v>112</v>
      </c>
    </row>
    <row r="35" spans="1:22" x14ac:dyDescent="0.2">
      <c r="A35" t="s">
        <v>21</v>
      </c>
      <c r="B35" t="s">
        <v>18</v>
      </c>
      <c r="C35" t="s">
        <v>20</v>
      </c>
      <c r="D35">
        <v>6</v>
      </c>
      <c r="E35">
        <v>3</v>
      </c>
      <c r="F35">
        <v>2</v>
      </c>
      <c r="G35">
        <v>0</v>
      </c>
      <c r="H35">
        <v>13</v>
      </c>
      <c r="I35">
        <v>7</v>
      </c>
      <c r="J35">
        <v>0</v>
      </c>
      <c r="K35">
        <v>2</v>
      </c>
      <c r="L35">
        <v>3</v>
      </c>
      <c r="M35">
        <v>1</v>
      </c>
      <c r="N35">
        <v>3</v>
      </c>
      <c r="O35">
        <v>3</v>
      </c>
      <c r="P35">
        <v>2</v>
      </c>
      <c r="Q35">
        <v>12</v>
      </c>
      <c r="R35">
        <v>3</v>
      </c>
      <c r="S35">
        <v>4</v>
      </c>
      <c r="T35">
        <v>4</v>
      </c>
      <c r="U35">
        <v>3</v>
      </c>
      <c r="V35">
        <v>71</v>
      </c>
    </row>
    <row r="36" spans="1:22" x14ac:dyDescent="0.2">
      <c r="A36" t="s">
        <v>24</v>
      </c>
      <c r="B36" t="s">
        <v>18</v>
      </c>
      <c r="C36" t="s">
        <v>20</v>
      </c>
      <c r="D36">
        <v>2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2</v>
      </c>
      <c r="U36">
        <v>0</v>
      </c>
      <c r="V36">
        <v>10</v>
      </c>
    </row>
    <row r="37" spans="1:22" x14ac:dyDescent="0.2">
      <c r="A37" t="s">
        <v>74</v>
      </c>
      <c r="B37" t="s">
        <v>73</v>
      </c>
      <c r="C37" t="s">
        <v>142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</v>
      </c>
      <c r="U37">
        <v>0</v>
      </c>
      <c r="V37">
        <v>4</v>
      </c>
    </row>
    <row r="38" spans="1:22" x14ac:dyDescent="0.2">
      <c r="A38" t="s">
        <v>72</v>
      </c>
      <c r="B38" t="s">
        <v>71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0</v>
      </c>
      <c r="U38">
        <v>0</v>
      </c>
      <c r="V38">
        <v>4</v>
      </c>
    </row>
    <row r="39" spans="1:22" x14ac:dyDescent="0.2">
      <c r="A39" t="s">
        <v>51</v>
      </c>
      <c r="B39" t="s">
        <v>44</v>
      </c>
      <c r="C39" t="s">
        <v>52</v>
      </c>
      <c r="D39">
        <v>0</v>
      </c>
      <c r="E39">
        <v>0</v>
      </c>
      <c r="F39">
        <v>2</v>
      </c>
      <c r="G39">
        <v>1</v>
      </c>
      <c r="H39">
        <v>0</v>
      </c>
      <c r="I39">
        <v>9</v>
      </c>
      <c r="J39">
        <v>5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0</v>
      </c>
      <c r="S39">
        <v>3</v>
      </c>
      <c r="T39">
        <v>1</v>
      </c>
      <c r="U39">
        <v>0</v>
      </c>
      <c r="V39">
        <v>25</v>
      </c>
    </row>
    <row r="40" spans="1:22" x14ac:dyDescent="0.2">
      <c r="A40" t="s">
        <v>53</v>
      </c>
      <c r="B40" t="s">
        <v>44</v>
      </c>
      <c r="C40" t="s">
        <v>52</v>
      </c>
      <c r="D40">
        <v>0</v>
      </c>
      <c r="E40">
        <v>5</v>
      </c>
      <c r="F40">
        <v>4</v>
      </c>
      <c r="G40">
        <v>8</v>
      </c>
      <c r="H40">
        <v>6</v>
      </c>
      <c r="I40">
        <v>7</v>
      </c>
      <c r="J40">
        <v>4</v>
      </c>
      <c r="K40">
        <v>3</v>
      </c>
      <c r="L40">
        <v>4</v>
      </c>
      <c r="M40">
        <v>4</v>
      </c>
      <c r="N40">
        <v>2</v>
      </c>
      <c r="O40">
        <v>10</v>
      </c>
      <c r="P40">
        <v>1</v>
      </c>
      <c r="Q40">
        <v>0</v>
      </c>
      <c r="R40">
        <v>2</v>
      </c>
      <c r="S40">
        <v>8</v>
      </c>
      <c r="T40">
        <v>9</v>
      </c>
      <c r="U40">
        <v>6</v>
      </c>
      <c r="V40">
        <v>83</v>
      </c>
    </row>
    <row r="41" spans="1:22" x14ac:dyDescent="0.2">
      <c r="A41" t="s">
        <v>56</v>
      </c>
      <c r="B41" t="s">
        <v>44</v>
      </c>
      <c r="C41" t="s">
        <v>52</v>
      </c>
      <c r="D41">
        <v>4</v>
      </c>
      <c r="E41">
        <v>20</v>
      </c>
      <c r="F41">
        <v>18</v>
      </c>
      <c r="G41">
        <v>0</v>
      </c>
      <c r="H41">
        <v>0</v>
      </c>
      <c r="I41">
        <v>2</v>
      </c>
      <c r="J41">
        <v>6</v>
      </c>
      <c r="K41">
        <v>6</v>
      </c>
      <c r="L41">
        <v>0</v>
      </c>
      <c r="M41">
        <v>1</v>
      </c>
      <c r="N41">
        <v>5</v>
      </c>
      <c r="O41">
        <v>28</v>
      </c>
      <c r="P41">
        <v>2</v>
      </c>
      <c r="Q41">
        <v>0</v>
      </c>
      <c r="R41">
        <v>0</v>
      </c>
      <c r="S41">
        <v>1</v>
      </c>
      <c r="T41">
        <v>0</v>
      </c>
      <c r="U41">
        <v>3</v>
      </c>
      <c r="V41">
        <v>96</v>
      </c>
    </row>
    <row r="42" spans="1:22" x14ac:dyDescent="0.2">
      <c r="A42" t="s">
        <v>45</v>
      </c>
      <c r="B42" t="s">
        <v>44</v>
      </c>
      <c r="C42" t="s">
        <v>41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1</v>
      </c>
      <c r="V42">
        <v>6</v>
      </c>
    </row>
    <row r="43" spans="1:22" x14ac:dyDescent="0.2">
      <c r="A43" t="s">
        <v>57</v>
      </c>
      <c r="B43" t="s">
        <v>44</v>
      </c>
      <c r="C43" t="s">
        <v>52</v>
      </c>
      <c r="D43">
        <v>0</v>
      </c>
      <c r="E43">
        <v>0</v>
      </c>
      <c r="F43">
        <v>2</v>
      </c>
      <c r="G43">
        <v>0</v>
      </c>
      <c r="H43">
        <v>0</v>
      </c>
      <c r="I43">
        <v>2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</row>
    <row r="44" spans="1:22" x14ac:dyDescent="0.2">
      <c r="A44" t="s">
        <v>55</v>
      </c>
      <c r="B44" t="s">
        <v>54</v>
      </c>
      <c r="C44" t="s">
        <v>52</v>
      </c>
      <c r="D44">
        <v>1</v>
      </c>
      <c r="E44">
        <v>6</v>
      </c>
      <c r="F44">
        <v>0</v>
      </c>
      <c r="G44">
        <v>3</v>
      </c>
      <c r="H44">
        <v>2</v>
      </c>
      <c r="I44">
        <v>2</v>
      </c>
      <c r="J44">
        <v>0</v>
      </c>
      <c r="K44">
        <v>1</v>
      </c>
      <c r="L44">
        <v>0</v>
      </c>
      <c r="M44">
        <v>4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23</v>
      </c>
    </row>
    <row r="45" spans="1:22" x14ac:dyDescent="0.2">
      <c r="C45" t="s">
        <v>91</v>
      </c>
      <c r="D45">
        <v>156</v>
      </c>
      <c r="E45">
        <v>157</v>
      </c>
      <c r="F45">
        <v>141</v>
      </c>
      <c r="G45">
        <v>250</v>
      </c>
      <c r="H45">
        <v>244</v>
      </c>
      <c r="I45">
        <v>250</v>
      </c>
      <c r="J45">
        <v>74</v>
      </c>
      <c r="K45">
        <v>146</v>
      </c>
      <c r="L45">
        <v>250</v>
      </c>
      <c r="M45">
        <v>250</v>
      </c>
      <c r="N45">
        <v>250</v>
      </c>
      <c r="O45">
        <v>181</v>
      </c>
      <c r="P45">
        <v>250</v>
      </c>
      <c r="Q45">
        <v>250</v>
      </c>
      <c r="R45">
        <v>250</v>
      </c>
      <c r="S45">
        <v>141</v>
      </c>
      <c r="T45">
        <v>106</v>
      </c>
      <c r="U45">
        <v>78</v>
      </c>
      <c r="V45">
        <v>3424</v>
      </c>
    </row>
  </sheetData>
  <sortState xmlns:xlrd2="http://schemas.microsoft.com/office/spreadsheetml/2017/richdata2" ref="B2:V45">
    <sortCondition ref="B2:B4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E640-F445-4F75-B6D2-67F074B940AB}">
  <dimension ref="A1:V45"/>
  <sheetViews>
    <sheetView zoomScale="115" zoomScaleNormal="115" workbookViewId="0">
      <selection activeCell="D48" sqref="D48"/>
    </sheetView>
  </sheetViews>
  <sheetFormatPr defaultRowHeight="14.25" x14ac:dyDescent="0.2"/>
  <cols>
    <col min="1" max="1" width="17" customWidth="1"/>
    <col min="2" max="2" width="16.5" customWidth="1"/>
    <col min="3" max="3" width="20" customWidth="1"/>
  </cols>
  <sheetData>
    <row r="1" spans="1:22" x14ac:dyDescent="0.2">
      <c r="A1" t="s">
        <v>90</v>
      </c>
      <c r="B1" t="s">
        <v>89</v>
      </c>
      <c r="C1" t="s">
        <v>93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91</v>
      </c>
    </row>
    <row r="2" spans="1:22" x14ac:dyDescent="0.2">
      <c r="A2" t="s">
        <v>38</v>
      </c>
      <c r="B2" t="s">
        <v>37</v>
      </c>
      <c r="C2" t="s">
        <v>20</v>
      </c>
      <c r="D2">
        <v>0</v>
      </c>
      <c r="E2">
        <v>0</v>
      </c>
      <c r="F2" s="2">
        <v>2.1120350477499997E-2</v>
      </c>
      <c r="G2" s="2">
        <v>0</v>
      </c>
      <c r="H2" s="2">
        <v>3.8703813424999997E-2</v>
      </c>
      <c r="I2" s="2">
        <v>0</v>
      </c>
      <c r="J2" s="2">
        <v>9.305456580000003E-3</v>
      </c>
      <c r="K2" s="2">
        <v>0</v>
      </c>
      <c r="L2" s="2">
        <v>0</v>
      </c>
      <c r="M2" s="2">
        <v>0</v>
      </c>
      <c r="N2" s="2">
        <v>9.0227432135625008E-2</v>
      </c>
      <c r="O2" s="2">
        <v>0</v>
      </c>
      <c r="P2" s="2">
        <v>0</v>
      </c>
      <c r="Q2" s="2">
        <v>0</v>
      </c>
      <c r="R2" s="2">
        <v>0</v>
      </c>
      <c r="S2" s="2">
        <v>0.45343008523374995</v>
      </c>
      <c r="T2" s="2">
        <v>0</v>
      </c>
      <c r="U2" s="2">
        <v>0</v>
      </c>
      <c r="V2">
        <f>SUM(D2:U2)</f>
        <v>0.612787137851875</v>
      </c>
    </row>
    <row r="3" spans="1:22" x14ac:dyDescent="0.2">
      <c r="A3" t="s">
        <v>43</v>
      </c>
      <c r="B3" t="s">
        <v>42</v>
      </c>
      <c r="C3" t="s">
        <v>41</v>
      </c>
      <c r="D3">
        <v>0.46011989504999995</v>
      </c>
      <c r="E3">
        <v>0.35980074150687508</v>
      </c>
      <c r="F3" s="2">
        <v>0.25071162849750006</v>
      </c>
      <c r="G3" s="2">
        <v>0.63556578740187508</v>
      </c>
      <c r="H3" s="2">
        <v>0.32082048928625007</v>
      </c>
      <c r="I3" s="2">
        <v>0.60457105505124997</v>
      </c>
      <c r="J3" s="2">
        <v>0</v>
      </c>
      <c r="K3" s="2">
        <v>0</v>
      </c>
      <c r="L3" s="2">
        <v>5.4712071207500004E-2</v>
      </c>
      <c r="M3" s="2">
        <v>0.62288395166562505</v>
      </c>
      <c r="N3" s="2">
        <v>0.16383141710937502</v>
      </c>
      <c r="O3" s="2">
        <v>0.12557341230124999</v>
      </c>
      <c r="P3" s="2">
        <v>0.52407851829062502</v>
      </c>
      <c r="Q3" s="2">
        <v>0.20735183375937502</v>
      </c>
      <c r="R3" s="2">
        <v>0.26720123266562501</v>
      </c>
      <c r="S3" s="2">
        <v>0.28390172475687497</v>
      </c>
      <c r="T3" s="2">
        <v>0.48022307592874997</v>
      </c>
      <c r="U3" s="2">
        <v>2.6237700210000003E-2</v>
      </c>
      <c r="V3">
        <f t="shared" ref="V3:V44" si="0">SUM(D3:U3)</f>
        <v>5.3875845346887523</v>
      </c>
    </row>
    <row r="4" spans="1:22" x14ac:dyDescent="0.2">
      <c r="A4" t="s">
        <v>40</v>
      </c>
      <c r="B4" t="s">
        <v>39</v>
      </c>
      <c r="C4" t="s">
        <v>41</v>
      </c>
      <c r="D4">
        <v>1.0065653300390625</v>
      </c>
      <c r="E4">
        <v>1.6419562559662504</v>
      </c>
      <c r="F4" s="2">
        <v>0.58153353085875004</v>
      </c>
      <c r="G4" s="2">
        <v>1.0910028780031251</v>
      </c>
      <c r="H4" s="2">
        <v>0.94139558077312491</v>
      </c>
      <c r="I4" s="2">
        <v>1.1573088989785623</v>
      </c>
      <c r="J4" s="2">
        <v>7.6397173833749998E-2</v>
      </c>
      <c r="K4" s="2">
        <v>9.6369904620000002E-2</v>
      </c>
      <c r="L4" s="2">
        <v>2.8266700464599999</v>
      </c>
      <c r="M4" s="2">
        <v>1.326461130045625</v>
      </c>
      <c r="N4" s="2">
        <v>0.61202177026437499</v>
      </c>
      <c r="O4" s="2">
        <v>1.3194609570043749</v>
      </c>
      <c r="P4" s="2">
        <v>0.56483678540562499</v>
      </c>
      <c r="Q4" s="2">
        <v>1.2968625513526253</v>
      </c>
      <c r="R4" s="2">
        <v>1.2563939601831251</v>
      </c>
      <c r="S4" s="2">
        <v>0.41216947888125005</v>
      </c>
      <c r="T4" s="2">
        <v>0.34315620186062501</v>
      </c>
      <c r="U4" s="2">
        <v>6.6545658238124999E-2</v>
      </c>
      <c r="V4">
        <f t="shared" si="0"/>
        <v>16.61710809276838</v>
      </c>
    </row>
    <row r="5" spans="1:22" x14ac:dyDescent="0.2">
      <c r="A5" t="s">
        <v>88</v>
      </c>
      <c r="B5" t="s">
        <v>87</v>
      </c>
      <c r="C5" t="s">
        <v>82</v>
      </c>
      <c r="D5">
        <v>2.0069365726406247</v>
      </c>
      <c r="E5">
        <v>8.6081639449606264</v>
      </c>
      <c r="F5" s="2">
        <v>1.8992079295999997</v>
      </c>
      <c r="G5" s="2">
        <v>13.688393901162499</v>
      </c>
      <c r="H5" s="2">
        <v>0.81036951123125023</v>
      </c>
      <c r="I5" s="2">
        <v>8.5064895018926681</v>
      </c>
      <c r="J5" s="2">
        <v>15.236416781673753</v>
      </c>
      <c r="K5" s="2">
        <v>11.905759009620628</v>
      </c>
      <c r="L5" s="2">
        <v>4.10922326745</v>
      </c>
      <c r="M5" s="2">
        <v>0</v>
      </c>
      <c r="N5" s="2">
        <v>0</v>
      </c>
      <c r="O5" s="2">
        <v>11.682186631593749</v>
      </c>
      <c r="P5" s="2">
        <v>8.056093392815626</v>
      </c>
      <c r="Q5" s="2">
        <v>11.652407474598748</v>
      </c>
      <c r="R5" s="2">
        <v>12.555071415636874</v>
      </c>
      <c r="S5" s="2">
        <v>1.1566163375937502</v>
      </c>
      <c r="T5" s="2">
        <v>0</v>
      </c>
      <c r="U5" s="2">
        <v>4.9223269580031248</v>
      </c>
      <c r="V5">
        <f t="shared" si="0"/>
        <v>116.79566263047393</v>
      </c>
    </row>
    <row r="6" spans="1:22" x14ac:dyDescent="0.2">
      <c r="A6" t="s">
        <v>26</v>
      </c>
      <c r="B6" t="s">
        <v>25</v>
      </c>
      <c r="C6" t="s">
        <v>20</v>
      </c>
      <c r="D6">
        <v>0</v>
      </c>
      <c r="E6">
        <v>0.51738503044499995</v>
      </c>
      <c r="F6" s="2">
        <v>0.17810284531249998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>
        <f t="shared" si="0"/>
        <v>0.69548787575749993</v>
      </c>
    </row>
    <row r="7" spans="1:22" x14ac:dyDescent="0.2">
      <c r="A7" t="s">
        <v>27</v>
      </c>
      <c r="B7" t="s">
        <v>25</v>
      </c>
      <c r="C7" t="s">
        <v>20</v>
      </c>
      <c r="D7">
        <v>9.9557913288749994E-2</v>
      </c>
      <c r="E7">
        <v>0</v>
      </c>
      <c r="F7" s="2">
        <v>0</v>
      </c>
      <c r="G7" s="2">
        <v>0.11313092941999998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0.15325748756437499</v>
      </c>
      <c r="O7" s="2">
        <v>0</v>
      </c>
      <c r="P7" s="2">
        <v>5.3111014648124996E-2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>
        <f t="shared" si="0"/>
        <v>0.41905734492124996</v>
      </c>
    </row>
    <row r="8" spans="1:22" x14ac:dyDescent="0.2">
      <c r="A8" t="s">
        <v>35</v>
      </c>
      <c r="B8" t="s">
        <v>25</v>
      </c>
      <c r="C8" t="s">
        <v>20</v>
      </c>
      <c r="D8">
        <v>0.62696954443624997</v>
      </c>
      <c r="E8">
        <v>2.1542833751706252</v>
      </c>
      <c r="F8" s="2">
        <v>1.4996228159775005</v>
      </c>
      <c r="G8" s="2">
        <v>10.750914736989095</v>
      </c>
      <c r="H8" s="2">
        <v>4.18858158024375</v>
      </c>
      <c r="I8" s="2">
        <v>3.7961700803</v>
      </c>
      <c r="J8" s="2">
        <v>0.21132008669562499</v>
      </c>
      <c r="K8" s="2">
        <v>1.1580342385787503</v>
      </c>
      <c r="L8" s="2">
        <v>3.3817037760018751</v>
      </c>
      <c r="M8" s="2">
        <v>3.3768892860156252</v>
      </c>
      <c r="N8" s="2">
        <v>2.2359623683137504</v>
      </c>
      <c r="O8" s="2">
        <v>1.8918447127053124</v>
      </c>
      <c r="P8" s="2">
        <v>3.4317482515803133</v>
      </c>
      <c r="Q8" s="2">
        <v>4.2197371092312501</v>
      </c>
      <c r="R8" s="2">
        <v>9.7736831627775054</v>
      </c>
      <c r="S8" s="2">
        <v>0.50160087421437505</v>
      </c>
      <c r="T8" s="2">
        <v>2.1774470016006253</v>
      </c>
      <c r="U8" s="2">
        <v>0.83779839489999997</v>
      </c>
      <c r="V8">
        <f t="shared" si="0"/>
        <v>56.214311395732231</v>
      </c>
    </row>
    <row r="9" spans="1:22" x14ac:dyDescent="0.2">
      <c r="A9" t="s">
        <v>28</v>
      </c>
      <c r="B9" t="s">
        <v>25</v>
      </c>
      <c r="C9" t="s">
        <v>20</v>
      </c>
      <c r="D9">
        <v>4.4928138124093762</v>
      </c>
      <c r="E9">
        <v>1.2766709189524998</v>
      </c>
      <c r="F9" s="2">
        <v>2.1446019924368751</v>
      </c>
      <c r="G9" s="2">
        <v>0.33680671363187498</v>
      </c>
      <c r="H9" s="2">
        <v>0.45723517297750005</v>
      </c>
      <c r="I9" s="2">
        <v>1.5474148962231249</v>
      </c>
      <c r="J9" s="2">
        <v>6.594270859375001E-2</v>
      </c>
      <c r="K9" s="2">
        <v>3.105946332379375</v>
      </c>
      <c r="L9" s="2">
        <v>0.34577440217249999</v>
      </c>
      <c r="M9" s="2">
        <v>3.0326095678124998E-2</v>
      </c>
      <c r="N9" s="2">
        <v>0</v>
      </c>
      <c r="O9" s="2">
        <v>0</v>
      </c>
      <c r="P9" s="2">
        <v>0.14214995766562499</v>
      </c>
      <c r="Q9" s="2">
        <v>5.1150809361250001E-2</v>
      </c>
      <c r="R9" s="2">
        <v>2.6824339311250001E-2</v>
      </c>
      <c r="S9" s="2">
        <v>0</v>
      </c>
      <c r="T9" s="2">
        <v>0</v>
      </c>
      <c r="U9" s="2">
        <v>0</v>
      </c>
      <c r="V9">
        <f t="shared" si="0"/>
        <v>14.023658151793128</v>
      </c>
    </row>
    <row r="10" spans="1:22" x14ac:dyDescent="0.2">
      <c r="A10" t="s">
        <v>36</v>
      </c>
      <c r="B10" t="s">
        <v>25</v>
      </c>
      <c r="C10" t="s">
        <v>20</v>
      </c>
      <c r="D10">
        <v>0</v>
      </c>
      <c r="E10">
        <v>0</v>
      </c>
      <c r="F10" s="2">
        <v>0</v>
      </c>
      <c r="G10" s="2">
        <v>1.1180355146010938</v>
      </c>
      <c r="H10" s="2">
        <v>2.68224629258625</v>
      </c>
      <c r="I10" s="2">
        <v>1.3794170602687503</v>
      </c>
      <c r="J10" s="2">
        <v>0</v>
      </c>
      <c r="K10" s="2">
        <v>1.0690679363675</v>
      </c>
      <c r="L10" s="2">
        <v>0.55963153422562506</v>
      </c>
      <c r="M10" s="2">
        <v>0.22342048186687499</v>
      </c>
      <c r="N10" s="2">
        <v>0.12825003514</v>
      </c>
      <c r="O10" s="2">
        <v>0.30337839428875002</v>
      </c>
      <c r="P10" s="2">
        <v>1.3580904477018751</v>
      </c>
      <c r="Q10" s="2">
        <v>1.0312374629875001</v>
      </c>
      <c r="R10" s="2">
        <v>0.48158233101499998</v>
      </c>
      <c r="S10" s="2">
        <v>0.41558129207874994</v>
      </c>
      <c r="T10" s="2">
        <v>0.91508641104249988</v>
      </c>
      <c r="U10" s="2">
        <v>0</v>
      </c>
      <c r="V10">
        <f t="shared" si="0"/>
        <v>11.665025194170468</v>
      </c>
    </row>
    <row r="11" spans="1:22" x14ac:dyDescent="0.2">
      <c r="A11" t="s">
        <v>70</v>
      </c>
      <c r="B11" t="s">
        <v>69</v>
      </c>
      <c r="C11" t="s">
        <v>52</v>
      </c>
      <c r="D11">
        <v>0</v>
      </c>
      <c r="E11">
        <v>0</v>
      </c>
      <c r="F11" s="2">
        <v>0</v>
      </c>
      <c r="G11" s="2">
        <v>0</v>
      </c>
      <c r="H11" s="2">
        <v>0.13670971069187501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0.80163132450062491</v>
      </c>
      <c r="T11" s="2">
        <v>0</v>
      </c>
      <c r="U11" s="2">
        <v>0</v>
      </c>
      <c r="V11">
        <f t="shared" si="0"/>
        <v>0.93834103519249989</v>
      </c>
    </row>
    <row r="12" spans="1:22" x14ac:dyDescent="0.2">
      <c r="A12" t="s">
        <v>47</v>
      </c>
      <c r="B12" t="s">
        <v>46</v>
      </c>
      <c r="C12" t="s">
        <v>41</v>
      </c>
      <c r="D12">
        <v>0</v>
      </c>
      <c r="E1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8.5920564554999981E-2</v>
      </c>
      <c r="T12" s="2">
        <v>0</v>
      </c>
      <c r="U12" s="2">
        <v>0</v>
      </c>
      <c r="V12">
        <f t="shared" si="0"/>
        <v>8.5920564554999981E-2</v>
      </c>
    </row>
    <row r="13" spans="1:22" x14ac:dyDescent="0.2">
      <c r="A13" t="s">
        <v>68</v>
      </c>
      <c r="B13" t="s">
        <v>67</v>
      </c>
      <c r="C13" t="s">
        <v>52</v>
      </c>
      <c r="D13">
        <v>0</v>
      </c>
      <c r="E13">
        <v>9.4203641072500011E-2</v>
      </c>
      <c r="F13" s="2">
        <v>7.6710368863124989E-2</v>
      </c>
      <c r="G13" s="2">
        <v>0</v>
      </c>
      <c r="H13" s="2">
        <v>2.9677499999999999E-2</v>
      </c>
      <c r="I13" s="2">
        <v>0</v>
      </c>
      <c r="J13" s="2">
        <v>4.0951912679999994E-2</v>
      </c>
      <c r="K13" s="2">
        <v>0.1607310595675</v>
      </c>
      <c r="L13" s="2">
        <v>8.779976632E-2</v>
      </c>
      <c r="M13" s="2">
        <v>0</v>
      </c>
      <c r="N13" s="2">
        <v>8.9870699376875002E-2</v>
      </c>
      <c r="O13" s="2">
        <v>0</v>
      </c>
      <c r="P13" s="2">
        <v>0</v>
      </c>
      <c r="Q13" s="2">
        <v>0.62308057536812511</v>
      </c>
      <c r="R13" s="2">
        <v>4.3631508400000012E-2</v>
      </c>
      <c r="S13" s="2">
        <v>5.7205491187499999E-2</v>
      </c>
      <c r="T13" s="2">
        <v>0</v>
      </c>
      <c r="U13" s="2">
        <v>0</v>
      </c>
      <c r="V13">
        <f t="shared" si="0"/>
        <v>1.3038625228356251</v>
      </c>
    </row>
    <row r="14" spans="1:22" x14ac:dyDescent="0.2">
      <c r="A14" t="s">
        <v>84</v>
      </c>
      <c r="B14" t="s">
        <v>83</v>
      </c>
      <c r="C14" t="s">
        <v>82</v>
      </c>
      <c r="D14">
        <v>0</v>
      </c>
      <c r="E14">
        <v>0.57957508150562487</v>
      </c>
      <c r="F14" s="2">
        <v>0</v>
      </c>
      <c r="G14" s="2">
        <v>0</v>
      </c>
      <c r="H14" s="2">
        <v>0</v>
      </c>
      <c r="I14" s="2">
        <v>1.2052658632893749</v>
      </c>
      <c r="J14" s="2">
        <v>4.352159374999999E-2</v>
      </c>
      <c r="K14" s="2">
        <v>0.72754303120937491</v>
      </c>
      <c r="L14" s="2">
        <v>0</v>
      </c>
      <c r="M14" s="2">
        <v>0</v>
      </c>
      <c r="N14" s="2">
        <v>0</v>
      </c>
      <c r="O14" s="2">
        <v>0.35627719650749995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>
        <f t="shared" si="0"/>
        <v>2.9121827662618744</v>
      </c>
    </row>
    <row r="15" spans="1:22" x14ac:dyDescent="0.2">
      <c r="A15" t="s">
        <v>85</v>
      </c>
      <c r="B15" t="s">
        <v>83</v>
      </c>
      <c r="C15" t="s">
        <v>82</v>
      </c>
      <c r="D15">
        <v>0</v>
      </c>
      <c r="E15">
        <v>0.11398575786187501</v>
      </c>
      <c r="F15" s="2">
        <v>0</v>
      </c>
      <c r="G15" s="2">
        <v>0</v>
      </c>
      <c r="H15" s="2">
        <v>0</v>
      </c>
      <c r="I15" s="2">
        <v>0</v>
      </c>
      <c r="J15" s="2">
        <v>0.13833471984750001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0.24237783241375002</v>
      </c>
      <c r="S15" s="2">
        <v>0</v>
      </c>
      <c r="T15" s="2">
        <v>9.4851604851874993E-2</v>
      </c>
      <c r="U15" s="2">
        <v>0</v>
      </c>
      <c r="V15">
        <f t="shared" si="0"/>
        <v>0.58954991497500009</v>
      </c>
    </row>
    <row r="16" spans="1:22" x14ac:dyDescent="0.2">
      <c r="A16" t="s">
        <v>86</v>
      </c>
      <c r="B16" t="s">
        <v>83</v>
      </c>
      <c r="C16" t="s">
        <v>82</v>
      </c>
      <c r="D16">
        <v>1.6501149169287499</v>
      </c>
      <c r="E16">
        <v>5.1721262718531253</v>
      </c>
      <c r="F16" s="2">
        <v>3.3106869432100003</v>
      </c>
      <c r="G16" s="2">
        <v>2.526231465505</v>
      </c>
      <c r="H16" s="2">
        <v>4.6050334047681254</v>
      </c>
      <c r="I16" s="2">
        <v>19.747444642376248</v>
      </c>
      <c r="J16" s="2">
        <v>4.8205556220031243</v>
      </c>
      <c r="K16" s="2">
        <v>6.1188310463008744</v>
      </c>
      <c r="L16" s="2">
        <v>7.2520430462725001</v>
      </c>
      <c r="M16" s="2">
        <v>5.1061564025818758</v>
      </c>
      <c r="N16" s="2">
        <v>7.4495529385225003</v>
      </c>
      <c r="O16" s="2">
        <v>18.796722379727875</v>
      </c>
      <c r="P16" s="2">
        <v>3.0251157455387507</v>
      </c>
      <c r="Q16" s="2">
        <v>14.35696457233</v>
      </c>
      <c r="R16" s="2">
        <v>6.0865392981993756</v>
      </c>
      <c r="S16" s="2">
        <v>1.8282015817925001</v>
      </c>
      <c r="T16" s="2">
        <v>0.27164996300000005</v>
      </c>
      <c r="U16" s="2">
        <v>1.464809455088125</v>
      </c>
      <c r="V16">
        <f t="shared" si="0"/>
        <v>113.58877969599875</v>
      </c>
    </row>
    <row r="17" spans="1:22" x14ac:dyDescent="0.2">
      <c r="A17" t="s">
        <v>61</v>
      </c>
      <c r="B17" t="s">
        <v>60</v>
      </c>
      <c r="C17" t="s">
        <v>52</v>
      </c>
      <c r="D17">
        <v>0.41360036104000003</v>
      </c>
      <c r="E17">
        <v>0</v>
      </c>
      <c r="F17" s="2">
        <v>0</v>
      </c>
      <c r="G17" s="2">
        <v>0</v>
      </c>
      <c r="H17" s="2">
        <v>0.17149470948062503</v>
      </c>
      <c r="I17" s="2">
        <v>6.964706713499999E-2</v>
      </c>
      <c r="J17" s="2">
        <v>7.4357844531249981E-2</v>
      </c>
      <c r="K17" s="2">
        <v>0.89368583592812512</v>
      </c>
      <c r="L17" s="2">
        <v>2.494339118226625</v>
      </c>
      <c r="M17" s="2">
        <v>4.497068841729611</v>
      </c>
      <c r="N17" s="2">
        <v>4.225611663088749</v>
      </c>
      <c r="O17" s="2">
        <v>0.21104546921874998</v>
      </c>
      <c r="P17" s="2">
        <v>2.8291286349068754</v>
      </c>
      <c r="Q17" s="2">
        <v>2.3253609734956253</v>
      </c>
      <c r="R17" s="2">
        <v>1.1938723873812498</v>
      </c>
      <c r="S17" s="2">
        <v>0.24821175787812499</v>
      </c>
      <c r="T17" s="2">
        <v>0.11470878398437501</v>
      </c>
      <c r="U17" s="2">
        <v>6.8558368412500001E-2</v>
      </c>
      <c r="V17">
        <f t="shared" si="0"/>
        <v>19.830691816437486</v>
      </c>
    </row>
    <row r="18" spans="1:22" x14ac:dyDescent="0.2">
      <c r="A18" t="s">
        <v>64</v>
      </c>
      <c r="B18" t="s">
        <v>60</v>
      </c>
      <c r="C18" t="s">
        <v>52</v>
      </c>
      <c r="D18">
        <v>0.124497117409375</v>
      </c>
      <c r="E18">
        <v>6.3620391999999998E-2</v>
      </c>
      <c r="F18" s="2">
        <v>0.23003329456062505</v>
      </c>
      <c r="G18" s="2">
        <v>0</v>
      </c>
      <c r="H18" s="2">
        <v>0</v>
      </c>
      <c r="I18" s="2">
        <v>0</v>
      </c>
      <c r="J18" s="2">
        <v>0</v>
      </c>
      <c r="K18" s="2">
        <v>1.4177182603681249</v>
      </c>
      <c r="L18" s="2">
        <v>3.8971868664212499</v>
      </c>
      <c r="M18" s="2">
        <v>3.2707681122995305</v>
      </c>
      <c r="N18" s="2">
        <v>7.4321337049418759</v>
      </c>
      <c r="O18" s="2">
        <v>0.18726171600124999</v>
      </c>
      <c r="P18" s="2">
        <v>2.3819586226899996</v>
      </c>
      <c r="Q18" s="2">
        <v>2.5041136997956261</v>
      </c>
      <c r="R18" s="2">
        <v>1.1213755959887504</v>
      </c>
      <c r="S18" s="2">
        <v>1.6697225768375001</v>
      </c>
      <c r="T18" s="2">
        <v>0.23806967928125</v>
      </c>
      <c r="U18" s="2">
        <v>0</v>
      </c>
      <c r="V18">
        <f t="shared" si="0"/>
        <v>24.53845963859516</v>
      </c>
    </row>
    <row r="19" spans="1:22" x14ac:dyDescent="0.2">
      <c r="A19" t="s">
        <v>59</v>
      </c>
      <c r="B19" t="s">
        <v>58</v>
      </c>
      <c r="C19" t="s">
        <v>52</v>
      </c>
      <c r="D19">
        <v>0</v>
      </c>
      <c r="E19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8.714169951749999E-2</v>
      </c>
      <c r="R19" s="2">
        <v>0</v>
      </c>
      <c r="S19" s="2">
        <v>0</v>
      </c>
      <c r="T19" s="2">
        <v>0</v>
      </c>
      <c r="U19" s="2">
        <v>0</v>
      </c>
      <c r="V19">
        <f t="shared" si="0"/>
        <v>8.714169951749999E-2</v>
      </c>
    </row>
    <row r="20" spans="1:22" x14ac:dyDescent="0.2">
      <c r="A20" t="s">
        <v>66</v>
      </c>
      <c r="B20" t="s">
        <v>58</v>
      </c>
      <c r="C20" t="s">
        <v>52</v>
      </c>
      <c r="D20">
        <v>0</v>
      </c>
      <c r="E20">
        <v>0</v>
      </c>
      <c r="F20" s="2">
        <v>0</v>
      </c>
      <c r="G20" s="2">
        <v>0</v>
      </c>
      <c r="H20" s="2">
        <v>9.5165869590000007E-2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7.8219617234374983E-2</v>
      </c>
      <c r="O20" s="2">
        <v>0</v>
      </c>
      <c r="P20" s="2">
        <v>0.13271161954250002</v>
      </c>
      <c r="Q20" s="2">
        <v>0.22300344434625</v>
      </c>
      <c r="R20" s="2">
        <v>0</v>
      </c>
      <c r="S20" s="2">
        <v>0.1618693970175</v>
      </c>
      <c r="T20" s="2">
        <v>0</v>
      </c>
      <c r="U20" s="2">
        <v>0.28309954394812503</v>
      </c>
      <c r="V20">
        <f t="shared" si="0"/>
        <v>0.97406949167875001</v>
      </c>
    </row>
    <row r="21" spans="1:22" x14ac:dyDescent="0.2">
      <c r="A21" t="s">
        <v>50</v>
      </c>
      <c r="B21" t="s">
        <v>48</v>
      </c>
      <c r="C21" t="s">
        <v>41</v>
      </c>
      <c r="D21">
        <v>0</v>
      </c>
      <c r="E21">
        <v>0</v>
      </c>
      <c r="F21" s="2">
        <v>3.7189046619943755</v>
      </c>
      <c r="G21" s="2">
        <v>9.9987883700000002E-2</v>
      </c>
      <c r="H21" s="2">
        <v>0</v>
      </c>
      <c r="I21" s="2">
        <v>0</v>
      </c>
      <c r="J21" s="2">
        <v>0.48624145276874997</v>
      </c>
      <c r="K21" s="2">
        <v>0.69590026705000008</v>
      </c>
      <c r="L21" s="2">
        <v>0</v>
      </c>
      <c r="M21" s="2">
        <v>0</v>
      </c>
      <c r="N21" s="2">
        <v>0</v>
      </c>
      <c r="O21" s="2">
        <v>1.1659879439999998</v>
      </c>
      <c r="P21" s="2">
        <v>0.60518717299999991</v>
      </c>
      <c r="Q21" s="2">
        <v>0.41584549237812496</v>
      </c>
      <c r="R21" s="2">
        <v>0</v>
      </c>
      <c r="S21" s="2">
        <v>0.96318451577374997</v>
      </c>
      <c r="T21" s="2">
        <v>1.0730644470999999</v>
      </c>
      <c r="U21" s="2">
        <v>1.75463934471875</v>
      </c>
      <c r="V21">
        <f t="shared" si="0"/>
        <v>10.97894318248375</v>
      </c>
    </row>
    <row r="22" spans="1:22" x14ac:dyDescent="0.2">
      <c r="A22" t="s">
        <v>49</v>
      </c>
      <c r="B22" t="s">
        <v>48</v>
      </c>
      <c r="C22" t="s">
        <v>41</v>
      </c>
      <c r="D22">
        <v>0</v>
      </c>
      <c r="E22">
        <v>9.0537263578125013E-2</v>
      </c>
      <c r="F22" s="2">
        <v>0</v>
      </c>
      <c r="G22" s="2">
        <v>0</v>
      </c>
      <c r="H22" s="2">
        <v>0</v>
      </c>
      <c r="I22" s="2">
        <v>0</v>
      </c>
      <c r="J22" s="2">
        <v>0.260451180599375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0.60414257559999995</v>
      </c>
      <c r="V22">
        <f t="shared" si="0"/>
        <v>0.95513101977750003</v>
      </c>
    </row>
    <row r="23" spans="1:22" x14ac:dyDescent="0.2">
      <c r="A23" t="s">
        <v>34</v>
      </c>
      <c r="B23" t="s">
        <v>33</v>
      </c>
      <c r="C23" t="s">
        <v>20</v>
      </c>
      <c r="D23">
        <v>0</v>
      </c>
      <c r="E23">
        <v>9.1835683630000026E-2</v>
      </c>
      <c r="F23" s="2">
        <v>0</v>
      </c>
      <c r="G23" s="2">
        <v>0</v>
      </c>
      <c r="H23" s="2">
        <v>0.23597508125687502</v>
      </c>
      <c r="I23" s="2">
        <v>0</v>
      </c>
      <c r="J23" s="2">
        <v>0.126591454779375</v>
      </c>
      <c r="K23" s="2">
        <v>0.73748061652687491</v>
      </c>
      <c r="L23" s="2">
        <v>0</v>
      </c>
      <c r="M23" s="2">
        <v>0.48419891718749997</v>
      </c>
      <c r="N23" s="2">
        <v>0.206481808098125</v>
      </c>
      <c r="O23" s="2">
        <v>0.45231255201437504</v>
      </c>
      <c r="P23" s="2">
        <v>3.5146128824999998E-2</v>
      </c>
      <c r="Q23" s="2">
        <v>0</v>
      </c>
      <c r="R23" s="2">
        <v>0.15819476147624997</v>
      </c>
      <c r="S23" s="2">
        <v>0.30680586375312502</v>
      </c>
      <c r="T23" s="2">
        <v>0.57259438679749997</v>
      </c>
      <c r="U23" s="2">
        <v>1.1549253842012501</v>
      </c>
      <c r="V23">
        <f t="shared" si="0"/>
        <v>4.5625426385462502</v>
      </c>
    </row>
    <row r="24" spans="1:22" x14ac:dyDescent="0.2">
      <c r="A24" t="s">
        <v>94</v>
      </c>
      <c r="B24" t="s">
        <v>33</v>
      </c>
      <c r="C24" t="s">
        <v>20</v>
      </c>
      <c r="D24">
        <v>4.5043813930000003E-2</v>
      </c>
      <c r="E24">
        <v>0.123909029934375</v>
      </c>
      <c r="F24" s="2">
        <v>0.12224371584375002</v>
      </c>
      <c r="G24" s="2">
        <v>0.12794682830187498</v>
      </c>
      <c r="H24" s="2">
        <v>6.5634430207499997E-2</v>
      </c>
      <c r="I24" s="2">
        <v>0</v>
      </c>
      <c r="J24" s="2">
        <v>0.17527000683687499</v>
      </c>
      <c r="K24" s="2">
        <v>0.37741793218062497</v>
      </c>
      <c r="L24" s="2">
        <v>0.48117318900125006</v>
      </c>
      <c r="M24" s="2">
        <v>0</v>
      </c>
      <c r="N24" s="2">
        <v>0.14024239308937503</v>
      </c>
      <c r="O24" s="2">
        <v>8.5279628894375001E-2</v>
      </c>
      <c r="P24" s="2">
        <v>1.2205258362499999E-2</v>
      </c>
      <c r="Q24" s="2">
        <v>0</v>
      </c>
      <c r="R24" s="2">
        <v>2.0186583463125001E-2</v>
      </c>
      <c r="S24" s="2">
        <v>0.16184112443999998</v>
      </c>
      <c r="T24" s="2">
        <v>0</v>
      </c>
      <c r="U24" s="2">
        <v>0.98389441450249993</v>
      </c>
      <c r="V24">
        <f t="shared" si="0"/>
        <v>2.9222883489881246</v>
      </c>
    </row>
    <row r="25" spans="1:22" x14ac:dyDescent="0.2">
      <c r="A25" t="s">
        <v>76</v>
      </c>
      <c r="B25" t="s">
        <v>75</v>
      </c>
      <c r="C25" t="s">
        <v>142</v>
      </c>
      <c r="D25">
        <v>0.9305389899981249</v>
      </c>
      <c r="E25">
        <v>2.5555428876074999</v>
      </c>
      <c r="F25" s="2">
        <v>0</v>
      </c>
      <c r="G25" s="2">
        <v>0</v>
      </c>
      <c r="H25" s="2">
        <v>1.929029537831328</v>
      </c>
      <c r="I25" s="2">
        <v>25.513231513739999</v>
      </c>
      <c r="J25" s="2">
        <v>0.52182557616375014</v>
      </c>
      <c r="K25" s="2">
        <v>1.4316110745593749</v>
      </c>
      <c r="L25" s="2">
        <v>0</v>
      </c>
      <c r="M25" s="2">
        <v>0</v>
      </c>
      <c r="N25" s="2">
        <v>0</v>
      </c>
      <c r="O25" s="2">
        <v>0</v>
      </c>
      <c r="P25" s="2">
        <v>0.81407431350000004</v>
      </c>
      <c r="Q25" s="2">
        <v>5.8527218165887502</v>
      </c>
      <c r="R25" s="2">
        <v>0</v>
      </c>
      <c r="S25" s="2">
        <v>0</v>
      </c>
      <c r="T25" s="2">
        <v>0</v>
      </c>
      <c r="U25" s="2">
        <v>0.81852852417187494</v>
      </c>
      <c r="V25">
        <f t="shared" si="0"/>
        <v>40.367104234160699</v>
      </c>
    </row>
    <row r="26" spans="1:22" x14ac:dyDescent="0.2">
      <c r="A26" t="s">
        <v>81</v>
      </c>
      <c r="B26" t="s">
        <v>80</v>
      </c>
      <c r="C26" t="s">
        <v>142</v>
      </c>
      <c r="D26">
        <v>0.17715759100000003</v>
      </c>
      <c r="E26">
        <v>0.48577786386999999</v>
      </c>
      <c r="F26" s="2">
        <v>0.200259244670625</v>
      </c>
      <c r="G26" s="2">
        <v>1.4166772815799999</v>
      </c>
      <c r="H26" s="2">
        <v>0.961402025775</v>
      </c>
      <c r="I26" s="2">
        <v>0.73675498491812497</v>
      </c>
      <c r="J26" s="2">
        <v>0</v>
      </c>
      <c r="K26" s="2">
        <v>0.16506643036000002</v>
      </c>
      <c r="L26" s="2">
        <v>0.15831538376937501</v>
      </c>
      <c r="M26" s="2">
        <v>0</v>
      </c>
      <c r="N26" s="2">
        <v>0</v>
      </c>
      <c r="O26" s="2">
        <v>0</v>
      </c>
      <c r="P26" s="2">
        <v>0.17381588684625005</v>
      </c>
      <c r="Q26" s="2">
        <v>0</v>
      </c>
      <c r="R26" s="2">
        <v>0.64293408593125001</v>
      </c>
      <c r="S26" s="2">
        <v>0</v>
      </c>
      <c r="T26" s="2">
        <v>0.18880269802624999</v>
      </c>
      <c r="U26" s="2">
        <v>0.53718101236875004</v>
      </c>
      <c r="V26">
        <f t="shared" si="0"/>
        <v>5.8441444891156245</v>
      </c>
    </row>
    <row r="27" spans="1:22" x14ac:dyDescent="0.2">
      <c r="A27" t="s">
        <v>23</v>
      </c>
      <c r="B27" t="s">
        <v>22</v>
      </c>
      <c r="C27" t="s">
        <v>20</v>
      </c>
      <c r="D27">
        <v>0</v>
      </c>
      <c r="E27">
        <v>0.23652641233500005</v>
      </c>
      <c r="F27" s="2">
        <v>0</v>
      </c>
      <c r="G27" s="2">
        <v>0.55330377672999997</v>
      </c>
      <c r="H27" s="2">
        <v>5.0250401035278918</v>
      </c>
      <c r="I27" s="2">
        <v>0.60112822488947504</v>
      </c>
      <c r="J27" s="2">
        <v>0.15976778272562495</v>
      </c>
      <c r="K27" s="2">
        <v>0.22576069742249999</v>
      </c>
      <c r="L27" s="2">
        <v>0.85748100885875</v>
      </c>
      <c r="M27" s="2">
        <v>3.5828408078361718</v>
      </c>
      <c r="N27" s="2">
        <v>1.2187176738474998</v>
      </c>
      <c r="O27" s="2">
        <v>1.2814070117206251</v>
      </c>
      <c r="P27" s="2">
        <v>3.3568346087806256</v>
      </c>
      <c r="Q27" s="2">
        <v>1.0155659482174999</v>
      </c>
      <c r="R27" s="2">
        <v>0.82952112731437488</v>
      </c>
      <c r="S27" s="2">
        <v>0.66106483258062498</v>
      </c>
      <c r="T27" s="2">
        <v>0</v>
      </c>
      <c r="U27" s="2">
        <v>0.19581924165374998</v>
      </c>
      <c r="V27">
        <f t="shared" si="0"/>
        <v>19.800779258440418</v>
      </c>
    </row>
    <row r="28" spans="1:22" x14ac:dyDescent="0.2">
      <c r="A28" t="s">
        <v>30</v>
      </c>
      <c r="B28" t="s">
        <v>29</v>
      </c>
      <c r="C28" t="s">
        <v>20</v>
      </c>
      <c r="D28">
        <v>4.1202805656249994E-2</v>
      </c>
      <c r="E28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4.6392218705000002E-2</v>
      </c>
      <c r="M28" s="2">
        <v>0</v>
      </c>
      <c r="N28" s="2">
        <v>0</v>
      </c>
      <c r="O28" s="2">
        <v>0</v>
      </c>
      <c r="P28" s="2">
        <v>0.86245561722374997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f t="shared" si="0"/>
        <v>0.95005064158499997</v>
      </c>
    </row>
    <row r="29" spans="1:22" x14ac:dyDescent="0.2">
      <c r="A29" t="s">
        <v>31</v>
      </c>
      <c r="B29" t="s">
        <v>29</v>
      </c>
      <c r="C29" t="s">
        <v>20</v>
      </c>
      <c r="D29">
        <v>0</v>
      </c>
      <c r="E29">
        <v>0</v>
      </c>
      <c r="F29" s="2">
        <v>0.13196949440000003</v>
      </c>
      <c r="G29" s="2">
        <v>0.249599586866875</v>
      </c>
      <c r="H29" s="2">
        <v>0.44883174344062499</v>
      </c>
      <c r="I29" s="2">
        <v>0</v>
      </c>
      <c r="J29" s="2">
        <v>0.21668657446375</v>
      </c>
      <c r="K29" s="2">
        <v>0.16580683495999998</v>
      </c>
      <c r="L29" s="2">
        <v>4.8255215602499991E-2</v>
      </c>
      <c r="M29" s="2">
        <v>7.4728360326249993E-2</v>
      </c>
      <c r="N29" s="2">
        <v>0</v>
      </c>
      <c r="O29" s="2">
        <v>0</v>
      </c>
      <c r="P29" s="2">
        <v>0.17357656436249999</v>
      </c>
      <c r="Q29" s="2">
        <v>0.20045610274937498</v>
      </c>
      <c r="R29" s="2">
        <v>0</v>
      </c>
      <c r="S29" s="2">
        <v>0.42136878965124996</v>
      </c>
      <c r="T29" s="2">
        <v>0.40690444115500002</v>
      </c>
      <c r="U29" s="2">
        <v>0</v>
      </c>
      <c r="V29">
        <f t="shared" si="0"/>
        <v>2.5381837079781251</v>
      </c>
    </row>
    <row r="30" spans="1:22" x14ac:dyDescent="0.2">
      <c r="A30" t="s">
        <v>32</v>
      </c>
      <c r="B30" t="s">
        <v>29</v>
      </c>
      <c r="C30" t="s">
        <v>20</v>
      </c>
      <c r="D30">
        <v>0</v>
      </c>
      <c r="E30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2.6665407601875E-2</v>
      </c>
      <c r="L30" s="2">
        <v>6.6336340061249999E-2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f t="shared" si="0"/>
        <v>9.3001747663124995E-2</v>
      </c>
    </row>
    <row r="31" spans="1:22" x14ac:dyDescent="0.2">
      <c r="A31" t="s">
        <v>63</v>
      </c>
      <c r="B31" t="s">
        <v>62</v>
      </c>
      <c r="C31" t="s">
        <v>52</v>
      </c>
      <c r="D31">
        <v>0</v>
      </c>
      <c r="E31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0.14449107329937499</v>
      </c>
      <c r="L31" s="2">
        <v>5.0121529920000005E-2</v>
      </c>
      <c r="M31" s="2">
        <v>0</v>
      </c>
      <c r="N31" s="2">
        <v>3.5517740273750008E-2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f t="shared" si="0"/>
        <v>0.23013034349312503</v>
      </c>
    </row>
    <row r="32" spans="1:22" x14ac:dyDescent="0.2">
      <c r="A32" t="s">
        <v>65</v>
      </c>
      <c r="B32" t="s">
        <v>62</v>
      </c>
      <c r="C32" t="s">
        <v>52</v>
      </c>
      <c r="D32">
        <v>0</v>
      </c>
      <c r="E32">
        <v>0.26026890859125001</v>
      </c>
      <c r="F32" s="2">
        <v>0.11530160611874998</v>
      </c>
      <c r="G32" s="2">
        <v>0.49694037788000006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0.19033135833062498</v>
      </c>
      <c r="S32" s="2">
        <v>8.0003925399999995E-2</v>
      </c>
      <c r="T32" s="2">
        <v>7.6609380017499978E-2</v>
      </c>
      <c r="U32" s="2">
        <v>0</v>
      </c>
      <c r="V32">
        <f t="shared" si="0"/>
        <v>1.2194555563381251</v>
      </c>
    </row>
    <row r="33" spans="1:22" x14ac:dyDescent="0.2">
      <c r="A33" t="s">
        <v>79</v>
      </c>
      <c r="B33" t="s">
        <v>78</v>
      </c>
      <c r="C33" t="s">
        <v>77</v>
      </c>
      <c r="D33">
        <v>0</v>
      </c>
      <c r="E33">
        <v>8.6233138559999992E-2</v>
      </c>
      <c r="F33" s="2">
        <v>0.46195752933562495</v>
      </c>
      <c r="G33" s="2">
        <v>2.4985381679999995E-2</v>
      </c>
      <c r="H33" s="2">
        <v>0</v>
      </c>
      <c r="I33" s="2">
        <v>2.5321588458124999E-2</v>
      </c>
      <c r="J33" s="2">
        <v>7.4109828836875002E-2</v>
      </c>
      <c r="K33" s="2">
        <v>0.49336129361250003</v>
      </c>
      <c r="L33" s="2">
        <v>5.0453772743125E-2</v>
      </c>
      <c r="M33" s="2">
        <v>0.153305405300625</v>
      </c>
      <c r="N33" s="2">
        <v>0.11972420982562501</v>
      </c>
      <c r="O33" s="2">
        <v>0</v>
      </c>
      <c r="P33" s="2">
        <v>0.33407169703687506</v>
      </c>
      <c r="Q33" s="2">
        <v>0.26507734597125004</v>
      </c>
      <c r="R33" s="2">
        <v>2.7797653849999996E-2</v>
      </c>
      <c r="S33" s="2">
        <v>5.4576185062499998E-2</v>
      </c>
      <c r="T33" s="2">
        <v>0</v>
      </c>
      <c r="U33" s="2">
        <v>0.10178</v>
      </c>
      <c r="V33">
        <f t="shared" si="0"/>
        <v>2.2727550302731254</v>
      </c>
    </row>
    <row r="34" spans="1:22" x14ac:dyDescent="0.2">
      <c r="A34" t="s">
        <v>19</v>
      </c>
      <c r="B34" t="s">
        <v>18</v>
      </c>
      <c r="C34" t="s">
        <v>20</v>
      </c>
      <c r="D34">
        <v>2.3476056674880752</v>
      </c>
      <c r="E34">
        <v>1.6209318501156251</v>
      </c>
      <c r="F34" s="2">
        <v>2.5467898576887507</v>
      </c>
      <c r="G34" s="2">
        <v>1.9209025777074999</v>
      </c>
      <c r="H34" s="2">
        <v>1.24408374958875</v>
      </c>
      <c r="I34" s="2">
        <v>2.3631910532893747</v>
      </c>
      <c r="J34" s="2">
        <v>0.16015124319937502</v>
      </c>
      <c r="K34" s="2">
        <v>1.6919413529356251</v>
      </c>
      <c r="L34" s="2">
        <v>0.69425160513875006</v>
      </c>
      <c r="M34" s="2">
        <v>0</v>
      </c>
      <c r="N34" s="2">
        <v>0</v>
      </c>
      <c r="O34" s="2">
        <v>0</v>
      </c>
      <c r="P34" s="2">
        <v>0.46253677711062496</v>
      </c>
      <c r="Q34" s="2">
        <v>0.83030342229624998</v>
      </c>
      <c r="R34" s="2">
        <v>0.30627292859112504</v>
      </c>
      <c r="S34" s="2">
        <v>0.15652562352624999</v>
      </c>
      <c r="T34" s="2">
        <v>1.2409003315525</v>
      </c>
      <c r="U34" s="2">
        <v>0.18548604479499997</v>
      </c>
      <c r="V34">
        <f t="shared" si="0"/>
        <v>17.771874085023573</v>
      </c>
    </row>
    <row r="35" spans="1:22" x14ac:dyDescent="0.2">
      <c r="A35" t="s">
        <v>21</v>
      </c>
      <c r="B35" t="s">
        <v>18</v>
      </c>
      <c r="C35" t="s">
        <v>20</v>
      </c>
      <c r="D35">
        <v>1.44861033195375</v>
      </c>
      <c r="E35">
        <v>1.78778998323625</v>
      </c>
      <c r="F35" s="2">
        <v>0.409170361156875</v>
      </c>
      <c r="G35" s="2">
        <v>0</v>
      </c>
      <c r="H35" s="2">
        <v>0.84265870446106261</v>
      </c>
      <c r="I35" s="2">
        <v>2.6734781492756254</v>
      </c>
      <c r="J35" s="2">
        <v>0</v>
      </c>
      <c r="K35" s="2">
        <v>0.54434102116750005</v>
      </c>
      <c r="L35" s="2">
        <v>1.1470712119374999</v>
      </c>
      <c r="M35" s="2">
        <v>0.31656590991812505</v>
      </c>
      <c r="N35" s="2">
        <v>0.10280915832000001</v>
      </c>
      <c r="O35" s="2">
        <v>0.60425215148062494</v>
      </c>
      <c r="P35" s="2">
        <v>0.31680921699999998</v>
      </c>
      <c r="Q35" s="2">
        <v>6.5387369292199997</v>
      </c>
      <c r="R35" s="2">
        <v>0.25262034040500003</v>
      </c>
      <c r="S35" s="2">
        <v>0.27863872924187499</v>
      </c>
      <c r="T35" s="2">
        <v>0.24008281366312498</v>
      </c>
      <c r="U35" s="2">
        <v>0.16447619892312498</v>
      </c>
      <c r="V35">
        <f t="shared" si="0"/>
        <v>17.668111211360436</v>
      </c>
    </row>
    <row r="36" spans="1:22" x14ac:dyDescent="0.2">
      <c r="A36" t="s">
        <v>24</v>
      </c>
      <c r="B36" t="s">
        <v>18</v>
      </c>
      <c r="C36" t="s">
        <v>20</v>
      </c>
      <c r="D36">
        <v>0.49507649093625</v>
      </c>
      <c r="E36">
        <v>0</v>
      </c>
      <c r="F36" s="2">
        <v>8.3944536984375012E-2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0.64667098545625001</v>
      </c>
      <c r="T36" s="2">
        <v>0.527922486349375</v>
      </c>
      <c r="U36" s="2">
        <v>0</v>
      </c>
      <c r="V36">
        <f t="shared" si="0"/>
        <v>1.7536144997262502</v>
      </c>
    </row>
    <row r="37" spans="1:22" x14ac:dyDescent="0.2">
      <c r="A37" t="s">
        <v>74</v>
      </c>
      <c r="B37" t="s">
        <v>73</v>
      </c>
      <c r="C37" t="s">
        <v>142</v>
      </c>
      <c r="D37">
        <v>0</v>
      </c>
      <c r="E37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0.73549770769062495</v>
      </c>
      <c r="U37" s="2">
        <v>0</v>
      </c>
      <c r="V37">
        <f t="shared" si="0"/>
        <v>0.73549770769062495</v>
      </c>
    </row>
    <row r="38" spans="1:22" x14ac:dyDescent="0.2">
      <c r="A38" t="s">
        <v>72</v>
      </c>
      <c r="B38" t="s">
        <v>71</v>
      </c>
      <c r="C38" t="s">
        <v>142</v>
      </c>
      <c r="D38">
        <v>0</v>
      </c>
      <c r="E38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2.1585216318718752</v>
      </c>
      <c r="T38" s="2">
        <v>0</v>
      </c>
      <c r="U38" s="2">
        <v>0</v>
      </c>
      <c r="V38">
        <f t="shared" si="0"/>
        <v>2.1585216318718752</v>
      </c>
    </row>
    <row r="39" spans="1:22" x14ac:dyDescent="0.2">
      <c r="A39" t="s">
        <v>51</v>
      </c>
      <c r="B39" t="s">
        <v>44</v>
      </c>
      <c r="C39" t="s">
        <v>52</v>
      </c>
      <c r="D39">
        <v>0</v>
      </c>
      <c r="E39">
        <v>0</v>
      </c>
      <c r="F39" s="2">
        <v>0.26519119503624999</v>
      </c>
      <c r="G39" s="2">
        <v>3.6947829239999994E-2</v>
      </c>
      <c r="H39" s="2">
        <v>0</v>
      </c>
      <c r="I39" s="2">
        <v>0.28270562731562504</v>
      </c>
      <c r="J39" s="2">
        <v>0.59046993439500006</v>
      </c>
      <c r="K39" s="2">
        <v>3.9017960626250001E-2</v>
      </c>
      <c r="L39" s="2">
        <v>0</v>
      </c>
      <c r="M39" s="2">
        <v>4.3868272854375001E-2</v>
      </c>
      <c r="N39" s="2">
        <v>0</v>
      </c>
      <c r="O39" s="2">
        <v>6.5838253890000004E-2</v>
      </c>
      <c r="P39" s="2">
        <v>0</v>
      </c>
      <c r="Q39" s="2">
        <v>2.4290843198124999E-2</v>
      </c>
      <c r="R39" s="2">
        <v>0</v>
      </c>
      <c r="S39" s="2">
        <v>0.19140514523187502</v>
      </c>
      <c r="T39" s="2">
        <v>3.4826265624999998E-2</v>
      </c>
      <c r="U39" s="2">
        <v>0</v>
      </c>
      <c r="V39">
        <f t="shared" si="0"/>
        <v>1.5745613274125001</v>
      </c>
    </row>
    <row r="40" spans="1:22" x14ac:dyDescent="0.2">
      <c r="A40" t="s">
        <v>53</v>
      </c>
      <c r="B40" t="s">
        <v>44</v>
      </c>
      <c r="C40" t="s">
        <v>52</v>
      </c>
      <c r="D40">
        <v>0</v>
      </c>
      <c r="E40">
        <v>0.55801182828281248</v>
      </c>
      <c r="F40" s="2">
        <v>0.12270517581124998</v>
      </c>
      <c r="G40" s="2">
        <v>0.20560356627062501</v>
      </c>
      <c r="H40" s="2">
        <v>0.27144084374062499</v>
      </c>
      <c r="I40" s="2">
        <v>0.370633359745625</v>
      </c>
      <c r="J40" s="2">
        <v>0.15156461938937502</v>
      </c>
      <c r="K40" s="2">
        <v>7.3760990332499998E-2</v>
      </c>
      <c r="L40" s="2">
        <v>8.4665128583749999E-2</v>
      </c>
      <c r="M40" s="2">
        <v>0.17003149641374998</v>
      </c>
      <c r="N40" s="2">
        <v>0.10300720423750001</v>
      </c>
      <c r="O40" s="2">
        <v>0.61543243727812513</v>
      </c>
      <c r="P40" s="2">
        <v>2.1278347861249998E-2</v>
      </c>
      <c r="Q40" s="2">
        <v>0</v>
      </c>
      <c r="R40" s="2">
        <v>0.12518531438875</v>
      </c>
      <c r="S40" s="2">
        <v>0.28640223187374997</v>
      </c>
      <c r="T40" s="2">
        <v>0.52110600197687507</v>
      </c>
      <c r="U40" s="2">
        <v>0.20808650778624999</v>
      </c>
      <c r="V40">
        <f t="shared" si="0"/>
        <v>3.8889150539728128</v>
      </c>
    </row>
    <row r="41" spans="1:22" x14ac:dyDescent="0.2">
      <c r="A41" t="s">
        <v>56</v>
      </c>
      <c r="B41" t="s">
        <v>44</v>
      </c>
      <c r="C41" t="s">
        <v>52</v>
      </c>
      <c r="D41">
        <v>1.2453854021625002</v>
      </c>
      <c r="E41">
        <v>10.048678073926249</v>
      </c>
      <c r="F41" s="2">
        <v>3.9732855287437503</v>
      </c>
      <c r="G41" s="2">
        <v>0</v>
      </c>
      <c r="H41" s="2">
        <v>0</v>
      </c>
      <c r="I41" s="2">
        <v>0.86617828968187505</v>
      </c>
      <c r="J41" s="2">
        <v>2.6291487834306246</v>
      </c>
      <c r="K41" s="2">
        <v>1.1760998138100001</v>
      </c>
      <c r="L41" s="2">
        <v>0</v>
      </c>
      <c r="M41" s="2">
        <v>0.13690260350000003</v>
      </c>
      <c r="N41" s="2">
        <v>0.57455909254562498</v>
      </c>
      <c r="O41" s="2">
        <v>13.693013448478125</v>
      </c>
      <c r="P41" s="2">
        <v>0.36782966015250002</v>
      </c>
      <c r="Q41" s="2">
        <v>0</v>
      </c>
      <c r="R41" s="2">
        <v>0</v>
      </c>
      <c r="S41" s="2">
        <v>0.11720706039999999</v>
      </c>
      <c r="T41" s="2">
        <v>0</v>
      </c>
      <c r="U41" s="2">
        <v>0.65147918465562504</v>
      </c>
      <c r="V41">
        <f t="shared" si="0"/>
        <v>35.479766941486879</v>
      </c>
    </row>
    <row r="42" spans="1:22" x14ac:dyDescent="0.2">
      <c r="A42" t="s">
        <v>45</v>
      </c>
      <c r="B42" t="s">
        <v>44</v>
      </c>
      <c r="C42" t="s">
        <v>41</v>
      </c>
      <c r="D42">
        <v>0</v>
      </c>
      <c r="E42">
        <v>0</v>
      </c>
      <c r="F42" s="2">
        <v>0</v>
      </c>
      <c r="G42" s="2">
        <v>0</v>
      </c>
      <c r="H42" s="2">
        <v>3.54203125E-3</v>
      </c>
      <c r="I42" s="2">
        <v>0</v>
      </c>
      <c r="J42" s="2">
        <v>0</v>
      </c>
      <c r="K42" s="2">
        <v>7.0804734799375005E-2</v>
      </c>
      <c r="L42" s="2">
        <v>0</v>
      </c>
      <c r="M42" s="2">
        <v>0</v>
      </c>
      <c r="N42" s="2">
        <v>0</v>
      </c>
      <c r="O42" s="2">
        <v>0</v>
      </c>
      <c r="P42" s="2">
        <v>3.7890419538125004E-2</v>
      </c>
      <c r="Q42" s="2">
        <v>0</v>
      </c>
      <c r="R42" s="2">
        <v>8.2117998479999982E-2</v>
      </c>
      <c r="S42" s="2">
        <v>3.2454465470000006E-2</v>
      </c>
      <c r="T42" s="2">
        <v>0</v>
      </c>
      <c r="U42" s="2">
        <v>2.2592127755E-2</v>
      </c>
      <c r="V42">
        <f t="shared" si="0"/>
        <v>0.24940177729249999</v>
      </c>
    </row>
    <row r="43" spans="1:22" x14ac:dyDescent="0.2">
      <c r="A43" t="s">
        <v>57</v>
      </c>
      <c r="B43" t="s">
        <v>44</v>
      </c>
      <c r="C43" t="s">
        <v>52</v>
      </c>
      <c r="D43">
        <v>0</v>
      </c>
      <c r="E43">
        <v>0</v>
      </c>
      <c r="F43" s="2">
        <v>0.27350896902687505</v>
      </c>
      <c r="G43" s="2">
        <v>0</v>
      </c>
      <c r="H43" s="2">
        <v>0</v>
      </c>
      <c r="I43" s="2">
        <v>0.19832270101625005</v>
      </c>
      <c r="J43" s="2">
        <v>6.2957102050000005E-2</v>
      </c>
      <c r="K43" s="2">
        <v>3.6390648753750005E-2</v>
      </c>
      <c r="L43" s="2">
        <v>0</v>
      </c>
      <c r="M43" s="2">
        <v>3.8773191129999995E-2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f t="shared" si="0"/>
        <v>0.60995261197687511</v>
      </c>
    </row>
    <row r="44" spans="1:22" x14ac:dyDescent="0.2">
      <c r="A44" t="s">
        <v>55</v>
      </c>
      <c r="B44" t="s">
        <v>54</v>
      </c>
      <c r="C44" t="s">
        <v>52</v>
      </c>
      <c r="D44">
        <v>0.128738823634375</v>
      </c>
      <c r="E44">
        <v>0.34560925137250004</v>
      </c>
      <c r="F44" s="2">
        <v>0</v>
      </c>
      <c r="G44" s="2">
        <v>0.21261516454312498</v>
      </c>
      <c r="H44" s="2">
        <v>0.12049014061687499</v>
      </c>
      <c r="I44" s="2">
        <v>0.13936862060240002</v>
      </c>
      <c r="J44" s="2">
        <v>0</v>
      </c>
      <c r="K44" s="2">
        <v>5.3070026714999996E-2</v>
      </c>
      <c r="L44" s="2">
        <v>0</v>
      </c>
      <c r="M44" s="2">
        <v>0.24376776668625003</v>
      </c>
      <c r="N44" s="2">
        <v>0.125900021319375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0.22995206091875003</v>
      </c>
      <c r="V44">
        <f t="shared" si="0"/>
        <v>1.5995118764086502</v>
      </c>
    </row>
    <row r="45" spans="1:22" x14ac:dyDescent="0.2">
      <c r="C45" t="s">
        <v>91</v>
      </c>
      <c r="D45">
        <f>SUM(D2:D44)</f>
        <v>17.740535380001514</v>
      </c>
      <c r="E45">
        <f t="shared" ref="E45:V45" si="1">SUM(E2:E44)</f>
        <v>38.873423586334688</v>
      </c>
      <c r="F45">
        <f t="shared" si="1"/>
        <v>22.617563576605626</v>
      </c>
      <c r="G45">
        <f t="shared" si="1"/>
        <v>35.605592181214554</v>
      </c>
      <c r="H45">
        <f t="shared" si="1"/>
        <v>25.625562026750284</v>
      </c>
      <c r="I45">
        <f t="shared" si="1"/>
        <v>71.784043178447462</v>
      </c>
      <c r="J45">
        <f t="shared" si="1"/>
        <v>26.332339439827503</v>
      </c>
      <c r="K45">
        <f t="shared" si="1"/>
        <v>34.802674831653377</v>
      </c>
      <c r="L45">
        <f t="shared" si="1"/>
        <v>28.693600499079128</v>
      </c>
      <c r="M45">
        <f t="shared" si="1"/>
        <v>23.698957033035942</v>
      </c>
      <c r="N45">
        <f t="shared" si="1"/>
        <v>25.285898435248743</v>
      </c>
      <c r="O45">
        <f t="shared" si="1"/>
        <v>52.837274297105068</v>
      </c>
      <c r="P45">
        <f t="shared" si="1"/>
        <v>30.072734660385944</v>
      </c>
      <c r="Q45">
        <f t="shared" si="1"/>
        <v>53.721410106763244</v>
      </c>
      <c r="R45">
        <f t="shared" si="1"/>
        <v>35.683715216203019</v>
      </c>
      <c r="S45">
        <f t="shared" si="1"/>
        <v>14.592733596260622</v>
      </c>
      <c r="T45">
        <f t="shared" si="1"/>
        <v>10.25350368150375</v>
      </c>
      <c r="U45">
        <f t="shared" si="1"/>
        <v>15.282358700850624</v>
      </c>
      <c r="V45">
        <f t="shared" si="1"/>
        <v>563.50392042727105</v>
      </c>
    </row>
  </sheetData>
  <sortState xmlns:xlrd2="http://schemas.microsoft.com/office/spreadsheetml/2017/richdata2" ref="B2:U44">
    <sortCondition ref="B2:B4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72B9-D9AE-45DD-B172-A6409E4407B4}">
  <dimension ref="A1:V44"/>
  <sheetViews>
    <sheetView zoomScale="115" zoomScaleNormal="115" workbookViewId="0">
      <selection activeCell="F48" sqref="F48"/>
    </sheetView>
  </sheetViews>
  <sheetFormatPr defaultRowHeight="14.25" x14ac:dyDescent="0.2"/>
  <cols>
    <col min="1" max="1" width="17" customWidth="1"/>
    <col min="2" max="2" width="16.5" customWidth="1"/>
    <col min="3" max="3" width="20" customWidth="1"/>
  </cols>
  <sheetData>
    <row r="1" spans="1:22" x14ac:dyDescent="0.2">
      <c r="A1" t="s">
        <v>90</v>
      </c>
      <c r="B1" t="s">
        <v>89</v>
      </c>
      <c r="C1" t="s">
        <v>93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s="2"/>
    </row>
    <row r="2" spans="1:22" x14ac:dyDescent="0.2">
      <c r="A2" t="s">
        <v>38</v>
      </c>
      <c r="B2" t="s">
        <v>37</v>
      </c>
      <c r="C2" t="s">
        <v>20</v>
      </c>
      <c r="D2">
        <v>0</v>
      </c>
      <c r="E2">
        <v>0</v>
      </c>
      <c r="F2" s="2">
        <v>2.1120350477499997E-2</v>
      </c>
      <c r="G2" s="2">
        <v>0</v>
      </c>
      <c r="H2" s="2">
        <v>1.9351906712499999E-2</v>
      </c>
      <c r="I2" s="2">
        <v>0</v>
      </c>
      <c r="J2" s="2">
        <v>9.305456580000003E-3</v>
      </c>
      <c r="K2" s="2">
        <v>0</v>
      </c>
      <c r="L2" s="2">
        <v>0</v>
      </c>
      <c r="M2" s="2">
        <v>0</v>
      </c>
      <c r="N2" s="2">
        <v>4.5113716067812504E-2</v>
      </c>
      <c r="O2" s="2">
        <v>0</v>
      </c>
      <c r="P2" s="2">
        <v>0</v>
      </c>
      <c r="Q2" s="2">
        <v>0</v>
      </c>
      <c r="R2" s="2">
        <v>0</v>
      </c>
      <c r="S2" s="2">
        <v>0.15114336174458332</v>
      </c>
      <c r="T2" s="2">
        <v>0</v>
      </c>
      <c r="U2" s="2">
        <v>0</v>
      </c>
    </row>
    <row r="3" spans="1:22" x14ac:dyDescent="0.2">
      <c r="A3" t="s">
        <v>43</v>
      </c>
      <c r="B3" t="s">
        <v>42</v>
      </c>
      <c r="C3" t="s">
        <v>41</v>
      </c>
      <c r="D3">
        <v>5.1124432783333326E-2</v>
      </c>
      <c r="E3">
        <v>8.9950185376718769E-2</v>
      </c>
      <c r="F3" s="2">
        <v>8.3570542832500025E-2</v>
      </c>
      <c r="G3" s="2">
        <v>3.9722861712617193E-2</v>
      </c>
      <c r="H3" s="2">
        <v>5.3470081547708347E-2</v>
      </c>
      <c r="I3" s="2">
        <v>0.10076184250854166</v>
      </c>
      <c r="J3" s="2">
        <v>0</v>
      </c>
      <c r="K3" s="2">
        <v>0</v>
      </c>
      <c r="L3" s="2">
        <v>2.7356035603750002E-2</v>
      </c>
      <c r="M3" s="2">
        <v>0.12457679033312501</v>
      </c>
      <c r="N3" s="2">
        <v>5.461047236979167E-2</v>
      </c>
      <c r="O3" s="2">
        <v>3.1393353075312498E-2</v>
      </c>
      <c r="P3" s="2">
        <v>4.0313732176201926E-2</v>
      </c>
      <c r="Q3" s="2">
        <v>0.10367591687968751</v>
      </c>
      <c r="R3" s="2">
        <v>6.6800308166406253E-2</v>
      </c>
      <c r="S3" s="2">
        <v>3.1544636084097216E-2</v>
      </c>
      <c r="T3" s="2">
        <v>5.3358119547638888E-2</v>
      </c>
      <c r="U3" s="2">
        <v>2.6237700210000003E-2</v>
      </c>
    </row>
    <row r="4" spans="1:22" x14ac:dyDescent="0.2">
      <c r="A4" t="s">
        <v>40</v>
      </c>
      <c r="B4" t="s">
        <v>39</v>
      </c>
      <c r="C4" t="s">
        <v>41</v>
      </c>
      <c r="D4">
        <v>7.1897523574218747E-2</v>
      </c>
      <c r="E4">
        <v>6.0813194665416681E-2</v>
      </c>
      <c r="F4" s="2">
        <v>3.8768902057250004E-2</v>
      </c>
      <c r="G4" s="2">
        <v>4.9591039909232963E-2</v>
      </c>
      <c r="H4" s="2">
        <v>4.9547135830164471E-2</v>
      </c>
      <c r="I4" s="2">
        <v>6.0910994683082226E-2</v>
      </c>
      <c r="J4" s="2">
        <v>3.8198586916874999E-2</v>
      </c>
      <c r="K4" s="2">
        <v>3.2123301540000003E-2</v>
      </c>
      <c r="L4" s="2">
        <v>6.5736512708372094E-2</v>
      </c>
      <c r="M4" s="2">
        <v>6.3164815716458336E-2</v>
      </c>
      <c r="N4" s="2">
        <v>6.1202177026437501E-2</v>
      </c>
      <c r="O4" s="2">
        <v>5.7367867695842387E-2</v>
      </c>
      <c r="P4" s="2">
        <v>5.1348798673238633E-2</v>
      </c>
      <c r="Q4" s="2">
        <v>7.2047919519590289E-2</v>
      </c>
      <c r="R4" s="2">
        <v>5.9828283818244052E-2</v>
      </c>
      <c r="S4" s="2">
        <v>4.1216947888125008E-2</v>
      </c>
      <c r="T4" s="2">
        <v>5.7192700310104171E-2</v>
      </c>
      <c r="U4" s="2">
        <v>2.2181886079375001E-2</v>
      </c>
    </row>
    <row r="5" spans="1:22" x14ac:dyDescent="0.2">
      <c r="A5" t="s">
        <v>88</v>
      </c>
      <c r="B5" t="s">
        <v>87</v>
      </c>
      <c r="C5" t="s">
        <v>82</v>
      </c>
      <c r="D5">
        <v>1.0034682863203124</v>
      </c>
      <c r="E5">
        <v>2.1520409862401566</v>
      </c>
      <c r="F5" s="2">
        <v>1.8992079295999997</v>
      </c>
      <c r="G5" s="2">
        <v>2.2813989835270831</v>
      </c>
      <c r="H5" s="2">
        <v>0.81036951123125023</v>
      </c>
      <c r="I5" s="2">
        <v>0.77331722744478804</v>
      </c>
      <c r="J5" s="2">
        <v>3.0472833563347508</v>
      </c>
      <c r="K5" s="2">
        <v>2.9764397524051569</v>
      </c>
      <c r="L5" s="2">
        <v>4.10922326745</v>
      </c>
      <c r="M5" s="2">
        <v>0</v>
      </c>
      <c r="N5" s="2">
        <v>0</v>
      </c>
      <c r="O5" s="2">
        <v>2.3364373263187499</v>
      </c>
      <c r="P5" s="2">
        <v>2.6853644642718755</v>
      </c>
      <c r="Q5" s="2">
        <v>5.826203737299374</v>
      </c>
      <c r="R5" s="2">
        <v>3.1387678539092185</v>
      </c>
      <c r="S5" s="2">
        <v>1.1566163375937502</v>
      </c>
      <c r="T5" s="2">
        <v>0</v>
      </c>
      <c r="U5" s="2">
        <v>1.2305817395007812</v>
      </c>
    </row>
    <row r="6" spans="1:22" x14ac:dyDescent="0.2">
      <c r="A6" t="s">
        <v>26</v>
      </c>
      <c r="B6" t="s">
        <v>25</v>
      </c>
      <c r="C6" t="s">
        <v>20</v>
      </c>
      <c r="D6">
        <v>0</v>
      </c>
      <c r="E6">
        <v>0.17246167681499999</v>
      </c>
      <c r="F6" s="2">
        <v>8.905142265624999E-2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2" x14ac:dyDescent="0.2">
      <c r="A7" t="s">
        <v>27</v>
      </c>
      <c r="B7" t="s">
        <v>25</v>
      </c>
      <c r="C7" t="s">
        <v>20</v>
      </c>
      <c r="D7">
        <v>4.9778956644374997E-2</v>
      </c>
      <c r="E7">
        <v>0</v>
      </c>
      <c r="F7" s="2">
        <v>0</v>
      </c>
      <c r="G7" s="2">
        <v>5.6565464709999992E-2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0.15325748756437499</v>
      </c>
      <c r="O7" s="2">
        <v>0</v>
      </c>
      <c r="P7" s="2">
        <v>2.6555507324062498E-2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2" x14ac:dyDescent="0.2">
      <c r="A8" t="s">
        <v>35</v>
      </c>
      <c r="B8" t="s">
        <v>25</v>
      </c>
      <c r="C8" t="s">
        <v>20</v>
      </c>
      <c r="D8">
        <v>0.10449492407270833</v>
      </c>
      <c r="E8">
        <v>9.7921971598664781E-2</v>
      </c>
      <c r="F8" s="2">
        <v>8.3312378665416686E-2</v>
      </c>
      <c r="G8" s="2">
        <v>8.0230706992455936E-2</v>
      </c>
      <c r="H8" s="2">
        <v>6.2516142988712692E-2</v>
      </c>
      <c r="I8" s="2">
        <v>9.2589514153658542E-2</v>
      </c>
      <c r="J8" s="2">
        <v>3.522001444927083E-2</v>
      </c>
      <c r="K8" s="2">
        <v>6.4335235476597238E-2</v>
      </c>
      <c r="L8" s="2">
        <v>7.6856904000042622E-2</v>
      </c>
      <c r="M8" s="2">
        <v>8.8865507526726978E-2</v>
      </c>
      <c r="N8" s="2">
        <v>6.98738240098047E-2</v>
      </c>
      <c r="O8" s="2">
        <v>6.5236024576045257E-2</v>
      </c>
      <c r="P8" s="2">
        <v>6.599515868423679E-2</v>
      </c>
      <c r="Q8" s="2">
        <v>8.7911189775651044E-2</v>
      </c>
      <c r="R8" s="2">
        <v>8.2131791283844582E-2</v>
      </c>
      <c r="S8" s="2">
        <v>5.0160087421437502E-2</v>
      </c>
      <c r="T8" s="2">
        <v>6.8045218800019541E-2</v>
      </c>
      <c r="U8" s="2">
        <v>0.1047247993625</v>
      </c>
    </row>
    <row r="9" spans="1:22" x14ac:dyDescent="0.2">
      <c r="A9" t="s">
        <v>28</v>
      </c>
      <c r="B9" t="s">
        <v>25</v>
      </c>
      <c r="C9" t="s">
        <v>20</v>
      </c>
      <c r="D9">
        <v>6.15453946905394E-2</v>
      </c>
      <c r="E9">
        <v>7.5098289350147049E-2</v>
      </c>
      <c r="F9" s="2">
        <v>6.918070943344759E-2</v>
      </c>
      <c r="G9" s="2">
        <v>3.061879214835227E-2</v>
      </c>
      <c r="H9" s="2">
        <v>5.0803908108611115E-2</v>
      </c>
      <c r="I9" s="2">
        <v>6.1896595848924998E-2</v>
      </c>
      <c r="J9" s="2">
        <v>6.594270859375001E-2</v>
      </c>
      <c r="K9" s="2">
        <v>0.62118926647587502</v>
      </c>
      <c r="L9" s="2">
        <v>8.6443600543124999E-2</v>
      </c>
      <c r="M9" s="2">
        <v>3.0326095678124998E-2</v>
      </c>
      <c r="N9" s="2">
        <v>0</v>
      </c>
      <c r="O9" s="2">
        <v>0</v>
      </c>
      <c r="P9" s="2">
        <v>0.14214995766562499</v>
      </c>
      <c r="Q9" s="2">
        <v>2.5575404680625E-2</v>
      </c>
      <c r="R9" s="2">
        <v>2.6824339311250001E-2</v>
      </c>
      <c r="S9" s="2">
        <v>0</v>
      </c>
      <c r="T9" s="2">
        <v>0</v>
      </c>
      <c r="U9" s="2">
        <v>0</v>
      </c>
    </row>
    <row r="10" spans="1:22" x14ac:dyDescent="0.2">
      <c r="A10" t="s">
        <v>36</v>
      </c>
      <c r="B10" t="s">
        <v>25</v>
      </c>
      <c r="C10" t="s">
        <v>20</v>
      </c>
      <c r="D10">
        <v>0</v>
      </c>
      <c r="E10">
        <v>0</v>
      </c>
      <c r="F10" s="2">
        <v>0</v>
      </c>
      <c r="G10" s="2">
        <v>0.11180355146010938</v>
      </c>
      <c r="H10" s="2">
        <v>8.9408209752875001E-2</v>
      </c>
      <c r="I10" s="2">
        <v>9.8529790019196456E-2</v>
      </c>
      <c r="J10" s="2">
        <v>0</v>
      </c>
      <c r="K10" s="2">
        <v>0.10690679363675</v>
      </c>
      <c r="L10" s="2">
        <v>7.9947362032232155E-2</v>
      </c>
      <c r="M10" s="2">
        <v>5.5855120466718748E-2</v>
      </c>
      <c r="N10" s="2">
        <v>6.4125017569999998E-2</v>
      </c>
      <c r="O10" s="2">
        <v>7.5844598572187505E-2</v>
      </c>
      <c r="P10" s="2">
        <v>5.2234247988533662E-2</v>
      </c>
      <c r="Q10" s="2">
        <v>0.14731963756964286</v>
      </c>
      <c r="R10" s="2">
        <v>4.0131860917916665E-2</v>
      </c>
      <c r="S10" s="2">
        <v>5.9368756011249989E-2</v>
      </c>
      <c r="T10" s="2">
        <v>0.30502880368083329</v>
      </c>
      <c r="U10" s="2">
        <v>0</v>
      </c>
    </row>
    <row r="11" spans="1:22" x14ac:dyDescent="0.2">
      <c r="A11" t="s">
        <v>70</v>
      </c>
      <c r="B11" t="s">
        <v>69</v>
      </c>
      <c r="C11" t="s">
        <v>52</v>
      </c>
      <c r="D11">
        <v>0</v>
      </c>
      <c r="E11">
        <v>0</v>
      </c>
      <c r="F11" s="2">
        <v>0</v>
      </c>
      <c r="G11" s="2">
        <v>0</v>
      </c>
      <c r="H11" s="2">
        <v>0.13670971069187501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0.26721044150020828</v>
      </c>
      <c r="T11" s="2">
        <v>0</v>
      </c>
      <c r="U11" s="2">
        <v>0</v>
      </c>
    </row>
    <row r="12" spans="1:22" x14ac:dyDescent="0.2">
      <c r="A12" t="s">
        <v>47</v>
      </c>
      <c r="B12" t="s">
        <v>46</v>
      </c>
      <c r="C12" t="s">
        <v>41</v>
      </c>
      <c r="D12">
        <v>0</v>
      </c>
      <c r="E1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8.5920564554999981E-2</v>
      </c>
      <c r="T12" s="2">
        <v>0</v>
      </c>
      <c r="U12" s="2">
        <v>0</v>
      </c>
    </row>
    <row r="13" spans="1:22" x14ac:dyDescent="0.2">
      <c r="A13" t="s">
        <v>68</v>
      </c>
      <c r="B13" t="s">
        <v>67</v>
      </c>
      <c r="C13" t="s">
        <v>52</v>
      </c>
      <c r="D13">
        <v>0</v>
      </c>
      <c r="E13">
        <v>3.1401213690833339E-2</v>
      </c>
      <c r="F13" s="2">
        <v>3.8355184431562495E-2</v>
      </c>
      <c r="G13" s="2">
        <v>0</v>
      </c>
      <c r="H13" s="2">
        <v>2.9677499999999999E-2</v>
      </c>
      <c r="I13" s="2">
        <v>0</v>
      </c>
      <c r="J13" s="2">
        <v>4.0951912679999994E-2</v>
      </c>
      <c r="K13" s="2">
        <v>4.0182764891875E-2</v>
      </c>
      <c r="L13" s="2">
        <v>4.389988316E-2</v>
      </c>
      <c r="M13" s="2">
        <v>0</v>
      </c>
      <c r="N13" s="2">
        <v>4.4935349688437501E-2</v>
      </c>
      <c r="O13" s="2">
        <v>0</v>
      </c>
      <c r="P13" s="2">
        <v>0</v>
      </c>
      <c r="Q13" s="2">
        <v>7.7885071921015639E-2</v>
      </c>
      <c r="R13" s="2">
        <v>4.3631508400000012E-2</v>
      </c>
      <c r="S13" s="2">
        <v>5.7205491187499999E-2</v>
      </c>
      <c r="T13" s="2">
        <v>0</v>
      </c>
      <c r="U13" s="2">
        <v>0</v>
      </c>
    </row>
    <row r="14" spans="1:22" x14ac:dyDescent="0.2">
      <c r="A14" t="s">
        <v>84</v>
      </c>
      <c r="B14" t="s">
        <v>83</v>
      </c>
      <c r="C14" t="s">
        <v>82</v>
      </c>
      <c r="D14">
        <v>0</v>
      </c>
      <c r="E14">
        <v>0.28978754075281243</v>
      </c>
      <c r="F14" s="2">
        <v>0</v>
      </c>
      <c r="G14" s="2">
        <v>0</v>
      </c>
      <c r="H14" s="2">
        <v>0</v>
      </c>
      <c r="I14" s="2">
        <v>1.2052658632893749</v>
      </c>
      <c r="J14" s="2">
        <v>4.352159374999999E-2</v>
      </c>
      <c r="K14" s="2">
        <v>0.36377151560468746</v>
      </c>
      <c r="L14" s="2">
        <v>0</v>
      </c>
      <c r="M14" s="2">
        <v>0</v>
      </c>
      <c r="N14" s="2">
        <v>0</v>
      </c>
      <c r="O14" s="2">
        <v>0.35627719650749995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2" x14ac:dyDescent="0.2">
      <c r="A15" t="s">
        <v>85</v>
      </c>
      <c r="B15" t="s">
        <v>83</v>
      </c>
      <c r="C15" t="s">
        <v>82</v>
      </c>
      <c r="D15">
        <v>0</v>
      </c>
      <c r="E15">
        <v>5.6992878930937504E-2</v>
      </c>
      <c r="F15" s="2">
        <v>0</v>
      </c>
      <c r="G15" s="2">
        <v>0</v>
      </c>
      <c r="H15" s="2">
        <v>0</v>
      </c>
      <c r="I15" s="2">
        <v>0</v>
      </c>
      <c r="J15" s="2">
        <v>0.13833471984750001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0.12118891620687501</v>
      </c>
      <c r="S15" s="2">
        <v>0</v>
      </c>
      <c r="T15" s="2">
        <v>9.4851604851874993E-2</v>
      </c>
      <c r="U15" s="2">
        <v>0</v>
      </c>
    </row>
    <row r="16" spans="1:22" x14ac:dyDescent="0.2">
      <c r="A16" t="s">
        <v>86</v>
      </c>
      <c r="B16" t="s">
        <v>83</v>
      </c>
      <c r="C16" t="s">
        <v>82</v>
      </c>
      <c r="D16">
        <v>0.33002298338574998</v>
      </c>
      <c r="E16">
        <v>0.28734034843628475</v>
      </c>
      <c r="F16" s="2">
        <v>0.41383586790125004</v>
      </c>
      <c r="G16" s="2">
        <v>0.2806923850561111</v>
      </c>
      <c r="H16" s="2">
        <v>0.30700222698454172</v>
      </c>
      <c r="I16" s="2">
        <v>0.37975855081492782</v>
      </c>
      <c r="J16" s="2">
        <v>0.3213703748002083</v>
      </c>
      <c r="K16" s="2">
        <v>0.3599312380176985</v>
      </c>
      <c r="L16" s="2">
        <v>0.32963832028511364</v>
      </c>
      <c r="M16" s="2">
        <v>0.2836753556989931</v>
      </c>
      <c r="N16" s="2">
        <v>0.24831843128408335</v>
      </c>
      <c r="O16" s="2">
        <v>0.39993026339846544</v>
      </c>
      <c r="P16" s="2">
        <v>0.33612397172652786</v>
      </c>
      <c r="Q16" s="2">
        <v>0.32629464937113634</v>
      </c>
      <c r="R16" s="2">
        <v>0.35803172342349265</v>
      </c>
      <c r="S16" s="2">
        <v>0.22852519772406252</v>
      </c>
      <c r="T16" s="2">
        <v>0.27164996300000005</v>
      </c>
      <c r="U16" s="2">
        <v>0.20925849358401785</v>
      </c>
    </row>
    <row r="17" spans="1:21" x14ac:dyDescent="0.2">
      <c r="A17" t="s">
        <v>61</v>
      </c>
      <c r="B17" t="s">
        <v>60</v>
      </c>
      <c r="C17" t="s">
        <v>52</v>
      </c>
      <c r="D17">
        <v>5.9085765862857145E-2</v>
      </c>
      <c r="E17">
        <v>0</v>
      </c>
      <c r="F17" s="2">
        <v>0</v>
      </c>
      <c r="G17" s="2">
        <v>0</v>
      </c>
      <c r="H17" s="2">
        <v>5.7164903160208343E-2</v>
      </c>
      <c r="I17" s="2">
        <v>6.964706713499999E-2</v>
      </c>
      <c r="J17" s="2">
        <v>7.4357844531249981E-2</v>
      </c>
      <c r="K17" s="2">
        <v>5.9579055728541677E-2</v>
      </c>
      <c r="L17" s="2">
        <v>6.7414570762881751E-2</v>
      </c>
      <c r="M17" s="2">
        <v>7.1382045106819225E-2</v>
      </c>
      <c r="N17" s="2">
        <v>6.5009410201365372E-2</v>
      </c>
      <c r="O17" s="2">
        <v>7.0348489739583325E-2</v>
      </c>
      <c r="P17" s="2">
        <v>6.286952522015278E-2</v>
      </c>
      <c r="Q17" s="2">
        <v>6.4593360374878478E-2</v>
      </c>
      <c r="R17" s="2">
        <v>6.2835388809539469E-2</v>
      </c>
      <c r="S17" s="2">
        <v>6.2052939469531249E-2</v>
      </c>
      <c r="T17" s="2">
        <v>5.7354391992187503E-2</v>
      </c>
      <c r="U17" s="2">
        <v>6.8558368412500001E-2</v>
      </c>
    </row>
    <row r="18" spans="1:21" x14ac:dyDescent="0.2">
      <c r="A18" t="s">
        <v>64</v>
      </c>
      <c r="B18" t="s">
        <v>60</v>
      </c>
      <c r="C18" t="s">
        <v>52</v>
      </c>
      <c r="D18">
        <v>4.1499039136458332E-2</v>
      </c>
      <c r="E18">
        <v>6.3620391999999998E-2</v>
      </c>
      <c r="F18" s="2">
        <v>0.11501664728031252</v>
      </c>
      <c r="G18" s="2">
        <v>0</v>
      </c>
      <c r="H18" s="2">
        <v>0</v>
      </c>
      <c r="I18" s="2">
        <v>0</v>
      </c>
      <c r="J18" s="2">
        <v>0</v>
      </c>
      <c r="K18" s="2">
        <v>0.10905525079754806</v>
      </c>
      <c r="L18" s="2">
        <v>6.8371699410899114E-2</v>
      </c>
      <c r="M18" s="2">
        <v>6.171260589244397E-2</v>
      </c>
      <c r="N18" s="2">
        <v>0.11612708913971681</v>
      </c>
      <c r="O18" s="2">
        <v>6.2420572000416667E-2</v>
      </c>
      <c r="P18" s="2">
        <v>6.2683121649736828E-2</v>
      </c>
      <c r="Q18" s="2">
        <v>6.5897728941990155E-2</v>
      </c>
      <c r="R18" s="2">
        <v>6.5963270352279432E-2</v>
      </c>
      <c r="S18" s="2">
        <v>5.963294917276786E-2</v>
      </c>
      <c r="T18" s="2">
        <v>2.975870991015625E-2</v>
      </c>
      <c r="U18" s="2">
        <v>0</v>
      </c>
    </row>
    <row r="19" spans="1:21" x14ac:dyDescent="0.2">
      <c r="A19" t="s">
        <v>59</v>
      </c>
      <c r="B19" t="s">
        <v>58</v>
      </c>
      <c r="C19" t="s">
        <v>52</v>
      </c>
      <c r="D19">
        <v>0</v>
      </c>
      <c r="E19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4.3570849758749995E-2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2">
      <c r="A20" t="s">
        <v>66</v>
      </c>
      <c r="B20" t="s">
        <v>58</v>
      </c>
      <c r="C20" t="s">
        <v>52</v>
      </c>
      <c r="D20">
        <v>0</v>
      </c>
      <c r="E20">
        <v>0</v>
      </c>
      <c r="F20" s="2">
        <v>0</v>
      </c>
      <c r="G20" s="2">
        <v>0</v>
      </c>
      <c r="H20" s="2">
        <v>9.5165869590000007E-2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7.8219617234374983E-2</v>
      </c>
      <c r="O20" s="2">
        <v>0</v>
      </c>
      <c r="P20" s="2">
        <v>6.635580977125001E-2</v>
      </c>
      <c r="Q20" s="2">
        <v>5.5750861086562499E-2</v>
      </c>
      <c r="R20" s="2">
        <v>0</v>
      </c>
      <c r="S20" s="2">
        <v>8.093469850875E-2</v>
      </c>
      <c r="T20" s="2">
        <v>0</v>
      </c>
      <c r="U20" s="2">
        <v>9.4366514649375011E-2</v>
      </c>
    </row>
    <row r="21" spans="1:21" x14ac:dyDescent="0.2">
      <c r="A21" t="s">
        <v>50</v>
      </c>
      <c r="B21" t="s">
        <v>48</v>
      </c>
      <c r="C21" t="s">
        <v>41</v>
      </c>
      <c r="D21">
        <v>0</v>
      </c>
      <c r="E21">
        <v>0</v>
      </c>
      <c r="F21" s="2">
        <v>0.74378093239887511</v>
      </c>
      <c r="G21" s="2">
        <v>9.9987883700000002E-2</v>
      </c>
      <c r="H21" s="2">
        <v>0</v>
      </c>
      <c r="I21" s="2">
        <v>0</v>
      </c>
      <c r="J21" s="2">
        <v>0.24312072638437499</v>
      </c>
      <c r="K21" s="2">
        <v>0.69590026705000008</v>
      </c>
      <c r="L21" s="2">
        <v>0</v>
      </c>
      <c r="M21" s="2">
        <v>0</v>
      </c>
      <c r="N21" s="2">
        <v>0</v>
      </c>
      <c r="O21" s="2">
        <v>1.1659879439999998</v>
      </c>
      <c r="P21" s="2">
        <v>0.60518717299999991</v>
      </c>
      <c r="Q21" s="2">
        <v>0.41584549237812496</v>
      </c>
      <c r="R21" s="2">
        <v>0</v>
      </c>
      <c r="S21" s="2">
        <v>0.48159225788687499</v>
      </c>
      <c r="T21" s="2">
        <v>0.53653222354999996</v>
      </c>
      <c r="U21" s="2">
        <v>0.29243989078645832</v>
      </c>
    </row>
    <row r="22" spans="1:21" x14ac:dyDescent="0.2">
      <c r="A22" t="s">
        <v>49</v>
      </c>
      <c r="B22" t="s">
        <v>48</v>
      </c>
      <c r="C22" t="s">
        <v>41</v>
      </c>
      <c r="D22">
        <v>0</v>
      </c>
      <c r="E22">
        <v>4.5268631789062506E-2</v>
      </c>
      <c r="F22" s="2">
        <v>0</v>
      </c>
      <c r="G22" s="2">
        <v>0</v>
      </c>
      <c r="H22" s="2">
        <v>0</v>
      </c>
      <c r="I22" s="2">
        <v>0</v>
      </c>
      <c r="J22" s="2">
        <v>8.6817060199791671E-2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0.60414257559999995</v>
      </c>
    </row>
    <row r="23" spans="1:21" x14ac:dyDescent="0.2">
      <c r="A23" t="s">
        <v>34</v>
      </c>
      <c r="B23" t="s">
        <v>33</v>
      </c>
      <c r="C23" t="s">
        <v>20</v>
      </c>
      <c r="D23">
        <v>0</v>
      </c>
      <c r="E23">
        <v>9.1835683630000026E-2</v>
      </c>
      <c r="F23" s="2">
        <v>0</v>
      </c>
      <c r="G23" s="2">
        <v>0</v>
      </c>
      <c r="H23" s="2">
        <v>7.8658360418958337E-2</v>
      </c>
      <c r="I23" s="2">
        <v>0</v>
      </c>
      <c r="J23" s="2">
        <v>4.2197151593125003E-2</v>
      </c>
      <c r="K23" s="2">
        <v>7.3748061652687491E-2</v>
      </c>
      <c r="L23" s="2">
        <v>0</v>
      </c>
      <c r="M23" s="2">
        <v>0.48419891718749997</v>
      </c>
      <c r="N23" s="2">
        <v>3.4413634683020833E-2</v>
      </c>
      <c r="O23" s="2">
        <v>9.0462510402875007E-2</v>
      </c>
      <c r="P23" s="2">
        <v>3.5146128824999998E-2</v>
      </c>
      <c r="Q23" s="2">
        <v>0</v>
      </c>
      <c r="R23" s="2">
        <v>0.15819476147624997</v>
      </c>
      <c r="S23" s="2">
        <v>5.1134310625520839E-2</v>
      </c>
      <c r="T23" s="2">
        <v>0.19086479559916666</v>
      </c>
      <c r="U23" s="2">
        <v>0.12832504268902778</v>
      </c>
    </row>
    <row r="24" spans="1:21" x14ac:dyDescent="0.2">
      <c r="A24" t="s">
        <v>94</v>
      </c>
      <c r="B24" t="s">
        <v>33</v>
      </c>
      <c r="C24" t="s">
        <v>20</v>
      </c>
      <c r="D24">
        <v>4.5043813930000003E-2</v>
      </c>
      <c r="E24">
        <v>6.1954514967187499E-2</v>
      </c>
      <c r="F24" s="2">
        <v>6.1121857921875009E-2</v>
      </c>
      <c r="G24" s="2">
        <v>6.3973414150937491E-2</v>
      </c>
      <c r="H24" s="2">
        <v>6.5634430207499997E-2</v>
      </c>
      <c r="I24" s="2">
        <v>0</v>
      </c>
      <c r="J24" s="2">
        <v>5.8423335612291662E-2</v>
      </c>
      <c r="K24" s="2">
        <v>6.2902988696770828E-2</v>
      </c>
      <c r="L24" s="2">
        <v>0.12029329725031251</v>
      </c>
      <c r="M24" s="2">
        <v>0</v>
      </c>
      <c r="N24" s="2">
        <v>7.0121196544687514E-2</v>
      </c>
      <c r="O24" s="2">
        <v>2.8426542964791666E-2</v>
      </c>
      <c r="P24" s="2">
        <v>1.2205258362499999E-2</v>
      </c>
      <c r="Q24" s="2">
        <v>0</v>
      </c>
      <c r="R24" s="2">
        <v>2.0186583463125001E-2</v>
      </c>
      <c r="S24" s="2">
        <v>5.3947041479999992E-2</v>
      </c>
      <c r="T24" s="2">
        <v>0</v>
      </c>
      <c r="U24" s="2">
        <v>8.9444946772954545E-2</v>
      </c>
    </row>
    <row r="25" spans="1:21" x14ac:dyDescent="0.2">
      <c r="A25" t="s">
        <v>76</v>
      </c>
      <c r="B25" t="s">
        <v>75</v>
      </c>
      <c r="C25" t="s">
        <v>77</v>
      </c>
      <c r="D25">
        <v>0.3101796633327083</v>
      </c>
      <c r="E25">
        <v>2.5555428876074999</v>
      </c>
      <c r="F25" s="2">
        <v>0</v>
      </c>
      <c r="G25" s="2">
        <v>0</v>
      </c>
      <c r="H25" s="2">
        <v>0.96451476891566401</v>
      </c>
      <c r="I25" s="2">
        <v>0.9812781351438461</v>
      </c>
      <c r="J25" s="2">
        <v>0.52182557616375014</v>
      </c>
      <c r="K25" s="2">
        <v>0.71580553727968743</v>
      </c>
      <c r="L25" s="2">
        <v>0</v>
      </c>
      <c r="M25" s="2">
        <v>0</v>
      </c>
      <c r="N25" s="2">
        <v>0</v>
      </c>
      <c r="O25" s="2">
        <v>0</v>
      </c>
      <c r="P25" s="2">
        <v>0.81407431350000004</v>
      </c>
      <c r="Q25" s="2">
        <v>0.97545363609812508</v>
      </c>
      <c r="R25" s="2">
        <v>0</v>
      </c>
      <c r="S25" s="2">
        <v>0</v>
      </c>
      <c r="T25" s="2">
        <v>0</v>
      </c>
      <c r="U25" s="2">
        <v>0.81852852417187494</v>
      </c>
    </row>
    <row r="26" spans="1:21" x14ac:dyDescent="0.2">
      <c r="A26" t="s">
        <v>81</v>
      </c>
      <c r="B26" t="s">
        <v>80</v>
      </c>
      <c r="C26" t="s">
        <v>77</v>
      </c>
      <c r="D26">
        <v>0.17715759100000003</v>
      </c>
      <c r="E26">
        <v>0.242888931935</v>
      </c>
      <c r="F26" s="2">
        <v>0.200259244670625</v>
      </c>
      <c r="G26" s="2">
        <v>0.35416932039499999</v>
      </c>
      <c r="H26" s="2">
        <v>0.24035050644375</v>
      </c>
      <c r="I26" s="2">
        <v>0.18418874622953124</v>
      </c>
      <c r="J26" s="2">
        <v>0</v>
      </c>
      <c r="K26" s="2">
        <v>0.16506643036000002</v>
      </c>
      <c r="L26" s="2">
        <v>0.15831538376937501</v>
      </c>
      <c r="M26" s="2">
        <v>0</v>
      </c>
      <c r="N26" s="2">
        <v>0</v>
      </c>
      <c r="O26" s="2">
        <v>0</v>
      </c>
      <c r="P26" s="2">
        <v>0.17381588684625005</v>
      </c>
      <c r="Q26" s="2">
        <v>0</v>
      </c>
      <c r="R26" s="2">
        <v>0.21431136197708334</v>
      </c>
      <c r="S26" s="2">
        <v>0</v>
      </c>
      <c r="T26" s="2">
        <v>0.18880269802624999</v>
      </c>
      <c r="U26" s="2">
        <v>0.17906033745625002</v>
      </c>
    </row>
    <row r="27" spans="1:21" x14ac:dyDescent="0.2">
      <c r="A27" t="s">
        <v>23</v>
      </c>
      <c r="B27" t="s">
        <v>22</v>
      </c>
      <c r="C27" t="s">
        <v>20</v>
      </c>
      <c r="D27">
        <v>0</v>
      </c>
      <c r="E27">
        <v>0.11826320616750002</v>
      </c>
      <c r="F27" s="2">
        <v>0</v>
      </c>
      <c r="G27" s="2">
        <v>9.2217296121666667E-2</v>
      </c>
      <c r="H27" s="2">
        <v>0.11166755785617537</v>
      </c>
      <c r="I27" s="2">
        <v>0.15028205622236876</v>
      </c>
      <c r="J27" s="2">
        <v>7.9883891362812473E-2</v>
      </c>
      <c r="K27" s="2">
        <v>0.11288034871124999</v>
      </c>
      <c r="L27" s="2">
        <v>0.12249728697982143</v>
      </c>
      <c r="M27" s="2">
        <v>0.1194280269278724</v>
      </c>
      <c r="N27" s="2">
        <v>8.7051262417678563E-2</v>
      </c>
      <c r="O27" s="2">
        <v>0.11649154652005683</v>
      </c>
      <c r="P27" s="2">
        <v>0.11575291754415951</v>
      </c>
      <c r="Q27" s="2">
        <v>7.8120457555192299E-2</v>
      </c>
      <c r="R27" s="2">
        <v>5.9251509093883922E-2</v>
      </c>
      <c r="S27" s="2">
        <v>7.3451648064513889E-2</v>
      </c>
      <c r="T27" s="2">
        <v>0</v>
      </c>
      <c r="U27" s="2">
        <v>6.5273080551249987E-2</v>
      </c>
    </row>
    <row r="28" spans="1:21" x14ac:dyDescent="0.2">
      <c r="A28" t="s">
        <v>30</v>
      </c>
      <c r="B28" t="s">
        <v>29</v>
      </c>
      <c r="C28" t="s">
        <v>20</v>
      </c>
      <c r="D28">
        <v>4.1202805656249994E-2</v>
      </c>
      <c r="E28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4.6392218705000002E-2</v>
      </c>
      <c r="M28" s="2">
        <v>0</v>
      </c>
      <c r="N28" s="2">
        <v>0</v>
      </c>
      <c r="O28" s="2">
        <v>0</v>
      </c>
      <c r="P28" s="2">
        <v>0.86245561722374997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">
      <c r="A29" t="s">
        <v>31</v>
      </c>
      <c r="B29" t="s">
        <v>29</v>
      </c>
      <c r="C29" t="s">
        <v>20</v>
      </c>
      <c r="D29">
        <v>0</v>
      </c>
      <c r="E29">
        <v>0</v>
      </c>
      <c r="F29" s="2">
        <v>0.13196949440000003</v>
      </c>
      <c r="G29" s="2">
        <v>8.3199862288958329E-2</v>
      </c>
      <c r="H29" s="2">
        <v>0.22441587172031249</v>
      </c>
      <c r="I29" s="2">
        <v>0</v>
      </c>
      <c r="J29" s="2">
        <v>4.3337314892750001E-2</v>
      </c>
      <c r="K29" s="2">
        <v>4.1451708739999996E-2</v>
      </c>
      <c r="L29" s="2">
        <v>4.8255215602499991E-2</v>
      </c>
      <c r="M29" s="2">
        <v>3.7364180163124996E-2</v>
      </c>
      <c r="N29" s="2">
        <v>0</v>
      </c>
      <c r="O29" s="2">
        <v>0</v>
      </c>
      <c r="P29" s="2">
        <v>8.6788282181249995E-2</v>
      </c>
      <c r="Q29" s="2">
        <v>0.10022805137468749</v>
      </c>
      <c r="R29" s="2">
        <v>0</v>
      </c>
      <c r="S29" s="2">
        <v>8.4273757930249993E-2</v>
      </c>
      <c r="T29" s="2">
        <v>0.10172611028875</v>
      </c>
      <c r="U29" s="2">
        <v>0</v>
      </c>
    </row>
    <row r="30" spans="1:21" x14ac:dyDescent="0.2">
      <c r="A30" t="s">
        <v>32</v>
      </c>
      <c r="B30" t="s">
        <v>29</v>
      </c>
      <c r="C30" t="s">
        <v>20</v>
      </c>
      <c r="D30">
        <v>0</v>
      </c>
      <c r="E30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2.6665407601875E-2</v>
      </c>
      <c r="L30" s="2">
        <v>6.6336340061249999E-2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">
      <c r="A31" t="s">
        <v>63</v>
      </c>
      <c r="B31" t="s">
        <v>62</v>
      </c>
      <c r="C31" t="s">
        <v>52</v>
      </c>
      <c r="D31">
        <v>0</v>
      </c>
      <c r="E31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7.2245536649687497E-2</v>
      </c>
      <c r="L31" s="2">
        <v>5.0121529920000005E-2</v>
      </c>
      <c r="M31" s="2">
        <v>0</v>
      </c>
      <c r="N31" s="2">
        <v>3.5517740273750008E-2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">
      <c r="A32" t="s">
        <v>65</v>
      </c>
      <c r="B32" t="s">
        <v>62</v>
      </c>
      <c r="C32" t="s">
        <v>52</v>
      </c>
      <c r="D32">
        <v>0</v>
      </c>
      <c r="E32">
        <v>0.13013445429562501</v>
      </c>
      <c r="F32" s="2">
        <v>5.7650803059374991E-2</v>
      </c>
      <c r="G32" s="2">
        <v>0.24847018894000003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9.5165679165312489E-2</v>
      </c>
      <c r="S32" s="2">
        <v>8.0003925399999995E-2</v>
      </c>
      <c r="T32" s="2">
        <v>7.6609380017499978E-2</v>
      </c>
      <c r="U32" s="2">
        <v>0</v>
      </c>
    </row>
    <row r="33" spans="1:21" x14ac:dyDescent="0.2">
      <c r="A33" t="s">
        <v>79</v>
      </c>
      <c r="B33" t="s">
        <v>78</v>
      </c>
      <c r="C33" t="s">
        <v>77</v>
      </c>
      <c r="D33">
        <v>0</v>
      </c>
      <c r="E33">
        <v>8.6233138559999992E-2</v>
      </c>
      <c r="F33" s="2">
        <v>7.6992921555937496E-2</v>
      </c>
      <c r="G33" s="1">
        <v>2.4985381679999995E-2</v>
      </c>
      <c r="H33" s="2">
        <v>0</v>
      </c>
      <c r="I33" s="2">
        <v>2.5321588458124999E-2</v>
      </c>
      <c r="J33" s="2">
        <v>2.4703276278958335E-2</v>
      </c>
      <c r="K33" s="2">
        <v>0.24668064680625001</v>
      </c>
      <c r="L33" s="2">
        <v>2.52268863715625E-2</v>
      </c>
      <c r="M33" s="2">
        <v>7.6652702650312501E-2</v>
      </c>
      <c r="N33" s="2">
        <v>3.9908069941875006E-2</v>
      </c>
      <c r="O33" s="2">
        <v>0</v>
      </c>
      <c r="P33" s="2">
        <v>0.11135723234562502</v>
      </c>
      <c r="Q33" s="2">
        <v>0.26507734597125004</v>
      </c>
      <c r="R33" s="2">
        <v>2.7797653849999996E-2</v>
      </c>
      <c r="S33" s="2">
        <v>5.4576185062499998E-2</v>
      </c>
      <c r="T33" s="2">
        <v>0</v>
      </c>
      <c r="U33" s="2">
        <v>0.10178</v>
      </c>
    </row>
    <row r="34" spans="1:21" x14ac:dyDescent="0.2">
      <c r="A34" t="s">
        <v>19</v>
      </c>
      <c r="B34" t="s">
        <v>18</v>
      </c>
      <c r="C34" t="s">
        <v>20</v>
      </c>
      <c r="D34">
        <v>0.1467253542180047</v>
      </c>
      <c r="E34">
        <v>0.23156169287366074</v>
      </c>
      <c r="F34" s="2">
        <v>0.25467898576887504</v>
      </c>
      <c r="G34" s="2">
        <v>0.21343361974527778</v>
      </c>
      <c r="H34" s="2">
        <v>0.124408374958875</v>
      </c>
      <c r="I34" s="2">
        <v>0.14769944083058592</v>
      </c>
      <c r="J34" s="2">
        <v>8.0075621599687508E-2</v>
      </c>
      <c r="K34" s="2">
        <v>0.1879934836595139</v>
      </c>
      <c r="L34" s="2">
        <v>0.11570860085645834</v>
      </c>
      <c r="M34" s="2">
        <v>0</v>
      </c>
      <c r="N34" s="2">
        <v>0</v>
      </c>
      <c r="O34" s="2">
        <v>0</v>
      </c>
      <c r="P34" s="2">
        <v>0.23126838855531248</v>
      </c>
      <c r="Q34" s="2">
        <v>0.27676780743208335</v>
      </c>
      <c r="R34" s="2">
        <v>6.1254585718225008E-2</v>
      </c>
      <c r="S34" s="2">
        <v>5.2175207842083328E-2</v>
      </c>
      <c r="T34" s="2">
        <v>9.5453871657884617E-2</v>
      </c>
      <c r="U34" s="2">
        <v>0.18548604479499997</v>
      </c>
    </row>
    <row r="35" spans="1:21" x14ac:dyDescent="0.2">
      <c r="A35" t="s">
        <v>21</v>
      </c>
      <c r="B35" t="s">
        <v>18</v>
      </c>
      <c r="C35" t="s">
        <v>20</v>
      </c>
      <c r="D35">
        <v>0.24143505532562501</v>
      </c>
      <c r="E35">
        <v>0.59592999441208339</v>
      </c>
      <c r="F35" s="2">
        <v>0.2045851805784375</v>
      </c>
      <c r="G35" s="2">
        <v>0</v>
      </c>
      <c r="H35" s="2">
        <v>6.4819900343158668E-2</v>
      </c>
      <c r="I35" s="2">
        <v>0.38192544989651794</v>
      </c>
      <c r="J35" s="2">
        <v>0</v>
      </c>
      <c r="K35" s="2">
        <v>0.27217051058375002</v>
      </c>
      <c r="L35" s="2">
        <v>0.3823570706458333</v>
      </c>
      <c r="M35" s="2">
        <v>0.31656590991812505</v>
      </c>
      <c r="N35" s="2">
        <v>3.4269719440000006E-2</v>
      </c>
      <c r="O35" s="2">
        <v>0.20141738382687499</v>
      </c>
      <c r="P35" s="2">
        <v>0.15840460849999999</v>
      </c>
      <c r="Q35" s="2">
        <v>0.54489474410166661</v>
      </c>
      <c r="R35" s="2">
        <v>8.4206780135000006E-2</v>
      </c>
      <c r="S35" s="2">
        <v>6.9659682310468748E-2</v>
      </c>
      <c r="T35" s="2">
        <v>6.0020703415781244E-2</v>
      </c>
      <c r="U35" s="2">
        <v>5.4825399641041661E-2</v>
      </c>
    </row>
    <row r="36" spans="1:21" x14ac:dyDescent="0.2">
      <c r="A36" t="s">
        <v>24</v>
      </c>
      <c r="B36" t="s">
        <v>18</v>
      </c>
      <c r="C36" t="s">
        <v>20</v>
      </c>
      <c r="D36">
        <v>0.247538245468125</v>
      </c>
      <c r="E36">
        <v>0</v>
      </c>
      <c r="F36" s="2">
        <v>2.7981512328125003E-2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0.21555699515208335</v>
      </c>
      <c r="T36" s="2">
        <v>0.2639612431746875</v>
      </c>
      <c r="U36" s="2">
        <v>0</v>
      </c>
    </row>
    <row r="37" spans="1:21" x14ac:dyDescent="0.2">
      <c r="A37" t="s">
        <v>74</v>
      </c>
      <c r="B37" t="s">
        <v>73</v>
      </c>
      <c r="C37" t="s">
        <v>142</v>
      </c>
      <c r="D37">
        <v>0</v>
      </c>
      <c r="E37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0.18387442692265624</v>
      </c>
      <c r="U37" s="2">
        <v>0</v>
      </c>
    </row>
    <row r="38" spans="1:21" x14ac:dyDescent="0.2">
      <c r="A38" t="s">
        <v>72</v>
      </c>
      <c r="B38" t="s">
        <v>71</v>
      </c>
      <c r="C38" t="s">
        <v>142</v>
      </c>
      <c r="D38">
        <v>0</v>
      </c>
      <c r="E38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0.53963040796796879</v>
      </c>
      <c r="T38" s="2">
        <v>0</v>
      </c>
      <c r="U38" s="2">
        <v>0</v>
      </c>
    </row>
    <row r="39" spans="1:21" x14ac:dyDescent="0.2">
      <c r="A39" t="s">
        <v>51</v>
      </c>
      <c r="B39" t="s">
        <v>44</v>
      </c>
      <c r="C39" t="s">
        <v>52</v>
      </c>
      <c r="D39">
        <v>0</v>
      </c>
      <c r="E39">
        <v>0</v>
      </c>
      <c r="F39" s="2">
        <v>0.132595597518125</v>
      </c>
      <c r="G39" s="2">
        <v>3.6947829239999994E-2</v>
      </c>
      <c r="H39" s="2">
        <v>0</v>
      </c>
      <c r="I39" s="2">
        <v>3.1411736368402783E-2</v>
      </c>
      <c r="J39" s="2">
        <v>0.11809398687900001</v>
      </c>
      <c r="K39" s="2">
        <v>3.9017960626250001E-2</v>
      </c>
      <c r="L39" s="2">
        <v>0</v>
      </c>
      <c r="M39" s="2">
        <v>4.3868272854375001E-2</v>
      </c>
      <c r="N39" s="2">
        <v>0</v>
      </c>
      <c r="O39" s="2">
        <v>6.5838253890000004E-2</v>
      </c>
      <c r="P39" s="2">
        <v>0</v>
      </c>
      <c r="Q39" s="2">
        <v>2.4290843198124999E-2</v>
      </c>
      <c r="R39" s="2">
        <v>0</v>
      </c>
      <c r="S39" s="2">
        <v>6.3801715077291668E-2</v>
      </c>
      <c r="T39" s="2">
        <v>3.4826265624999998E-2</v>
      </c>
      <c r="U39" s="2">
        <v>0</v>
      </c>
    </row>
    <row r="40" spans="1:21" x14ac:dyDescent="0.2">
      <c r="A40" t="s">
        <v>53</v>
      </c>
      <c r="B40" t="s">
        <v>44</v>
      </c>
      <c r="C40" t="s">
        <v>52</v>
      </c>
      <c r="D40">
        <v>0</v>
      </c>
      <c r="E40">
        <v>0.11160236565656249</v>
      </c>
      <c r="F40" s="2">
        <v>3.0676293952812496E-2</v>
      </c>
      <c r="G40" s="2">
        <v>2.5700445783828126E-2</v>
      </c>
      <c r="H40" s="2">
        <v>4.5240140623437501E-2</v>
      </c>
      <c r="I40" s="2">
        <v>5.2947622820803571E-2</v>
      </c>
      <c r="J40" s="2">
        <v>3.7891154847343754E-2</v>
      </c>
      <c r="K40" s="2">
        <v>2.4586996777499998E-2</v>
      </c>
      <c r="L40" s="2">
        <v>2.11662821459375E-2</v>
      </c>
      <c r="M40" s="2">
        <v>4.2507874103437496E-2</v>
      </c>
      <c r="N40" s="2">
        <v>5.1503602118750005E-2</v>
      </c>
      <c r="O40" s="2">
        <v>6.1543243727812516E-2</v>
      </c>
      <c r="P40" s="2">
        <v>2.1278347861249998E-2</v>
      </c>
      <c r="Q40" s="2">
        <v>0</v>
      </c>
      <c r="R40" s="2">
        <v>6.2592657194374998E-2</v>
      </c>
      <c r="S40" s="2">
        <v>3.5800278984218746E-2</v>
      </c>
      <c r="T40" s="2">
        <v>5.7900666886319452E-2</v>
      </c>
      <c r="U40" s="2">
        <v>3.4681084631041664E-2</v>
      </c>
    </row>
    <row r="41" spans="1:21" x14ac:dyDescent="0.2">
      <c r="A41" t="s">
        <v>56</v>
      </c>
      <c r="B41" t="s">
        <v>44</v>
      </c>
      <c r="C41" t="s">
        <v>52</v>
      </c>
      <c r="D41">
        <v>0.31134635054062504</v>
      </c>
      <c r="E41">
        <v>0.50243390369631247</v>
      </c>
      <c r="F41" s="2">
        <v>0.22073808493020836</v>
      </c>
      <c r="G41" s="2">
        <v>0</v>
      </c>
      <c r="H41" s="2">
        <v>0</v>
      </c>
      <c r="I41" s="2">
        <v>0.43308914484093752</v>
      </c>
      <c r="J41" s="2">
        <v>0.43819146390510411</v>
      </c>
      <c r="K41" s="2">
        <v>0.19601663563500002</v>
      </c>
      <c r="L41" s="2">
        <v>0</v>
      </c>
      <c r="M41" s="2">
        <v>0.13690260350000003</v>
      </c>
      <c r="N41" s="2">
        <v>0.11491181850912499</v>
      </c>
      <c r="O41" s="2">
        <v>0.48903619458850445</v>
      </c>
      <c r="P41" s="2">
        <v>0.18391483007625001</v>
      </c>
      <c r="Q41" s="2">
        <v>0</v>
      </c>
      <c r="R41" s="2">
        <v>0</v>
      </c>
      <c r="S41" s="2">
        <v>0.11720706039999999</v>
      </c>
      <c r="T41" s="2">
        <v>0</v>
      </c>
      <c r="U41" s="2">
        <v>0.21715972821854168</v>
      </c>
    </row>
    <row r="42" spans="1:21" x14ac:dyDescent="0.2">
      <c r="A42" t="s">
        <v>45</v>
      </c>
      <c r="B42" t="s">
        <v>44</v>
      </c>
      <c r="C42" t="s">
        <v>41</v>
      </c>
      <c r="D42">
        <v>0</v>
      </c>
      <c r="E42">
        <v>0</v>
      </c>
      <c r="F42" s="2">
        <v>0</v>
      </c>
      <c r="G42" s="2">
        <v>0</v>
      </c>
      <c r="H42" s="2">
        <v>3.54203125E-3</v>
      </c>
      <c r="I42" s="2">
        <v>0</v>
      </c>
      <c r="J42" s="2">
        <v>0</v>
      </c>
      <c r="K42" s="2">
        <v>7.0804734799375005E-2</v>
      </c>
      <c r="L42" s="2">
        <v>0</v>
      </c>
      <c r="M42" s="2">
        <v>0</v>
      </c>
      <c r="N42" s="2">
        <v>0</v>
      </c>
      <c r="O42" s="2">
        <v>0</v>
      </c>
      <c r="P42" s="2">
        <v>3.7890419538125004E-2</v>
      </c>
      <c r="Q42" s="2">
        <v>0</v>
      </c>
      <c r="R42" s="2">
        <v>8.2117998479999982E-2</v>
      </c>
      <c r="S42" s="2">
        <v>3.2454465470000006E-2</v>
      </c>
      <c r="T42" s="2">
        <v>0</v>
      </c>
      <c r="U42" s="2">
        <v>2.2592127755E-2</v>
      </c>
    </row>
    <row r="43" spans="1:21" x14ac:dyDescent="0.2">
      <c r="A43" t="s">
        <v>57</v>
      </c>
      <c r="B43" t="s">
        <v>44</v>
      </c>
      <c r="C43" t="s">
        <v>52</v>
      </c>
      <c r="D43">
        <v>0</v>
      </c>
      <c r="E43">
        <v>0</v>
      </c>
      <c r="F43" s="2">
        <v>0.13675448451343752</v>
      </c>
      <c r="G43" s="2">
        <v>0</v>
      </c>
      <c r="H43" s="2">
        <v>0</v>
      </c>
      <c r="I43" s="2">
        <v>9.9161350508125023E-2</v>
      </c>
      <c r="J43" s="2">
        <v>6.2957102050000005E-2</v>
      </c>
      <c r="K43" s="2">
        <v>3.6390648753750005E-2</v>
      </c>
      <c r="L43" s="2">
        <v>0</v>
      </c>
      <c r="M43" s="2">
        <v>3.8773191129999995E-2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">
      <c r="A44" t="s">
        <v>55</v>
      </c>
      <c r="B44" t="s">
        <v>54</v>
      </c>
      <c r="C44" t="s">
        <v>52</v>
      </c>
      <c r="D44">
        <v>0.128738823634375</v>
      </c>
      <c r="E44">
        <v>5.7601541895416671E-2</v>
      </c>
      <c r="F44" s="2">
        <v>0</v>
      </c>
      <c r="G44" s="2">
        <v>7.0871721514375E-2</v>
      </c>
      <c r="H44" s="2">
        <v>6.0245070308437496E-2</v>
      </c>
      <c r="I44" s="2">
        <v>6.9684310301200009E-2</v>
      </c>
      <c r="J44" s="2">
        <v>0</v>
      </c>
      <c r="K44" s="2">
        <v>5.3070026714999996E-2</v>
      </c>
      <c r="L44" s="2">
        <v>0</v>
      </c>
      <c r="M44" s="2">
        <v>6.0941941671562506E-2</v>
      </c>
      <c r="N44" s="2">
        <v>6.29500106596875E-2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0.11497603045937502</v>
      </c>
    </row>
  </sheetData>
  <sortState xmlns:xlrd2="http://schemas.microsoft.com/office/spreadsheetml/2017/richdata2" ref="B2:V45">
    <sortCondition ref="B2:B45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647C-0338-446E-ABD7-1E854A0EE060}">
  <dimension ref="A1:V45"/>
  <sheetViews>
    <sheetView zoomScale="115" zoomScaleNormal="115" workbookViewId="0">
      <selection activeCell="G48" sqref="G48"/>
    </sheetView>
  </sheetViews>
  <sheetFormatPr defaultRowHeight="14.25" x14ac:dyDescent="0.2"/>
  <cols>
    <col min="1" max="1" width="17" customWidth="1"/>
    <col min="2" max="2" width="16.5" customWidth="1"/>
    <col min="3" max="3" width="20" customWidth="1"/>
  </cols>
  <sheetData>
    <row r="1" spans="1:22" x14ac:dyDescent="0.2">
      <c r="A1" t="s">
        <v>90</v>
      </c>
      <c r="B1" t="s">
        <v>89</v>
      </c>
      <c r="C1" t="s">
        <v>93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91</v>
      </c>
    </row>
    <row r="2" spans="1:22" x14ac:dyDescent="0.2">
      <c r="A2" t="s">
        <v>96</v>
      </c>
      <c r="B2" t="s">
        <v>95</v>
      </c>
      <c r="C2" t="s">
        <v>142</v>
      </c>
      <c r="D2">
        <v>3</v>
      </c>
      <c r="E2">
        <v>0</v>
      </c>
      <c r="F2">
        <v>14</v>
      </c>
      <c r="G2">
        <v>0</v>
      </c>
      <c r="H2">
        <v>0</v>
      </c>
      <c r="I2">
        <v>0</v>
      </c>
      <c r="J2">
        <v>7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16</v>
      </c>
      <c r="T2">
        <v>4</v>
      </c>
      <c r="U2">
        <v>2</v>
      </c>
      <c r="V2">
        <f>SUM(D2:U2)</f>
        <v>47</v>
      </c>
    </row>
    <row r="3" spans="1:22" x14ac:dyDescent="0.2">
      <c r="A3" t="s">
        <v>38</v>
      </c>
      <c r="B3" t="s">
        <v>37</v>
      </c>
      <c r="C3" t="s">
        <v>20</v>
      </c>
      <c r="D3">
        <v>0</v>
      </c>
      <c r="E3">
        <v>0</v>
      </c>
      <c r="F3">
        <v>27</v>
      </c>
      <c r="G3">
        <v>3</v>
      </c>
      <c r="H3">
        <v>0</v>
      </c>
      <c r="I3">
        <v>0</v>
      </c>
      <c r="J3">
        <v>0</v>
      </c>
      <c r="K3">
        <v>10</v>
      </c>
      <c r="L3">
        <v>0</v>
      </c>
      <c r="M3">
        <v>14</v>
      </c>
      <c r="N3">
        <v>22</v>
      </c>
      <c r="O3">
        <v>33</v>
      </c>
      <c r="P3">
        <v>9</v>
      </c>
      <c r="Q3">
        <v>0</v>
      </c>
      <c r="R3">
        <v>25</v>
      </c>
      <c r="S3">
        <v>3</v>
      </c>
      <c r="T3">
        <v>8</v>
      </c>
      <c r="U3">
        <v>3</v>
      </c>
      <c r="V3">
        <f t="shared" ref="V3:V44" si="0">SUM(D3:U3)</f>
        <v>157</v>
      </c>
    </row>
    <row r="4" spans="1:22" x14ac:dyDescent="0.2">
      <c r="A4" t="s">
        <v>98</v>
      </c>
      <c r="B4" t="s">
        <v>97</v>
      </c>
      <c r="C4" t="s">
        <v>41</v>
      </c>
      <c r="D4">
        <v>0</v>
      </c>
      <c r="E4">
        <v>0</v>
      </c>
      <c r="F4">
        <v>7</v>
      </c>
      <c r="G4">
        <v>24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21</v>
      </c>
      <c r="S4">
        <v>0</v>
      </c>
      <c r="T4">
        <v>0</v>
      </c>
      <c r="U4">
        <v>0</v>
      </c>
      <c r="V4">
        <f t="shared" si="0"/>
        <v>57</v>
      </c>
    </row>
    <row r="5" spans="1:22" x14ac:dyDescent="0.2">
      <c r="A5" t="s">
        <v>99</v>
      </c>
      <c r="B5" t="s">
        <v>97</v>
      </c>
      <c r="C5" t="s">
        <v>41</v>
      </c>
      <c r="D5">
        <v>0</v>
      </c>
      <c r="E5">
        <v>14</v>
      </c>
      <c r="F5">
        <v>4</v>
      </c>
      <c r="G5">
        <v>22</v>
      </c>
      <c r="H5">
        <v>7</v>
      </c>
      <c r="I5">
        <v>0</v>
      </c>
      <c r="J5">
        <v>0</v>
      </c>
      <c r="K5">
        <v>0</v>
      </c>
      <c r="L5">
        <v>0</v>
      </c>
      <c r="M5">
        <v>9</v>
      </c>
      <c r="N5">
        <v>0</v>
      </c>
      <c r="O5">
        <v>16</v>
      </c>
      <c r="P5">
        <v>0</v>
      </c>
      <c r="Q5">
        <v>0</v>
      </c>
      <c r="R5">
        <v>27</v>
      </c>
      <c r="S5">
        <v>2</v>
      </c>
      <c r="T5">
        <v>0</v>
      </c>
      <c r="U5">
        <v>0</v>
      </c>
      <c r="V5">
        <f t="shared" si="0"/>
        <v>101</v>
      </c>
    </row>
    <row r="6" spans="1:22" x14ac:dyDescent="0.2">
      <c r="A6" t="s">
        <v>100</v>
      </c>
      <c r="B6" t="s">
        <v>42</v>
      </c>
      <c r="C6" t="s">
        <v>41</v>
      </c>
      <c r="D6">
        <v>14</v>
      </c>
      <c r="E6">
        <v>11</v>
      </c>
      <c r="F6">
        <v>0</v>
      </c>
      <c r="G6">
        <v>99</v>
      </c>
      <c r="H6">
        <v>7</v>
      </c>
      <c r="I6">
        <v>17</v>
      </c>
      <c r="J6">
        <v>14</v>
      </c>
      <c r="K6">
        <v>7</v>
      </c>
      <c r="L6">
        <v>0</v>
      </c>
      <c r="M6">
        <v>23</v>
      </c>
      <c r="N6">
        <v>4</v>
      </c>
      <c r="O6">
        <v>0</v>
      </c>
      <c r="P6">
        <v>72</v>
      </c>
      <c r="Q6">
        <v>7</v>
      </c>
      <c r="R6">
        <v>29</v>
      </c>
      <c r="S6">
        <v>17</v>
      </c>
      <c r="T6">
        <v>0</v>
      </c>
      <c r="U6">
        <v>5</v>
      </c>
      <c r="V6">
        <f t="shared" si="0"/>
        <v>326</v>
      </c>
    </row>
    <row r="7" spans="1:22" x14ac:dyDescent="0.2">
      <c r="A7" t="s">
        <v>40</v>
      </c>
      <c r="B7" t="s">
        <v>39</v>
      </c>
      <c r="C7" t="s">
        <v>41</v>
      </c>
      <c r="D7">
        <v>16</v>
      </c>
      <c r="E7">
        <v>13</v>
      </c>
      <c r="F7">
        <v>32</v>
      </c>
      <c r="G7">
        <v>7</v>
      </c>
      <c r="H7">
        <v>9</v>
      </c>
      <c r="I7">
        <v>10</v>
      </c>
      <c r="J7">
        <v>0</v>
      </c>
      <c r="K7">
        <v>6</v>
      </c>
      <c r="L7">
        <v>4</v>
      </c>
      <c r="M7">
        <v>10</v>
      </c>
      <c r="N7">
        <v>12</v>
      </c>
      <c r="O7">
        <v>9</v>
      </c>
      <c r="P7">
        <v>0</v>
      </c>
      <c r="Q7">
        <v>13</v>
      </c>
      <c r="R7">
        <v>3</v>
      </c>
      <c r="S7">
        <v>8</v>
      </c>
      <c r="T7">
        <v>1</v>
      </c>
      <c r="U7">
        <v>0</v>
      </c>
      <c r="V7">
        <f t="shared" si="0"/>
        <v>153</v>
      </c>
    </row>
    <row r="8" spans="1:22" x14ac:dyDescent="0.2">
      <c r="A8" t="s">
        <v>101</v>
      </c>
      <c r="B8" t="s">
        <v>39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3</v>
      </c>
    </row>
    <row r="9" spans="1:22" x14ac:dyDescent="0.2">
      <c r="A9" t="s">
        <v>102</v>
      </c>
      <c r="B9" t="s">
        <v>39</v>
      </c>
      <c r="C9" t="s">
        <v>41</v>
      </c>
      <c r="D9">
        <v>0</v>
      </c>
      <c r="E9">
        <v>0</v>
      </c>
      <c r="F9">
        <v>0</v>
      </c>
      <c r="G9">
        <v>3</v>
      </c>
      <c r="H9">
        <v>0</v>
      </c>
      <c r="I9">
        <v>0</v>
      </c>
      <c r="J9">
        <v>1</v>
      </c>
      <c r="K9">
        <v>3</v>
      </c>
      <c r="L9">
        <v>0</v>
      </c>
      <c r="M9">
        <v>2</v>
      </c>
      <c r="N9">
        <v>0</v>
      </c>
      <c r="O9">
        <v>9</v>
      </c>
      <c r="P9">
        <v>0</v>
      </c>
      <c r="Q9">
        <v>0</v>
      </c>
      <c r="R9">
        <v>0</v>
      </c>
      <c r="S9">
        <v>0</v>
      </c>
      <c r="T9">
        <v>6</v>
      </c>
      <c r="U9">
        <v>0</v>
      </c>
      <c r="V9">
        <f t="shared" si="0"/>
        <v>24</v>
      </c>
    </row>
    <row r="10" spans="1:22" x14ac:dyDescent="0.2">
      <c r="A10" t="s">
        <v>88</v>
      </c>
      <c r="B10" t="s">
        <v>87</v>
      </c>
      <c r="C10" t="s">
        <v>82</v>
      </c>
      <c r="D10">
        <v>0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6</v>
      </c>
    </row>
    <row r="11" spans="1:22" x14ac:dyDescent="0.2">
      <c r="A11" t="s">
        <v>104</v>
      </c>
      <c r="B11" t="s">
        <v>103</v>
      </c>
      <c r="C11" t="s">
        <v>20</v>
      </c>
      <c r="D11">
        <v>0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f t="shared" si="0"/>
        <v>7</v>
      </c>
    </row>
    <row r="12" spans="1:22" x14ac:dyDescent="0.2">
      <c r="A12" t="s">
        <v>105</v>
      </c>
      <c r="B12" t="s">
        <v>103</v>
      </c>
      <c r="C12" t="s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27</v>
      </c>
      <c r="T12">
        <v>12</v>
      </c>
      <c r="U12">
        <v>22</v>
      </c>
      <c r="V12">
        <f t="shared" si="0"/>
        <v>61</v>
      </c>
    </row>
    <row r="13" spans="1:22" x14ac:dyDescent="0.2">
      <c r="A13" t="s">
        <v>26</v>
      </c>
      <c r="B13" t="s">
        <v>25</v>
      </c>
      <c r="C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16</v>
      </c>
      <c r="V13">
        <f t="shared" si="0"/>
        <v>16</v>
      </c>
    </row>
    <row r="14" spans="1:22" x14ac:dyDescent="0.2">
      <c r="A14" t="s">
        <v>27</v>
      </c>
      <c r="B14" t="s">
        <v>25</v>
      </c>
      <c r="C14" t="s">
        <v>20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1</v>
      </c>
    </row>
    <row r="15" spans="1:22" x14ac:dyDescent="0.2">
      <c r="A15" t="s">
        <v>35</v>
      </c>
      <c r="B15" t="s">
        <v>25</v>
      </c>
      <c r="C15" t="s">
        <v>20</v>
      </c>
      <c r="D15">
        <v>0</v>
      </c>
      <c r="E15">
        <v>0</v>
      </c>
      <c r="F15">
        <v>2</v>
      </c>
      <c r="G15">
        <v>3</v>
      </c>
      <c r="H15">
        <v>6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13</v>
      </c>
    </row>
    <row r="16" spans="1:22" x14ac:dyDescent="0.2">
      <c r="A16" t="s">
        <v>28</v>
      </c>
      <c r="B16" t="s">
        <v>25</v>
      </c>
      <c r="C16" t="s">
        <v>20</v>
      </c>
      <c r="D16">
        <v>63</v>
      </c>
      <c r="E16">
        <v>39</v>
      </c>
      <c r="F16">
        <v>26</v>
      </c>
      <c r="G16">
        <v>67</v>
      </c>
      <c r="H16">
        <v>42</v>
      </c>
      <c r="I16">
        <v>45</v>
      </c>
      <c r="J16">
        <v>21</v>
      </c>
      <c r="K16">
        <v>33</v>
      </c>
      <c r="L16">
        <v>61</v>
      </c>
      <c r="M16">
        <v>44</v>
      </c>
      <c r="N16">
        <v>71</v>
      </c>
      <c r="O16">
        <v>63</v>
      </c>
      <c r="P16">
        <v>104</v>
      </c>
      <c r="Q16">
        <v>52</v>
      </c>
      <c r="R16">
        <v>105</v>
      </c>
      <c r="S16">
        <v>24</v>
      </c>
      <c r="T16">
        <v>50</v>
      </c>
      <c r="U16">
        <v>36</v>
      </c>
      <c r="V16">
        <f t="shared" si="0"/>
        <v>946</v>
      </c>
    </row>
    <row r="17" spans="1:22" x14ac:dyDescent="0.2">
      <c r="A17" t="s">
        <v>36</v>
      </c>
      <c r="B17" t="s">
        <v>25</v>
      </c>
      <c r="C17" t="s">
        <v>20</v>
      </c>
      <c r="D17">
        <v>0</v>
      </c>
      <c r="E17">
        <v>0</v>
      </c>
      <c r="F17">
        <v>1</v>
      </c>
      <c r="G17">
        <v>24</v>
      </c>
      <c r="H17">
        <v>37</v>
      </c>
      <c r="I17">
        <v>0</v>
      </c>
      <c r="J17">
        <v>13</v>
      </c>
      <c r="K17">
        <v>0</v>
      </c>
      <c r="L17">
        <v>5</v>
      </c>
      <c r="M17">
        <v>3</v>
      </c>
      <c r="N17">
        <v>1</v>
      </c>
      <c r="O17">
        <v>0</v>
      </c>
      <c r="P17">
        <v>7</v>
      </c>
      <c r="Q17">
        <v>5</v>
      </c>
      <c r="R17">
        <v>9</v>
      </c>
      <c r="S17">
        <v>3</v>
      </c>
      <c r="T17">
        <v>19</v>
      </c>
      <c r="U17">
        <v>1</v>
      </c>
      <c r="V17">
        <f t="shared" si="0"/>
        <v>128</v>
      </c>
    </row>
    <row r="18" spans="1:22" x14ac:dyDescent="0.2">
      <c r="A18" t="s">
        <v>106</v>
      </c>
      <c r="B18" t="s">
        <v>69</v>
      </c>
      <c r="C18" t="s">
        <v>52</v>
      </c>
      <c r="D18">
        <v>0</v>
      </c>
      <c r="E18">
        <v>94</v>
      </c>
      <c r="F18">
        <v>27</v>
      </c>
      <c r="G18">
        <v>130</v>
      </c>
      <c r="H18">
        <v>90</v>
      </c>
      <c r="I18">
        <v>39</v>
      </c>
      <c r="J18">
        <v>17</v>
      </c>
      <c r="K18">
        <v>17</v>
      </c>
      <c r="L18">
        <v>0</v>
      </c>
      <c r="M18">
        <v>0</v>
      </c>
      <c r="N18">
        <v>0</v>
      </c>
      <c r="O18">
        <v>22</v>
      </c>
      <c r="P18">
        <v>0</v>
      </c>
      <c r="Q18">
        <v>0</v>
      </c>
      <c r="R18">
        <v>0</v>
      </c>
      <c r="S18">
        <v>9</v>
      </c>
      <c r="T18">
        <v>45</v>
      </c>
      <c r="U18">
        <v>15</v>
      </c>
      <c r="V18">
        <f t="shared" si="0"/>
        <v>505</v>
      </c>
    </row>
    <row r="19" spans="1:22" x14ac:dyDescent="0.2">
      <c r="A19" t="s">
        <v>108</v>
      </c>
      <c r="B19" t="s">
        <v>107</v>
      </c>
      <c r="C19" t="s">
        <v>109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</v>
      </c>
      <c r="T19">
        <v>0</v>
      </c>
      <c r="U19">
        <v>0</v>
      </c>
      <c r="V19">
        <f t="shared" si="0"/>
        <v>9</v>
      </c>
    </row>
    <row r="20" spans="1:22" x14ac:dyDescent="0.2">
      <c r="A20" t="s">
        <v>110</v>
      </c>
      <c r="B20" t="s">
        <v>110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</v>
      </c>
      <c r="U20">
        <v>0</v>
      </c>
      <c r="V20">
        <f t="shared" si="0"/>
        <v>21</v>
      </c>
    </row>
    <row r="21" spans="1:22" x14ac:dyDescent="0.2">
      <c r="A21" t="s">
        <v>111</v>
      </c>
      <c r="B21" t="s">
        <v>83</v>
      </c>
      <c r="C21" t="s">
        <v>82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</v>
      </c>
      <c r="U21">
        <v>0</v>
      </c>
      <c r="V21">
        <f t="shared" si="0"/>
        <v>6</v>
      </c>
    </row>
    <row r="22" spans="1:22" x14ac:dyDescent="0.2">
      <c r="A22" t="s">
        <v>113</v>
      </c>
      <c r="B22" t="s">
        <v>133</v>
      </c>
      <c r="C22" t="s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27</v>
      </c>
      <c r="T22">
        <v>0</v>
      </c>
      <c r="U22">
        <v>0</v>
      </c>
      <c r="V22">
        <f t="shared" si="0"/>
        <v>27</v>
      </c>
    </row>
    <row r="23" spans="1:22" x14ac:dyDescent="0.2">
      <c r="A23" t="s">
        <v>64</v>
      </c>
      <c r="B23" t="s">
        <v>60</v>
      </c>
      <c r="C23" t="s">
        <v>52</v>
      </c>
      <c r="D23">
        <v>0</v>
      </c>
      <c r="E23">
        <v>0</v>
      </c>
      <c r="F23">
        <v>0</v>
      </c>
      <c r="G23">
        <v>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</v>
      </c>
      <c r="U23">
        <v>0</v>
      </c>
      <c r="V23">
        <f t="shared" si="0"/>
        <v>21</v>
      </c>
    </row>
    <row r="24" spans="1:22" x14ac:dyDescent="0.2">
      <c r="A24" t="s">
        <v>139</v>
      </c>
      <c r="B24" t="s">
        <v>33</v>
      </c>
      <c r="C24" t="s">
        <v>20</v>
      </c>
      <c r="D24">
        <v>0</v>
      </c>
      <c r="E24">
        <v>3</v>
      </c>
      <c r="F24">
        <v>3</v>
      </c>
      <c r="G24">
        <v>0</v>
      </c>
      <c r="H24">
        <v>0</v>
      </c>
      <c r="I24">
        <v>0</v>
      </c>
      <c r="J24">
        <v>10</v>
      </c>
      <c r="K24">
        <v>6</v>
      </c>
      <c r="L24">
        <v>2</v>
      </c>
      <c r="M24">
        <v>0</v>
      </c>
      <c r="N24">
        <v>0</v>
      </c>
      <c r="O24">
        <v>5</v>
      </c>
      <c r="P24">
        <v>0</v>
      </c>
      <c r="Q24">
        <v>0</v>
      </c>
      <c r="R24">
        <v>0</v>
      </c>
      <c r="S24">
        <v>6</v>
      </c>
      <c r="T24">
        <v>3</v>
      </c>
      <c r="U24">
        <v>11</v>
      </c>
      <c r="V24">
        <f t="shared" si="0"/>
        <v>49</v>
      </c>
    </row>
    <row r="25" spans="1:22" x14ac:dyDescent="0.2">
      <c r="A25" t="s">
        <v>115</v>
      </c>
      <c r="B25" t="s">
        <v>33</v>
      </c>
      <c r="C25" t="s">
        <v>20</v>
      </c>
      <c r="D25">
        <v>24</v>
      </c>
      <c r="E25">
        <v>0</v>
      </c>
      <c r="F25">
        <v>0</v>
      </c>
      <c r="G25">
        <v>0</v>
      </c>
      <c r="H25">
        <v>9</v>
      </c>
      <c r="I25">
        <v>0</v>
      </c>
      <c r="J25">
        <v>0</v>
      </c>
      <c r="K25">
        <v>12</v>
      </c>
      <c r="L25">
        <v>0</v>
      </c>
      <c r="M25">
        <v>14</v>
      </c>
      <c r="N25">
        <v>0</v>
      </c>
      <c r="O25">
        <v>13</v>
      </c>
      <c r="P25">
        <v>0</v>
      </c>
      <c r="Q25">
        <v>0</v>
      </c>
      <c r="R25">
        <v>13</v>
      </c>
      <c r="S25">
        <v>0</v>
      </c>
      <c r="T25">
        <v>8</v>
      </c>
      <c r="U25">
        <v>0</v>
      </c>
      <c r="V25">
        <f t="shared" si="0"/>
        <v>93</v>
      </c>
    </row>
    <row r="26" spans="1:22" x14ac:dyDescent="0.2">
      <c r="A26" t="s">
        <v>92</v>
      </c>
      <c r="B26" t="s">
        <v>33</v>
      </c>
      <c r="C26" t="s">
        <v>20</v>
      </c>
      <c r="D26">
        <v>36</v>
      </c>
      <c r="E26">
        <v>53</v>
      </c>
      <c r="F26">
        <v>146</v>
      </c>
      <c r="G26">
        <v>126</v>
      </c>
      <c r="H26">
        <v>44</v>
      </c>
      <c r="I26">
        <v>21</v>
      </c>
      <c r="J26">
        <v>159</v>
      </c>
      <c r="K26">
        <v>306</v>
      </c>
      <c r="L26">
        <v>169</v>
      </c>
      <c r="M26">
        <v>128</v>
      </c>
      <c r="N26">
        <v>145</v>
      </c>
      <c r="O26">
        <v>190</v>
      </c>
      <c r="P26">
        <v>120</v>
      </c>
      <c r="Q26">
        <v>49</v>
      </c>
      <c r="R26">
        <v>152</v>
      </c>
      <c r="S26">
        <v>132</v>
      </c>
      <c r="T26">
        <v>71</v>
      </c>
      <c r="U26">
        <v>171</v>
      </c>
      <c r="V26">
        <f t="shared" si="0"/>
        <v>2218</v>
      </c>
    </row>
    <row r="27" spans="1:22" x14ac:dyDescent="0.2">
      <c r="A27" t="s">
        <v>116</v>
      </c>
      <c r="B27" t="s">
        <v>33</v>
      </c>
      <c r="C27" t="s">
        <v>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7</v>
      </c>
      <c r="T27">
        <v>0</v>
      </c>
      <c r="U27">
        <v>0</v>
      </c>
      <c r="V27">
        <f t="shared" si="0"/>
        <v>7</v>
      </c>
    </row>
    <row r="28" spans="1:22" x14ac:dyDescent="0.2">
      <c r="A28" t="s">
        <v>117</v>
      </c>
      <c r="B28" t="s">
        <v>75</v>
      </c>
      <c r="C28" t="s">
        <v>142</v>
      </c>
      <c r="D28">
        <v>0</v>
      </c>
      <c r="E28">
        <v>0</v>
      </c>
      <c r="F28">
        <v>0</v>
      </c>
      <c r="G28">
        <v>9</v>
      </c>
      <c r="H28">
        <v>0</v>
      </c>
      <c r="I28">
        <v>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</v>
      </c>
      <c r="S28">
        <v>0</v>
      </c>
      <c r="T28">
        <v>0</v>
      </c>
      <c r="U28">
        <v>0</v>
      </c>
      <c r="V28">
        <f t="shared" si="0"/>
        <v>76</v>
      </c>
    </row>
    <row r="29" spans="1:22" x14ac:dyDescent="0.2">
      <c r="A29" t="s">
        <v>119</v>
      </c>
      <c r="B29" t="s">
        <v>118</v>
      </c>
      <c r="C29" t="s">
        <v>142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55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0"/>
        <v>59</v>
      </c>
    </row>
    <row r="30" spans="1:22" x14ac:dyDescent="0.2">
      <c r="A30" t="s">
        <v>121</v>
      </c>
      <c r="B30" t="s">
        <v>120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3</v>
      </c>
    </row>
    <row r="31" spans="1:22" x14ac:dyDescent="0.2">
      <c r="A31" t="s">
        <v>122</v>
      </c>
      <c r="B31" t="s">
        <v>22</v>
      </c>
      <c r="C31" t="s">
        <v>20</v>
      </c>
      <c r="D31">
        <v>15</v>
      </c>
      <c r="E31">
        <v>0</v>
      </c>
      <c r="F31">
        <v>0</v>
      </c>
      <c r="G31">
        <v>0</v>
      </c>
      <c r="H31">
        <v>56</v>
      </c>
      <c r="I31">
        <v>0</v>
      </c>
      <c r="J31">
        <v>0</v>
      </c>
      <c r="K31">
        <v>39</v>
      </c>
      <c r="L31">
        <v>0</v>
      </c>
      <c r="M31">
        <v>4</v>
      </c>
      <c r="N31">
        <v>4</v>
      </c>
      <c r="O31">
        <v>0</v>
      </c>
      <c r="P31">
        <v>22</v>
      </c>
      <c r="Q31">
        <v>3</v>
      </c>
      <c r="R31">
        <v>0</v>
      </c>
      <c r="S31">
        <v>8</v>
      </c>
      <c r="T31">
        <v>30</v>
      </c>
      <c r="U31">
        <v>5</v>
      </c>
      <c r="V31">
        <f t="shared" si="0"/>
        <v>186</v>
      </c>
    </row>
    <row r="32" spans="1:22" x14ac:dyDescent="0.2">
      <c r="A32" t="s">
        <v>30</v>
      </c>
      <c r="B32" t="s">
        <v>29</v>
      </c>
      <c r="C32" t="s">
        <v>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</v>
      </c>
      <c r="R32">
        <v>0</v>
      </c>
      <c r="S32">
        <v>10</v>
      </c>
      <c r="T32">
        <v>0</v>
      </c>
      <c r="U32">
        <v>0</v>
      </c>
      <c r="V32">
        <f t="shared" si="0"/>
        <v>15</v>
      </c>
    </row>
    <row r="33" spans="1:22" x14ac:dyDescent="0.2">
      <c r="A33" t="s">
        <v>31</v>
      </c>
      <c r="B33" t="s">
        <v>29</v>
      </c>
      <c r="C33" t="s">
        <v>20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0"/>
        <v>7</v>
      </c>
    </row>
    <row r="34" spans="1:22" x14ac:dyDescent="0.2">
      <c r="A34" t="s">
        <v>19</v>
      </c>
      <c r="B34" t="s">
        <v>18</v>
      </c>
      <c r="C34" t="s">
        <v>20</v>
      </c>
      <c r="D34">
        <v>117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8</v>
      </c>
      <c r="R34">
        <v>0</v>
      </c>
      <c r="S34">
        <v>0</v>
      </c>
      <c r="T34">
        <v>0</v>
      </c>
      <c r="U34">
        <v>0</v>
      </c>
      <c r="V34">
        <f t="shared" si="0"/>
        <v>126</v>
      </c>
    </row>
    <row r="35" spans="1:22" x14ac:dyDescent="0.2">
      <c r="A35" t="s">
        <v>124</v>
      </c>
      <c r="B35" t="s">
        <v>123</v>
      </c>
      <c r="C35" t="s">
        <v>20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0"/>
        <v>19</v>
      </c>
    </row>
    <row r="36" spans="1:22" x14ac:dyDescent="0.2">
      <c r="A36" t="s">
        <v>125</v>
      </c>
      <c r="B36" t="s">
        <v>123</v>
      </c>
      <c r="C36" t="s">
        <v>20</v>
      </c>
      <c r="D36">
        <v>0</v>
      </c>
      <c r="E36">
        <v>0</v>
      </c>
      <c r="F36">
        <v>0</v>
      </c>
      <c r="G36">
        <v>4</v>
      </c>
      <c r="H36">
        <v>61</v>
      </c>
      <c r="I36">
        <v>0</v>
      </c>
      <c r="J36">
        <v>0</v>
      </c>
      <c r="K36">
        <v>13</v>
      </c>
      <c r="L36">
        <v>0</v>
      </c>
      <c r="M36">
        <v>0</v>
      </c>
      <c r="N36">
        <v>5</v>
      </c>
      <c r="O36">
        <v>0</v>
      </c>
      <c r="P36">
        <v>107</v>
      </c>
      <c r="Q36">
        <v>0</v>
      </c>
      <c r="R36">
        <v>17</v>
      </c>
      <c r="S36">
        <v>15</v>
      </c>
      <c r="T36">
        <v>66</v>
      </c>
      <c r="U36">
        <v>57</v>
      </c>
      <c r="V36">
        <f t="shared" si="0"/>
        <v>345</v>
      </c>
    </row>
    <row r="37" spans="1:22" x14ac:dyDescent="0.2">
      <c r="A37" t="s">
        <v>127</v>
      </c>
      <c r="B37" t="s">
        <v>126</v>
      </c>
      <c r="C37" t="s">
        <v>52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37</v>
      </c>
      <c r="L37">
        <v>26</v>
      </c>
      <c r="M37">
        <v>19</v>
      </c>
      <c r="N37">
        <v>54</v>
      </c>
      <c r="O37">
        <v>0</v>
      </c>
      <c r="P37">
        <v>19</v>
      </c>
      <c r="Q37">
        <v>1</v>
      </c>
      <c r="R37">
        <v>7</v>
      </c>
      <c r="S37">
        <v>1</v>
      </c>
      <c r="T37">
        <v>0</v>
      </c>
      <c r="U37">
        <v>0</v>
      </c>
      <c r="V37">
        <f t="shared" si="0"/>
        <v>166</v>
      </c>
    </row>
    <row r="38" spans="1:22" x14ac:dyDescent="0.2">
      <c r="A38" t="s">
        <v>129</v>
      </c>
      <c r="B38" t="s">
        <v>128</v>
      </c>
      <c r="C38" t="s">
        <v>142</v>
      </c>
      <c r="D38">
        <v>0</v>
      </c>
      <c r="E38">
        <v>0</v>
      </c>
      <c r="F38">
        <v>17</v>
      </c>
      <c r="G38">
        <v>3</v>
      </c>
      <c r="H38">
        <v>0</v>
      </c>
      <c r="I38">
        <v>7</v>
      </c>
      <c r="J38">
        <v>0</v>
      </c>
      <c r="K38">
        <v>32</v>
      </c>
      <c r="L38">
        <v>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85</v>
      </c>
      <c r="T38">
        <v>89</v>
      </c>
      <c r="U38">
        <v>126</v>
      </c>
      <c r="V38">
        <f t="shared" si="0"/>
        <v>375</v>
      </c>
    </row>
    <row r="39" spans="1:22" x14ac:dyDescent="0.2">
      <c r="A39" t="s">
        <v>45</v>
      </c>
      <c r="B39" t="s">
        <v>44</v>
      </c>
      <c r="C39" t="s">
        <v>41</v>
      </c>
      <c r="D39">
        <v>0</v>
      </c>
      <c r="E39">
        <v>0</v>
      </c>
      <c r="F39">
        <v>0</v>
      </c>
      <c r="G39">
        <v>0</v>
      </c>
      <c r="H39">
        <v>0</v>
      </c>
      <c r="I39">
        <v>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</v>
      </c>
      <c r="V39">
        <f t="shared" si="0"/>
        <v>21</v>
      </c>
    </row>
    <row r="40" spans="1:22" x14ac:dyDescent="0.2">
      <c r="A40" t="s">
        <v>130</v>
      </c>
      <c r="B40" t="s">
        <v>44</v>
      </c>
      <c r="C40" t="s">
        <v>52</v>
      </c>
      <c r="D40">
        <v>0</v>
      </c>
      <c r="E40">
        <v>0</v>
      </c>
      <c r="F40">
        <v>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45</v>
      </c>
    </row>
    <row r="41" spans="1:22" x14ac:dyDescent="0.2">
      <c r="A41" t="s">
        <v>131</v>
      </c>
      <c r="B41" t="s">
        <v>44</v>
      </c>
      <c r="C41" t="s">
        <v>52</v>
      </c>
      <c r="D41">
        <v>0</v>
      </c>
      <c r="E41">
        <v>5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0</v>
      </c>
      <c r="O41">
        <v>0</v>
      </c>
      <c r="P41">
        <v>0</v>
      </c>
      <c r="Q41">
        <v>1</v>
      </c>
      <c r="R41">
        <v>2</v>
      </c>
      <c r="S41">
        <v>1</v>
      </c>
      <c r="T41">
        <v>0</v>
      </c>
      <c r="U41">
        <v>3</v>
      </c>
      <c r="V41">
        <f t="shared" si="0"/>
        <v>20</v>
      </c>
    </row>
    <row r="42" spans="1:22" x14ac:dyDescent="0.2">
      <c r="A42" t="s">
        <v>132</v>
      </c>
      <c r="B42" t="s">
        <v>44</v>
      </c>
      <c r="C42" t="s">
        <v>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f t="shared" si="0"/>
        <v>19</v>
      </c>
    </row>
    <row r="43" spans="1:22" x14ac:dyDescent="0.2">
      <c r="A43" t="s">
        <v>55</v>
      </c>
      <c r="B43" t="s">
        <v>44</v>
      </c>
      <c r="C43" t="s">
        <v>52</v>
      </c>
      <c r="D43">
        <v>21</v>
      </c>
      <c r="E43">
        <v>163</v>
      </c>
      <c r="F43">
        <v>90</v>
      </c>
      <c r="G43">
        <v>0</v>
      </c>
      <c r="H43">
        <v>0</v>
      </c>
      <c r="I43">
        <v>22</v>
      </c>
      <c r="J43">
        <v>25</v>
      </c>
      <c r="K43">
        <v>2</v>
      </c>
      <c r="L43">
        <v>0</v>
      </c>
      <c r="M43">
        <v>12</v>
      </c>
      <c r="N43">
        <v>0</v>
      </c>
      <c r="O43">
        <v>82</v>
      </c>
      <c r="P43">
        <v>0</v>
      </c>
      <c r="Q43">
        <v>2</v>
      </c>
      <c r="R43">
        <v>0</v>
      </c>
      <c r="S43">
        <v>0</v>
      </c>
      <c r="T43">
        <v>68</v>
      </c>
      <c r="U43">
        <v>11</v>
      </c>
      <c r="V43">
        <f t="shared" si="0"/>
        <v>498</v>
      </c>
    </row>
    <row r="44" spans="1:22" x14ac:dyDescent="0.2">
      <c r="A44" t="s">
        <v>134</v>
      </c>
      <c r="B44" t="s">
        <v>134</v>
      </c>
      <c r="C44" t="s">
        <v>134</v>
      </c>
      <c r="D44">
        <v>410</v>
      </c>
      <c r="E44">
        <v>322</v>
      </c>
      <c r="F44">
        <v>267</v>
      </c>
      <c r="G44">
        <v>181</v>
      </c>
      <c r="H44">
        <v>345</v>
      </c>
      <c r="I44">
        <v>485</v>
      </c>
      <c r="J44">
        <v>429</v>
      </c>
      <c r="K44">
        <v>177</v>
      </c>
      <c r="L44">
        <v>434</v>
      </c>
      <c r="M44">
        <v>433</v>
      </c>
      <c r="N44">
        <v>346</v>
      </c>
      <c r="O44">
        <v>277</v>
      </c>
      <c r="P44">
        <v>250</v>
      </c>
      <c r="Q44">
        <v>573</v>
      </c>
      <c r="R44">
        <v>296</v>
      </c>
      <c r="S44">
        <v>309</v>
      </c>
      <c r="T44">
        <v>200</v>
      </c>
      <c r="U44">
        <v>226</v>
      </c>
      <c r="V44">
        <f t="shared" si="0"/>
        <v>5960</v>
      </c>
    </row>
    <row r="45" spans="1:22" x14ac:dyDescent="0.2">
      <c r="C45" t="s">
        <v>91</v>
      </c>
      <c r="D45">
        <f>SUM(D2:D44)</f>
        <v>719</v>
      </c>
      <c r="E45">
        <f t="shared" ref="E45:V45" si="1">SUM(E2:E44)</f>
        <v>719</v>
      </c>
      <c r="F45">
        <f t="shared" si="1"/>
        <v>719</v>
      </c>
      <c r="G45">
        <f t="shared" si="1"/>
        <v>719</v>
      </c>
      <c r="H45">
        <f t="shared" si="1"/>
        <v>719</v>
      </c>
      <c r="I45">
        <f t="shared" si="1"/>
        <v>719</v>
      </c>
      <c r="J45">
        <f t="shared" si="1"/>
        <v>719</v>
      </c>
      <c r="K45">
        <f t="shared" si="1"/>
        <v>719</v>
      </c>
      <c r="L45">
        <f t="shared" si="1"/>
        <v>719</v>
      </c>
      <c r="M45">
        <f t="shared" si="1"/>
        <v>719</v>
      </c>
      <c r="N45">
        <f t="shared" si="1"/>
        <v>719</v>
      </c>
      <c r="O45">
        <f t="shared" si="1"/>
        <v>719</v>
      </c>
      <c r="P45">
        <f t="shared" si="1"/>
        <v>719</v>
      </c>
      <c r="Q45">
        <f t="shared" si="1"/>
        <v>719</v>
      </c>
      <c r="R45">
        <f t="shared" si="1"/>
        <v>719</v>
      </c>
      <c r="S45">
        <f t="shared" si="1"/>
        <v>719</v>
      </c>
      <c r="T45">
        <f t="shared" si="1"/>
        <v>719</v>
      </c>
      <c r="U45">
        <f t="shared" si="1"/>
        <v>719</v>
      </c>
      <c r="V45">
        <f t="shared" si="1"/>
        <v>12942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3B9A-6ACC-4931-AC47-7F7AC37A7B63}">
  <dimension ref="A1:V44"/>
  <sheetViews>
    <sheetView zoomScale="115" zoomScaleNormal="115" workbookViewId="0">
      <selection activeCell="D44" sqref="D44"/>
    </sheetView>
  </sheetViews>
  <sheetFormatPr defaultRowHeight="14.25" x14ac:dyDescent="0.2"/>
  <cols>
    <col min="1" max="1" width="17" customWidth="1"/>
    <col min="2" max="2" width="16.5" customWidth="1"/>
    <col min="3" max="3" width="20" customWidth="1"/>
  </cols>
  <sheetData>
    <row r="1" spans="1:22" x14ac:dyDescent="0.2">
      <c r="A1" t="s">
        <v>140</v>
      </c>
      <c r="B1" t="s">
        <v>143</v>
      </c>
      <c r="C1" t="s">
        <v>93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91</v>
      </c>
    </row>
    <row r="2" spans="1:22" x14ac:dyDescent="0.2">
      <c r="A2" t="s">
        <v>96</v>
      </c>
      <c r="B2" t="s">
        <v>95</v>
      </c>
      <c r="C2" t="s">
        <v>77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40</v>
      </c>
      <c r="K2">
        <v>1</v>
      </c>
      <c r="L2">
        <v>0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7</v>
      </c>
      <c r="U2">
        <v>0</v>
      </c>
      <c r="V2">
        <f>SUM(D2:U2)</f>
        <v>53</v>
      </c>
    </row>
    <row r="3" spans="1:22" x14ac:dyDescent="0.2">
      <c r="A3" t="s">
        <v>38</v>
      </c>
      <c r="B3" t="s">
        <v>37</v>
      </c>
      <c r="C3" t="s">
        <v>20</v>
      </c>
      <c r="D3">
        <v>0</v>
      </c>
      <c r="E3">
        <v>0</v>
      </c>
      <c r="F3">
        <v>6</v>
      </c>
      <c r="G3">
        <v>0</v>
      </c>
      <c r="H3">
        <v>0</v>
      </c>
      <c r="I3">
        <v>0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</v>
      </c>
      <c r="T3">
        <v>0</v>
      </c>
      <c r="U3">
        <v>11</v>
      </c>
      <c r="V3">
        <f t="shared" ref="V3:V43" si="0">SUM(D3:U3)</f>
        <v>35</v>
      </c>
    </row>
    <row r="4" spans="1:22" x14ac:dyDescent="0.2">
      <c r="A4" t="s">
        <v>98</v>
      </c>
      <c r="B4" t="s">
        <v>97</v>
      </c>
      <c r="C4" t="s">
        <v>41</v>
      </c>
      <c r="D4">
        <v>9</v>
      </c>
      <c r="E4">
        <v>5</v>
      </c>
      <c r="F4">
        <v>1</v>
      </c>
      <c r="G4">
        <v>2</v>
      </c>
      <c r="H4">
        <v>10</v>
      </c>
      <c r="I4">
        <v>0</v>
      </c>
      <c r="J4">
        <v>0</v>
      </c>
      <c r="K4">
        <v>0</v>
      </c>
      <c r="L4">
        <v>4</v>
      </c>
      <c r="M4">
        <v>0</v>
      </c>
      <c r="N4">
        <v>2</v>
      </c>
      <c r="O4">
        <v>0</v>
      </c>
      <c r="P4">
        <v>3</v>
      </c>
      <c r="Q4">
        <v>1</v>
      </c>
      <c r="R4">
        <v>0</v>
      </c>
      <c r="S4">
        <v>0</v>
      </c>
      <c r="T4">
        <v>0</v>
      </c>
      <c r="U4">
        <v>8</v>
      </c>
      <c r="V4">
        <f t="shared" si="0"/>
        <v>45</v>
      </c>
    </row>
    <row r="5" spans="1:22" x14ac:dyDescent="0.2">
      <c r="A5" t="s">
        <v>99</v>
      </c>
      <c r="B5" t="s">
        <v>97</v>
      </c>
      <c r="C5" t="s">
        <v>41</v>
      </c>
      <c r="D5">
        <v>11</v>
      </c>
      <c r="E5">
        <v>17</v>
      </c>
      <c r="F5">
        <v>0</v>
      </c>
      <c r="G5">
        <v>20</v>
      </c>
      <c r="H5">
        <v>7</v>
      </c>
      <c r="I5">
        <v>2</v>
      </c>
      <c r="J5">
        <v>0</v>
      </c>
      <c r="K5">
        <v>3</v>
      </c>
      <c r="L5">
        <v>0</v>
      </c>
      <c r="M5">
        <v>29</v>
      </c>
      <c r="N5">
        <v>12</v>
      </c>
      <c r="O5">
        <v>0</v>
      </c>
      <c r="P5">
        <v>9</v>
      </c>
      <c r="Q5">
        <v>3</v>
      </c>
      <c r="R5">
        <v>6</v>
      </c>
      <c r="S5">
        <v>9</v>
      </c>
      <c r="T5">
        <v>19</v>
      </c>
      <c r="U5">
        <v>2</v>
      </c>
      <c r="V5">
        <f t="shared" si="0"/>
        <v>149</v>
      </c>
    </row>
    <row r="6" spans="1:22" x14ac:dyDescent="0.2">
      <c r="A6" t="s">
        <v>100</v>
      </c>
      <c r="B6" t="s">
        <v>42</v>
      </c>
      <c r="C6" t="s">
        <v>41</v>
      </c>
      <c r="D6">
        <v>111</v>
      </c>
      <c r="E6">
        <v>13</v>
      </c>
      <c r="F6">
        <v>8</v>
      </c>
      <c r="G6">
        <v>24</v>
      </c>
      <c r="H6">
        <v>16</v>
      </c>
      <c r="I6">
        <v>5</v>
      </c>
      <c r="J6">
        <v>8</v>
      </c>
      <c r="K6">
        <v>7</v>
      </c>
      <c r="L6">
        <v>1</v>
      </c>
      <c r="M6">
        <v>4</v>
      </c>
      <c r="N6">
        <v>17</v>
      </c>
      <c r="O6">
        <v>9</v>
      </c>
      <c r="P6">
        <v>35</v>
      </c>
      <c r="Q6">
        <v>14</v>
      </c>
      <c r="R6">
        <v>14</v>
      </c>
      <c r="S6">
        <v>9</v>
      </c>
      <c r="T6">
        <v>37</v>
      </c>
      <c r="U6">
        <v>10</v>
      </c>
      <c r="V6">
        <f t="shared" si="0"/>
        <v>342</v>
      </c>
    </row>
    <row r="7" spans="1:22" x14ac:dyDescent="0.2">
      <c r="A7" t="s">
        <v>40</v>
      </c>
      <c r="B7" t="s">
        <v>39</v>
      </c>
      <c r="C7" t="s">
        <v>41</v>
      </c>
      <c r="D7">
        <v>303</v>
      </c>
      <c r="E7">
        <v>59</v>
      </c>
      <c r="F7">
        <v>15</v>
      </c>
      <c r="G7">
        <v>65</v>
      </c>
      <c r="H7">
        <v>11</v>
      </c>
      <c r="I7">
        <v>6</v>
      </c>
      <c r="J7">
        <v>0</v>
      </c>
      <c r="K7">
        <v>35</v>
      </c>
      <c r="L7">
        <v>52</v>
      </c>
      <c r="M7">
        <v>8</v>
      </c>
      <c r="N7">
        <v>30</v>
      </c>
      <c r="O7">
        <v>8</v>
      </c>
      <c r="P7">
        <v>0</v>
      </c>
      <c r="Q7">
        <v>129</v>
      </c>
      <c r="R7">
        <v>11</v>
      </c>
      <c r="S7">
        <v>29</v>
      </c>
      <c r="T7">
        <v>36</v>
      </c>
      <c r="U7">
        <v>12</v>
      </c>
      <c r="V7">
        <f t="shared" si="0"/>
        <v>809</v>
      </c>
    </row>
    <row r="8" spans="1:22" x14ac:dyDescent="0.2">
      <c r="A8" t="s">
        <v>135</v>
      </c>
      <c r="B8" t="s">
        <v>39</v>
      </c>
      <c r="C8" t="s">
        <v>41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2</v>
      </c>
      <c r="L8">
        <v>8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f t="shared" si="0"/>
        <v>16</v>
      </c>
    </row>
    <row r="9" spans="1:22" x14ac:dyDescent="0.2">
      <c r="A9" t="s">
        <v>101</v>
      </c>
      <c r="B9" t="s">
        <v>39</v>
      </c>
      <c r="C9" t="s">
        <v>41</v>
      </c>
      <c r="D9">
        <v>0</v>
      </c>
      <c r="E9">
        <v>0</v>
      </c>
      <c r="F9">
        <v>0</v>
      </c>
      <c r="G9">
        <v>5</v>
      </c>
      <c r="H9">
        <v>4</v>
      </c>
      <c r="I9">
        <v>0</v>
      </c>
      <c r="J9">
        <v>2</v>
      </c>
      <c r="K9">
        <v>13</v>
      </c>
      <c r="L9">
        <v>0</v>
      </c>
      <c r="M9">
        <v>18</v>
      </c>
      <c r="N9">
        <v>0</v>
      </c>
      <c r="O9">
        <v>9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f t="shared" si="0"/>
        <v>55</v>
      </c>
    </row>
    <row r="10" spans="1:22" x14ac:dyDescent="0.2">
      <c r="A10" t="s">
        <v>102</v>
      </c>
      <c r="B10" t="s">
        <v>39</v>
      </c>
      <c r="C10" t="s">
        <v>41</v>
      </c>
      <c r="D10">
        <v>4</v>
      </c>
      <c r="E10">
        <v>0</v>
      </c>
      <c r="F10">
        <v>0</v>
      </c>
      <c r="G10">
        <v>2</v>
      </c>
      <c r="H10">
        <v>0</v>
      </c>
      <c r="I10">
        <v>0</v>
      </c>
      <c r="J10">
        <v>4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4</v>
      </c>
      <c r="U10">
        <v>0</v>
      </c>
      <c r="V10">
        <f t="shared" si="0"/>
        <v>16</v>
      </c>
    </row>
    <row r="11" spans="1:22" x14ac:dyDescent="0.2">
      <c r="A11" t="s">
        <v>105</v>
      </c>
      <c r="B11" t="s">
        <v>103</v>
      </c>
      <c r="C11" t="s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</v>
      </c>
      <c r="U11">
        <v>0</v>
      </c>
      <c r="V11">
        <f t="shared" si="0"/>
        <v>7</v>
      </c>
    </row>
    <row r="12" spans="1:22" x14ac:dyDescent="0.2">
      <c r="A12" t="s">
        <v>26</v>
      </c>
      <c r="B12" t="s">
        <v>25</v>
      </c>
      <c r="C12" t="s">
        <v>20</v>
      </c>
      <c r="D12">
        <v>0</v>
      </c>
      <c r="E12">
        <v>0</v>
      </c>
      <c r="F12">
        <v>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50</v>
      </c>
    </row>
    <row r="13" spans="1:22" x14ac:dyDescent="0.2">
      <c r="A13" t="s">
        <v>27</v>
      </c>
      <c r="B13" t="s">
        <v>25</v>
      </c>
      <c r="C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1</v>
      </c>
    </row>
    <row r="14" spans="1:22" x14ac:dyDescent="0.2">
      <c r="A14" t="s">
        <v>35</v>
      </c>
      <c r="B14" t="s">
        <v>25</v>
      </c>
      <c r="C14" t="s">
        <v>20</v>
      </c>
      <c r="D14">
        <v>81</v>
      </c>
      <c r="E14">
        <v>20</v>
      </c>
      <c r="F14">
        <v>107</v>
      </c>
      <c r="G14">
        <v>10</v>
      </c>
      <c r="H14">
        <v>5</v>
      </c>
      <c r="I14">
        <v>0</v>
      </c>
      <c r="J14">
        <v>34</v>
      </c>
      <c r="K14">
        <v>43</v>
      </c>
      <c r="L14">
        <v>20</v>
      </c>
      <c r="M14">
        <v>26</v>
      </c>
      <c r="N14">
        <v>33</v>
      </c>
      <c r="O14">
        <v>9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391</v>
      </c>
    </row>
    <row r="15" spans="1:22" x14ac:dyDescent="0.2">
      <c r="A15" t="s">
        <v>28</v>
      </c>
      <c r="B15" t="s">
        <v>25</v>
      </c>
      <c r="C15" t="s">
        <v>20</v>
      </c>
      <c r="D15">
        <v>512</v>
      </c>
      <c r="E15">
        <v>299</v>
      </c>
      <c r="F15">
        <v>581</v>
      </c>
      <c r="G15">
        <v>1010</v>
      </c>
      <c r="H15">
        <v>638</v>
      </c>
      <c r="I15">
        <v>270</v>
      </c>
      <c r="J15">
        <v>150</v>
      </c>
      <c r="K15">
        <v>267</v>
      </c>
      <c r="L15">
        <v>753</v>
      </c>
      <c r="M15">
        <v>730</v>
      </c>
      <c r="N15">
        <v>609</v>
      </c>
      <c r="O15">
        <v>357</v>
      </c>
      <c r="P15">
        <v>887</v>
      </c>
      <c r="Q15">
        <v>390</v>
      </c>
      <c r="R15">
        <v>1065</v>
      </c>
      <c r="S15">
        <v>385</v>
      </c>
      <c r="T15">
        <v>1070</v>
      </c>
      <c r="U15">
        <v>140</v>
      </c>
      <c r="V15">
        <f t="shared" si="0"/>
        <v>10113</v>
      </c>
    </row>
    <row r="16" spans="1:22" x14ac:dyDescent="0.2">
      <c r="A16" t="s">
        <v>36</v>
      </c>
      <c r="B16" t="s">
        <v>25</v>
      </c>
      <c r="C16" t="s">
        <v>20</v>
      </c>
      <c r="D16">
        <v>1</v>
      </c>
      <c r="E16">
        <v>39</v>
      </c>
      <c r="F16">
        <v>17</v>
      </c>
      <c r="G16">
        <v>100</v>
      </c>
      <c r="H16">
        <v>88</v>
      </c>
      <c r="I16">
        <v>10</v>
      </c>
      <c r="J16">
        <v>72</v>
      </c>
      <c r="K16">
        <v>7</v>
      </c>
      <c r="L16">
        <v>14</v>
      </c>
      <c r="M16">
        <v>31</v>
      </c>
      <c r="N16">
        <v>39</v>
      </c>
      <c r="O16">
        <v>45</v>
      </c>
      <c r="P16">
        <v>200</v>
      </c>
      <c r="Q16">
        <v>64</v>
      </c>
      <c r="R16">
        <v>76</v>
      </c>
      <c r="S16">
        <v>59</v>
      </c>
      <c r="T16">
        <v>60</v>
      </c>
      <c r="U16">
        <v>52</v>
      </c>
      <c r="V16">
        <f t="shared" si="0"/>
        <v>974</v>
      </c>
    </row>
    <row r="17" spans="1:22" x14ac:dyDescent="0.2">
      <c r="A17" t="s">
        <v>108</v>
      </c>
      <c r="B17" t="s">
        <v>107</v>
      </c>
      <c r="C17" t="s">
        <v>109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18</v>
      </c>
      <c r="T17">
        <v>0</v>
      </c>
      <c r="U17">
        <v>0</v>
      </c>
      <c r="V17">
        <f t="shared" si="0"/>
        <v>18</v>
      </c>
    </row>
    <row r="18" spans="1:22" x14ac:dyDescent="0.2">
      <c r="A18" t="s">
        <v>47</v>
      </c>
      <c r="B18" t="s">
        <v>46</v>
      </c>
      <c r="C18" t="s">
        <v>41</v>
      </c>
      <c r="D18">
        <v>0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0"/>
        <v>16</v>
      </c>
    </row>
    <row r="19" spans="1:22" x14ac:dyDescent="0.2">
      <c r="A19" t="s">
        <v>68</v>
      </c>
      <c r="B19" t="s">
        <v>67</v>
      </c>
      <c r="C19" t="s">
        <v>52</v>
      </c>
      <c r="D19">
        <v>0</v>
      </c>
      <c r="E19">
        <v>0</v>
      </c>
      <c r="F19">
        <v>0</v>
      </c>
      <c r="G19">
        <v>0</v>
      </c>
      <c r="H19">
        <v>5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0"/>
        <v>9</v>
      </c>
    </row>
    <row r="20" spans="1:22" x14ac:dyDescent="0.2">
      <c r="A20" t="s">
        <v>85</v>
      </c>
      <c r="B20" t="s">
        <v>83</v>
      </c>
      <c r="C20" t="s">
        <v>82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0"/>
        <v>1</v>
      </c>
    </row>
    <row r="21" spans="1:22" x14ac:dyDescent="0.2">
      <c r="A21" t="s">
        <v>113</v>
      </c>
      <c r="B21" t="s">
        <v>112</v>
      </c>
      <c r="C21" t="s">
        <v>109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12</v>
      </c>
      <c r="T21">
        <v>0</v>
      </c>
      <c r="U21">
        <v>0</v>
      </c>
      <c r="V21">
        <f t="shared" si="0"/>
        <v>12</v>
      </c>
    </row>
    <row r="22" spans="1:22" x14ac:dyDescent="0.2">
      <c r="A22" t="s">
        <v>64</v>
      </c>
      <c r="B22" t="s">
        <v>60</v>
      </c>
      <c r="C22" t="s">
        <v>52</v>
      </c>
      <c r="D22">
        <v>0</v>
      </c>
      <c r="E22">
        <v>0</v>
      </c>
      <c r="F22">
        <v>0</v>
      </c>
      <c r="G22">
        <v>7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24</v>
      </c>
      <c r="U22">
        <v>0</v>
      </c>
      <c r="V22">
        <f t="shared" si="0"/>
        <v>32</v>
      </c>
    </row>
    <row r="23" spans="1:22" x14ac:dyDescent="0.2">
      <c r="A23" t="s">
        <v>114</v>
      </c>
      <c r="B23" t="s">
        <v>33</v>
      </c>
      <c r="C23" t="s">
        <v>20</v>
      </c>
      <c r="D23">
        <v>0</v>
      </c>
      <c r="E23">
        <v>0</v>
      </c>
      <c r="F23">
        <v>3</v>
      </c>
      <c r="G23">
        <v>1</v>
      </c>
      <c r="H23">
        <v>0</v>
      </c>
      <c r="I23">
        <v>0</v>
      </c>
      <c r="J23">
        <v>7</v>
      </c>
      <c r="K23">
        <v>8</v>
      </c>
      <c r="L23">
        <v>3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12</v>
      </c>
      <c r="T23">
        <v>1</v>
      </c>
      <c r="U23">
        <v>5</v>
      </c>
      <c r="V23">
        <f t="shared" si="0"/>
        <v>42</v>
      </c>
    </row>
    <row r="24" spans="1:22" x14ac:dyDescent="0.2">
      <c r="A24" t="s">
        <v>115</v>
      </c>
      <c r="B24" t="s">
        <v>33</v>
      </c>
      <c r="C24" t="s">
        <v>20</v>
      </c>
      <c r="D24">
        <v>15</v>
      </c>
      <c r="E24">
        <v>11</v>
      </c>
      <c r="F24">
        <v>0</v>
      </c>
      <c r="G24">
        <v>0</v>
      </c>
      <c r="H24">
        <v>18</v>
      </c>
      <c r="I24">
        <v>0</v>
      </c>
      <c r="J24">
        <v>15</v>
      </c>
      <c r="K24">
        <v>23</v>
      </c>
      <c r="L24">
        <v>0</v>
      </c>
      <c r="M24">
        <v>14</v>
      </c>
      <c r="N24">
        <v>0</v>
      </c>
      <c r="O24">
        <v>11</v>
      </c>
      <c r="P24">
        <v>0</v>
      </c>
      <c r="Q24">
        <v>0</v>
      </c>
      <c r="R24">
        <v>4</v>
      </c>
      <c r="S24">
        <v>0</v>
      </c>
      <c r="T24">
        <v>56</v>
      </c>
      <c r="U24">
        <v>130</v>
      </c>
      <c r="V24">
        <f t="shared" si="0"/>
        <v>297</v>
      </c>
    </row>
    <row r="25" spans="1:22" x14ac:dyDescent="0.2">
      <c r="A25" t="s">
        <v>92</v>
      </c>
      <c r="B25" t="s">
        <v>33</v>
      </c>
      <c r="C25" t="s">
        <v>20</v>
      </c>
      <c r="D25">
        <v>0</v>
      </c>
      <c r="E25">
        <v>29</v>
      </c>
      <c r="F25">
        <v>49</v>
      </c>
      <c r="G25">
        <v>33</v>
      </c>
      <c r="H25">
        <v>13</v>
      </c>
      <c r="I25">
        <v>0</v>
      </c>
      <c r="J25">
        <v>60</v>
      </c>
      <c r="K25">
        <v>23</v>
      </c>
      <c r="L25">
        <v>118</v>
      </c>
      <c r="M25">
        <v>14</v>
      </c>
      <c r="N25">
        <v>40</v>
      </c>
      <c r="O25">
        <v>6</v>
      </c>
      <c r="P25">
        <v>39</v>
      </c>
      <c r="Q25">
        <v>0</v>
      </c>
      <c r="R25">
        <v>4</v>
      </c>
      <c r="S25">
        <v>16</v>
      </c>
      <c r="T25">
        <v>117</v>
      </c>
      <c r="U25">
        <v>178</v>
      </c>
      <c r="V25">
        <f t="shared" si="0"/>
        <v>739</v>
      </c>
    </row>
    <row r="26" spans="1:22" x14ac:dyDescent="0.2">
      <c r="A26" t="s">
        <v>117</v>
      </c>
      <c r="B26" t="s">
        <v>75</v>
      </c>
      <c r="C26" t="s">
        <v>142</v>
      </c>
      <c r="D26">
        <v>0</v>
      </c>
      <c r="E26">
        <v>237</v>
      </c>
      <c r="F26">
        <v>166</v>
      </c>
      <c r="G26">
        <v>0</v>
      </c>
      <c r="H26">
        <v>252</v>
      </c>
      <c r="I26">
        <v>635</v>
      </c>
      <c r="J26">
        <v>654</v>
      </c>
      <c r="K26">
        <v>412</v>
      </c>
      <c r="L26">
        <v>68</v>
      </c>
      <c r="M26">
        <v>0</v>
      </c>
      <c r="N26">
        <v>0</v>
      </c>
      <c r="O26">
        <v>0</v>
      </c>
      <c r="P26">
        <v>73</v>
      </c>
      <c r="Q26">
        <v>191</v>
      </c>
      <c r="R26">
        <v>44</v>
      </c>
      <c r="S26">
        <v>0</v>
      </c>
      <c r="T26">
        <v>38</v>
      </c>
      <c r="U26">
        <v>93</v>
      </c>
      <c r="V26">
        <f t="shared" si="0"/>
        <v>2863</v>
      </c>
    </row>
    <row r="27" spans="1:22" x14ac:dyDescent="0.2">
      <c r="A27" t="s">
        <v>137</v>
      </c>
      <c r="B27" t="s">
        <v>136</v>
      </c>
      <c r="C27" t="s">
        <v>142</v>
      </c>
      <c r="D27">
        <v>157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0"/>
        <v>158</v>
      </c>
    </row>
    <row r="28" spans="1:22" x14ac:dyDescent="0.2">
      <c r="A28" t="s">
        <v>119</v>
      </c>
      <c r="B28" t="s">
        <v>118</v>
      </c>
      <c r="C28" t="s">
        <v>142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38</v>
      </c>
      <c r="M28">
        <v>0</v>
      </c>
      <c r="N28">
        <v>163</v>
      </c>
      <c r="O28">
        <v>14</v>
      </c>
      <c r="P28">
        <v>0</v>
      </c>
      <c r="Q28">
        <v>23</v>
      </c>
      <c r="R28">
        <v>18</v>
      </c>
      <c r="S28">
        <v>0</v>
      </c>
      <c r="T28">
        <v>0</v>
      </c>
      <c r="U28">
        <v>0</v>
      </c>
      <c r="V28">
        <f t="shared" si="0"/>
        <v>256</v>
      </c>
    </row>
    <row r="29" spans="1:22" x14ac:dyDescent="0.2">
      <c r="A29" t="s">
        <v>121</v>
      </c>
      <c r="B29" t="s">
        <v>120</v>
      </c>
      <c r="C29" t="s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37</v>
      </c>
      <c r="L29">
        <v>0</v>
      </c>
      <c r="M29">
        <v>0</v>
      </c>
      <c r="N29">
        <v>0</v>
      </c>
      <c r="O29">
        <v>22</v>
      </c>
      <c r="P29">
        <v>0</v>
      </c>
      <c r="Q29">
        <v>0</v>
      </c>
      <c r="R29">
        <v>0</v>
      </c>
      <c r="S29">
        <v>0</v>
      </c>
      <c r="T29">
        <v>0</v>
      </c>
      <c r="U29">
        <v>22</v>
      </c>
      <c r="V29">
        <f t="shared" si="0"/>
        <v>81</v>
      </c>
    </row>
    <row r="30" spans="1:22" x14ac:dyDescent="0.2">
      <c r="A30" t="s">
        <v>122</v>
      </c>
      <c r="B30" t="s">
        <v>22</v>
      </c>
      <c r="C30" t="s">
        <v>20</v>
      </c>
      <c r="D30">
        <v>293</v>
      </c>
      <c r="E30">
        <v>15</v>
      </c>
      <c r="F30">
        <v>8</v>
      </c>
      <c r="G30">
        <v>120</v>
      </c>
      <c r="H30">
        <v>796</v>
      </c>
      <c r="I30">
        <v>41</v>
      </c>
      <c r="J30">
        <v>53</v>
      </c>
      <c r="K30">
        <v>163</v>
      </c>
      <c r="L30">
        <v>17</v>
      </c>
      <c r="M30">
        <v>259</v>
      </c>
      <c r="N30">
        <v>87</v>
      </c>
      <c r="O30">
        <v>179</v>
      </c>
      <c r="P30">
        <v>497</v>
      </c>
      <c r="Q30">
        <v>337</v>
      </c>
      <c r="R30">
        <v>238</v>
      </c>
      <c r="S30">
        <v>19</v>
      </c>
      <c r="T30">
        <v>147</v>
      </c>
      <c r="U30">
        <v>608</v>
      </c>
      <c r="V30">
        <f t="shared" si="0"/>
        <v>3877</v>
      </c>
    </row>
    <row r="31" spans="1:22" x14ac:dyDescent="0.2">
      <c r="A31" t="s">
        <v>30</v>
      </c>
      <c r="B31" t="s">
        <v>29</v>
      </c>
      <c r="C31" t="s">
        <v>20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46</v>
      </c>
      <c r="T31">
        <v>86</v>
      </c>
      <c r="U31">
        <v>0</v>
      </c>
      <c r="V31">
        <f t="shared" si="0"/>
        <v>132</v>
      </c>
    </row>
    <row r="32" spans="1:22" x14ac:dyDescent="0.2">
      <c r="A32" t="s">
        <v>31</v>
      </c>
      <c r="B32" t="s">
        <v>29</v>
      </c>
      <c r="C32" t="s">
        <v>20</v>
      </c>
      <c r="D32">
        <v>0</v>
      </c>
      <c r="E32">
        <v>0</v>
      </c>
      <c r="F32">
        <v>4</v>
      </c>
      <c r="G32">
        <v>21</v>
      </c>
      <c r="H32">
        <v>12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43</v>
      </c>
      <c r="Q32">
        <v>0</v>
      </c>
      <c r="R32">
        <v>19</v>
      </c>
      <c r="S32">
        <v>58</v>
      </c>
      <c r="T32">
        <v>58</v>
      </c>
      <c r="U32">
        <v>0</v>
      </c>
      <c r="V32">
        <f t="shared" si="0"/>
        <v>217</v>
      </c>
    </row>
    <row r="33" spans="1:22" x14ac:dyDescent="0.2">
      <c r="A33" t="s">
        <v>19</v>
      </c>
      <c r="B33" t="s">
        <v>18</v>
      </c>
      <c r="C33" t="s">
        <v>20</v>
      </c>
      <c r="D33">
        <v>74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0"/>
        <v>83</v>
      </c>
    </row>
    <row r="34" spans="1:22" x14ac:dyDescent="0.2">
      <c r="A34" t="s">
        <v>124</v>
      </c>
      <c r="B34" t="s">
        <v>18</v>
      </c>
      <c r="C34" t="s">
        <v>20</v>
      </c>
      <c r="D34">
        <v>2</v>
      </c>
      <c r="E34">
        <v>0</v>
      </c>
      <c r="F34">
        <v>0</v>
      </c>
      <c r="G34">
        <v>2</v>
      </c>
      <c r="H34">
        <v>4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24</v>
      </c>
      <c r="Q34">
        <v>5</v>
      </c>
      <c r="R34">
        <v>0</v>
      </c>
      <c r="S34">
        <v>0</v>
      </c>
      <c r="T34">
        <v>0</v>
      </c>
      <c r="U34">
        <v>0</v>
      </c>
      <c r="V34">
        <f t="shared" si="0"/>
        <v>39</v>
      </c>
    </row>
    <row r="35" spans="1:22" x14ac:dyDescent="0.2">
      <c r="A35" t="s">
        <v>125</v>
      </c>
      <c r="B35" t="s">
        <v>18</v>
      </c>
      <c r="C35" t="s">
        <v>20</v>
      </c>
      <c r="D35">
        <v>17</v>
      </c>
      <c r="E35">
        <v>2</v>
      </c>
      <c r="F35">
        <v>5</v>
      </c>
      <c r="G35">
        <v>23</v>
      </c>
      <c r="H35">
        <v>276</v>
      </c>
      <c r="I35">
        <v>5</v>
      </c>
      <c r="J35">
        <v>19</v>
      </c>
      <c r="K35">
        <v>19</v>
      </c>
      <c r="L35">
        <v>0</v>
      </c>
      <c r="M35">
        <v>40</v>
      </c>
      <c r="N35">
        <v>11</v>
      </c>
      <c r="O35">
        <v>11</v>
      </c>
      <c r="P35">
        <v>245</v>
      </c>
      <c r="Q35">
        <v>4</v>
      </c>
      <c r="R35">
        <v>41</v>
      </c>
      <c r="S35">
        <v>39</v>
      </c>
      <c r="T35">
        <v>94</v>
      </c>
      <c r="U35">
        <v>240</v>
      </c>
      <c r="V35">
        <f t="shared" si="0"/>
        <v>1091</v>
      </c>
    </row>
    <row r="36" spans="1:22" x14ac:dyDescent="0.2">
      <c r="A36" t="s">
        <v>127</v>
      </c>
      <c r="B36" t="s">
        <v>126</v>
      </c>
      <c r="C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39</v>
      </c>
      <c r="R36">
        <v>3</v>
      </c>
      <c r="S36">
        <v>0</v>
      </c>
      <c r="T36">
        <v>0</v>
      </c>
      <c r="U36">
        <v>0</v>
      </c>
      <c r="V36">
        <f t="shared" si="0"/>
        <v>45</v>
      </c>
    </row>
    <row r="37" spans="1:22" x14ac:dyDescent="0.2">
      <c r="A37" t="s">
        <v>129</v>
      </c>
      <c r="B37" t="s">
        <v>128</v>
      </c>
      <c r="C37" t="s">
        <v>142</v>
      </c>
      <c r="D37">
        <v>0</v>
      </c>
      <c r="E37">
        <v>18</v>
      </c>
      <c r="F37">
        <v>56</v>
      </c>
      <c r="G37">
        <v>0</v>
      </c>
      <c r="H37">
        <v>27</v>
      </c>
      <c r="I37">
        <v>1</v>
      </c>
      <c r="J37">
        <v>0</v>
      </c>
      <c r="K37">
        <v>16</v>
      </c>
      <c r="L37">
        <v>60</v>
      </c>
      <c r="M37">
        <v>0</v>
      </c>
      <c r="N37">
        <v>0</v>
      </c>
      <c r="O37">
        <v>0</v>
      </c>
      <c r="P37">
        <v>11</v>
      </c>
      <c r="Q37">
        <v>0</v>
      </c>
      <c r="R37">
        <v>0</v>
      </c>
      <c r="S37">
        <v>44</v>
      </c>
      <c r="T37">
        <v>91</v>
      </c>
      <c r="U37">
        <v>90</v>
      </c>
      <c r="V37">
        <f t="shared" si="0"/>
        <v>414</v>
      </c>
    </row>
    <row r="38" spans="1:22" x14ac:dyDescent="0.2">
      <c r="A38" t="s">
        <v>138</v>
      </c>
      <c r="B38" t="s">
        <v>71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641</v>
      </c>
      <c r="T38">
        <v>0</v>
      </c>
      <c r="U38">
        <v>0</v>
      </c>
      <c r="V38">
        <f t="shared" si="0"/>
        <v>641</v>
      </c>
    </row>
    <row r="39" spans="1:22" x14ac:dyDescent="0.2">
      <c r="A39" t="s">
        <v>45</v>
      </c>
      <c r="B39" t="s">
        <v>44</v>
      </c>
      <c r="C39" t="s">
        <v>41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f t="shared" si="0"/>
        <v>2</v>
      </c>
    </row>
    <row r="40" spans="1:22" x14ac:dyDescent="0.2">
      <c r="A40" t="s">
        <v>131</v>
      </c>
      <c r="B40" t="s">
        <v>44</v>
      </c>
      <c r="C40" t="s">
        <v>52</v>
      </c>
      <c r="D40">
        <v>2</v>
      </c>
      <c r="E40">
        <v>2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1</v>
      </c>
      <c r="V40">
        <f t="shared" si="0"/>
        <v>9</v>
      </c>
    </row>
    <row r="41" spans="1:22" x14ac:dyDescent="0.2">
      <c r="A41" t="s">
        <v>132</v>
      </c>
      <c r="B41" t="s">
        <v>44</v>
      </c>
      <c r="C41" t="s">
        <v>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</v>
      </c>
      <c r="U41">
        <v>0</v>
      </c>
      <c r="V41">
        <f t="shared" si="0"/>
        <v>3</v>
      </c>
    </row>
    <row r="42" spans="1:22" x14ac:dyDescent="0.2">
      <c r="A42" t="s">
        <v>55</v>
      </c>
      <c r="B42" t="s">
        <v>44</v>
      </c>
      <c r="C42" t="s">
        <v>52</v>
      </c>
      <c r="D42">
        <v>33</v>
      </c>
      <c r="E42">
        <v>305</v>
      </c>
      <c r="F42">
        <v>17</v>
      </c>
      <c r="G42">
        <v>1</v>
      </c>
      <c r="H42">
        <v>1</v>
      </c>
      <c r="I42">
        <v>2</v>
      </c>
      <c r="J42">
        <v>71</v>
      </c>
      <c r="K42">
        <v>14</v>
      </c>
      <c r="L42">
        <v>1</v>
      </c>
      <c r="M42">
        <v>6</v>
      </c>
      <c r="N42">
        <v>10</v>
      </c>
      <c r="O42">
        <v>48</v>
      </c>
      <c r="P42">
        <v>0</v>
      </c>
      <c r="Q42">
        <v>6</v>
      </c>
      <c r="R42">
        <v>1</v>
      </c>
      <c r="S42">
        <v>0</v>
      </c>
      <c r="T42">
        <v>0</v>
      </c>
      <c r="U42">
        <v>19</v>
      </c>
      <c r="V42">
        <f t="shared" si="0"/>
        <v>535</v>
      </c>
    </row>
    <row r="43" spans="1:22" x14ac:dyDescent="0.2">
      <c r="A43" t="s">
        <v>134</v>
      </c>
      <c r="B43" t="s">
        <v>134</v>
      </c>
      <c r="C43" t="s">
        <v>134</v>
      </c>
      <c r="D43">
        <v>1854</v>
      </c>
      <c r="E43">
        <v>2404</v>
      </c>
      <c r="F43">
        <v>2391</v>
      </c>
      <c r="G43">
        <v>2028</v>
      </c>
      <c r="H43">
        <v>1295</v>
      </c>
      <c r="I43">
        <v>2498</v>
      </c>
      <c r="J43">
        <v>2280</v>
      </c>
      <c r="K43">
        <v>2380</v>
      </c>
      <c r="L43">
        <v>2317</v>
      </c>
      <c r="M43">
        <v>2278</v>
      </c>
      <c r="N43">
        <v>2418</v>
      </c>
      <c r="O43">
        <v>2747</v>
      </c>
      <c r="P43">
        <v>1407</v>
      </c>
      <c r="Q43">
        <v>2269</v>
      </c>
      <c r="R43">
        <v>1932</v>
      </c>
      <c r="S43">
        <v>2075</v>
      </c>
      <c r="T43">
        <v>1523</v>
      </c>
      <c r="U43">
        <v>1858</v>
      </c>
      <c r="V43">
        <f t="shared" si="0"/>
        <v>37954</v>
      </c>
    </row>
    <row r="44" spans="1:22" x14ac:dyDescent="0.2">
      <c r="C44" t="s">
        <v>91</v>
      </c>
      <c r="D44">
        <f>SUM(D1:D43)</f>
        <v>3479</v>
      </c>
      <c r="E44">
        <f t="shared" ref="E44:V44" si="1">SUM(E1:E43)</f>
        <v>3479</v>
      </c>
      <c r="F44">
        <f t="shared" si="1"/>
        <v>3479</v>
      </c>
      <c r="G44">
        <f t="shared" si="1"/>
        <v>3479</v>
      </c>
      <c r="H44">
        <f t="shared" si="1"/>
        <v>3479</v>
      </c>
      <c r="I44">
        <f t="shared" si="1"/>
        <v>3479</v>
      </c>
      <c r="J44">
        <f t="shared" si="1"/>
        <v>3479</v>
      </c>
      <c r="K44">
        <f t="shared" si="1"/>
        <v>3479</v>
      </c>
      <c r="L44">
        <f t="shared" si="1"/>
        <v>3479</v>
      </c>
      <c r="M44">
        <f t="shared" si="1"/>
        <v>3479</v>
      </c>
      <c r="N44">
        <f t="shared" si="1"/>
        <v>3479</v>
      </c>
      <c r="O44">
        <f t="shared" si="1"/>
        <v>3479</v>
      </c>
      <c r="P44">
        <f t="shared" si="1"/>
        <v>3479</v>
      </c>
      <c r="Q44">
        <f t="shared" si="1"/>
        <v>3479</v>
      </c>
      <c r="R44">
        <f t="shared" si="1"/>
        <v>3479</v>
      </c>
      <c r="S44">
        <f t="shared" si="1"/>
        <v>3479</v>
      </c>
      <c r="T44">
        <f t="shared" si="1"/>
        <v>3479</v>
      </c>
      <c r="U44">
        <f t="shared" si="1"/>
        <v>3479</v>
      </c>
      <c r="V44">
        <f t="shared" si="1"/>
        <v>62622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Morphological identification</vt:lpstr>
      <vt:lpstr>Total boimass (μg)</vt:lpstr>
      <vt:lpstr>Average mass (μg)</vt:lpstr>
      <vt:lpstr>eDNA metabarcoding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2026-08-06T22:14:57Z</dcterms:modified>
</cp:coreProperties>
</file>